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АЗС Сервис\Подсистемы\BI\SAP BW for HANA\Бизнес процессы\Поташенко и ОКП\Расчет надбавок на топливо\"/>
    </mc:Choice>
  </mc:AlternateContent>
  <bookViews>
    <workbookView xWindow="126" yWindow="101" windowWidth="19326" windowHeight="7149" activeTab="2"/>
  </bookViews>
  <sheets>
    <sheet name="Лист1" sheetId="1" r:id="rId1"/>
    <sheet name="Лист2" sheetId="2" r:id="rId2"/>
    <sheet name="Лист22" sheetId="6" r:id="rId3"/>
    <sheet name="Лист4" sheetId="4" r:id="rId4"/>
    <sheet name="Лист5" sheetId="5" r:id="rId5"/>
    <sheet name="Лист3" sheetId="3" r:id="rId6"/>
  </sheets>
  <definedNames>
    <definedName name="_xlnm._FilterDatabase" localSheetId="5" hidden="1">Лист3!$A$5:$M$155</definedName>
  </definedName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C83" i="6" l="1"/>
  <c r="D83" i="6"/>
  <c r="F83" i="6"/>
  <c r="H83" i="6"/>
  <c r="R83" i="6"/>
  <c r="C84" i="6"/>
  <c r="D84" i="6"/>
  <c r="F84" i="6"/>
  <c r="H84" i="6"/>
  <c r="R84" i="6"/>
  <c r="C88" i="6"/>
  <c r="D88" i="6"/>
  <c r="F88" i="6"/>
  <c r="H88" i="6"/>
  <c r="R88" i="6"/>
  <c r="C89" i="6"/>
  <c r="D89" i="6"/>
  <c r="F89" i="6"/>
  <c r="H89" i="6"/>
  <c r="R89" i="6"/>
  <c r="C93" i="6"/>
  <c r="D93" i="6"/>
  <c r="F93" i="6"/>
  <c r="H93" i="6"/>
  <c r="R93" i="6"/>
  <c r="C94" i="6"/>
  <c r="D94" i="6"/>
  <c r="F94" i="6"/>
  <c r="H94" i="6"/>
  <c r="R94" i="6"/>
  <c r="C98" i="6"/>
  <c r="D98" i="6"/>
  <c r="F98" i="6"/>
  <c r="H98" i="6"/>
  <c r="R98" i="6"/>
  <c r="C99" i="6"/>
  <c r="D99" i="6"/>
  <c r="F99" i="6"/>
  <c r="H99" i="6"/>
  <c r="R99" i="6"/>
  <c r="C100" i="6"/>
  <c r="D100" i="6"/>
  <c r="F100" i="6"/>
  <c r="H100" i="6"/>
  <c r="R100" i="6"/>
  <c r="C104" i="6"/>
  <c r="D104" i="6"/>
  <c r="F104" i="6"/>
  <c r="H104" i="6"/>
  <c r="M104" i="6"/>
  <c r="O104" i="6"/>
  <c r="R104" i="6"/>
  <c r="S104" i="6"/>
  <c r="U104" i="6"/>
  <c r="C105" i="6"/>
  <c r="D105" i="6"/>
  <c r="F105" i="6"/>
  <c r="H105" i="6"/>
  <c r="M105" i="6"/>
  <c r="O105" i="6"/>
  <c r="R105" i="6"/>
  <c r="S105" i="6"/>
  <c r="U105" i="6"/>
  <c r="C106" i="6"/>
  <c r="D106" i="6"/>
  <c r="F106" i="6"/>
  <c r="H106" i="6"/>
  <c r="R106" i="6"/>
  <c r="C110" i="6"/>
  <c r="D110" i="6"/>
  <c r="F110" i="6"/>
  <c r="H110" i="6"/>
  <c r="J110" i="6"/>
  <c r="K110" i="6"/>
  <c r="M110" i="6"/>
  <c r="O110" i="6"/>
  <c r="P110" i="6"/>
  <c r="R110" i="6"/>
  <c r="S110" i="6"/>
  <c r="U110" i="6"/>
  <c r="C111" i="6"/>
  <c r="D111" i="6"/>
  <c r="F111" i="6"/>
  <c r="H111" i="6"/>
  <c r="J111" i="6"/>
  <c r="K111" i="6"/>
  <c r="M111" i="6"/>
  <c r="O111" i="6"/>
  <c r="P111" i="6"/>
  <c r="R111" i="6"/>
  <c r="S111" i="6"/>
  <c r="U111" i="6"/>
  <c r="C112" i="6"/>
  <c r="D112" i="6"/>
  <c r="F112" i="6"/>
  <c r="H112" i="6"/>
  <c r="M112" i="6"/>
  <c r="O112" i="6"/>
  <c r="R112" i="6"/>
  <c r="S112" i="6"/>
  <c r="C116" i="6"/>
  <c r="D116" i="6"/>
  <c r="F116" i="6"/>
  <c r="J116" i="6"/>
  <c r="K116" i="6"/>
  <c r="M116" i="6"/>
  <c r="N116" i="6"/>
  <c r="O116" i="6"/>
  <c r="P116" i="6"/>
  <c r="R116" i="6"/>
  <c r="S116" i="6"/>
  <c r="T116" i="6"/>
  <c r="U116" i="6"/>
  <c r="C117" i="6"/>
  <c r="D117" i="6"/>
  <c r="F117" i="6"/>
  <c r="J117" i="6"/>
  <c r="K117" i="6"/>
  <c r="M117" i="6"/>
  <c r="N117" i="6"/>
  <c r="O117" i="6"/>
  <c r="P117" i="6"/>
  <c r="R117" i="6"/>
  <c r="S117" i="6"/>
  <c r="T117" i="6"/>
  <c r="U117" i="6"/>
  <c r="C118" i="6"/>
  <c r="D118" i="6"/>
  <c r="F118" i="6"/>
  <c r="J118" i="6"/>
  <c r="K118" i="6"/>
  <c r="M118" i="6"/>
  <c r="N118" i="6"/>
  <c r="O118" i="6"/>
  <c r="P118" i="6"/>
  <c r="R118" i="6"/>
  <c r="S118" i="6"/>
  <c r="T118" i="6"/>
  <c r="U118" i="6"/>
  <c r="C122" i="6"/>
  <c r="D122" i="6"/>
  <c r="E122" i="6"/>
  <c r="F122" i="6"/>
  <c r="J122" i="6"/>
  <c r="K122" i="6"/>
  <c r="M122" i="6"/>
  <c r="N122" i="6"/>
  <c r="O122" i="6"/>
  <c r="P122" i="6"/>
  <c r="Q122" i="6"/>
  <c r="R122" i="6"/>
  <c r="S122" i="6"/>
  <c r="T122" i="6"/>
  <c r="U122" i="6"/>
  <c r="W122" i="6"/>
  <c r="C123" i="6"/>
  <c r="D123" i="6"/>
  <c r="E123" i="6"/>
  <c r="F123" i="6"/>
  <c r="J123" i="6"/>
  <c r="K123" i="6"/>
  <c r="M123" i="6"/>
  <c r="N123" i="6"/>
  <c r="O123" i="6"/>
  <c r="P123" i="6"/>
  <c r="Q123" i="6"/>
  <c r="R123" i="6"/>
  <c r="S123" i="6"/>
  <c r="T123" i="6"/>
  <c r="U123" i="6"/>
  <c r="W123" i="6"/>
  <c r="C124" i="6"/>
  <c r="D124" i="6"/>
  <c r="E124" i="6"/>
  <c r="F124" i="6"/>
  <c r="J124" i="6"/>
  <c r="K124" i="6"/>
  <c r="M124" i="6"/>
  <c r="N124" i="6"/>
  <c r="O124" i="6"/>
  <c r="P124" i="6"/>
  <c r="R124" i="6"/>
  <c r="S124" i="6"/>
  <c r="T124" i="6"/>
  <c r="U124" i="6"/>
  <c r="C128" i="6"/>
  <c r="D128" i="6"/>
  <c r="E128" i="6"/>
  <c r="F128" i="6"/>
  <c r="J128" i="6"/>
  <c r="K128" i="6"/>
  <c r="M128" i="6"/>
  <c r="N128" i="6"/>
  <c r="O128" i="6"/>
  <c r="P128" i="6"/>
  <c r="Q128" i="6"/>
  <c r="R128" i="6"/>
  <c r="S128" i="6"/>
  <c r="T128" i="6"/>
  <c r="U128" i="6"/>
  <c r="W128" i="6"/>
  <c r="C129" i="6"/>
  <c r="D129" i="6"/>
  <c r="E129" i="6"/>
  <c r="F129" i="6"/>
  <c r="J129" i="6"/>
  <c r="K129" i="6"/>
  <c r="M129" i="6"/>
  <c r="N129" i="6"/>
  <c r="O129" i="6"/>
  <c r="P129" i="6"/>
  <c r="Q129" i="6"/>
  <c r="R129" i="6"/>
  <c r="S129" i="6"/>
  <c r="T129" i="6"/>
  <c r="U129" i="6"/>
  <c r="W129" i="6"/>
  <c r="C130" i="6"/>
  <c r="D130" i="6"/>
  <c r="E130" i="6"/>
  <c r="F130" i="6"/>
  <c r="J130" i="6"/>
  <c r="K130" i="6"/>
  <c r="M130" i="6"/>
  <c r="N130" i="6"/>
  <c r="O130" i="6"/>
  <c r="P130" i="6"/>
  <c r="R130" i="6"/>
  <c r="S130" i="6"/>
  <c r="T130" i="6"/>
  <c r="U130" i="6"/>
  <c r="C134" i="6"/>
  <c r="D134" i="6"/>
  <c r="E134" i="6"/>
  <c r="F134" i="6"/>
  <c r="J134" i="6"/>
  <c r="K134" i="6"/>
  <c r="M134" i="6"/>
  <c r="N134" i="6"/>
  <c r="O134" i="6"/>
  <c r="P134" i="6"/>
  <c r="Q134" i="6"/>
  <c r="R134" i="6"/>
  <c r="S134" i="6"/>
  <c r="T134" i="6"/>
  <c r="U134" i="6"/>
  <c r="W134" i="6"/>
  <c r="X134" i="6"/>
  <c r="C135" i="6"/>
  <c r="D135" i="6"/>
  <c r="E135" i="6"/>
  <c r="F135" i="6"/>
  <c r="J135" i="6"/>
  <c r="K135" i="6"/>
  <c r="M135" i="6"/>
  <c r="N135" i="6"/>
  <c r="O135" i="6"/>
  <c r="P135" i="6"/>
  <c r="Q135" i="6"/>
  <c r="R135" i="6"/>
  <c r="S135" i="6"/>
  <c r="T135" i="6"/>
  <c r="U135" i="6"/>
  <c r="W135" i="6"/>
  <c r="X135" i="6"/>
  <c r="C136" i="6"/>
  <c r="D136" i="6"/>
  <c r="E136" i="6"/>
  <c r="F136" i="6"/>
  <c r="J136" i="6"/>
  <c r="K136" i="6"/>
  <c r="M136" i="6"/>
  <c r="N136" i="6"/>
  <c r="O136" i="6"/>
  <c r="P136" i="6"/>
  <c r="R136" i="6"/>
  <c r="S136" i="6"/>
  <c r="T136" i="6"/>
  <c r="U136" i="6"/>
  <c r="C140" i="6"/>
  <c r="D140" i="6"/>
  <c r="E140" i="6"/>
  <c r="F140" i="6"/>
  <c r="J140" i="6"/>
  <c r="K140" i="6"/>
  <c r="M140" i="6"/>
  <c r="N140" i="6"/>
  <c r="O140" i="6"/>
  <c r="P140" i="6"/>
  <c r="Q140" i="6"/>
  <c r="R140" i="6"/>
  <c r="S140" i="6"/>
  <c r="T140" i="6"/>
  <c r="U140" i="6"/>
  <c r="W140" i="6"/>
  <c r="X140" i="6"/>
  <c r="C141" i="6"/>
  <c r="D141" i="6"/>
  <c r="E141" i="6"/>
  <c r="F141" i="6"/>
  <c r="J141" i="6"/>
  <c r="K141" i="6"/>
  <c r="M141" i="6"/>
  <c r="N141" i="6"/>
  <c r="O141" i="6"/>
  <c r="P141" i="6"/>
  <c r="Q141" i="6"/>
  <c r="R141" i="6"/>
  <c r="S141" i="6"/>
  <c r="T141" i="6"/>
  <c r="U141" i="6"/>
  <c r="W141" i="6"/>
  <c r="X141" i="6"/>
  <c r="C142" i="6"/>
  <c r="D142" i="6"/>
  <c r="E142" i="6"/>
  <c r="F142" i="6"/>
  <c r="J142" i="6"/>
  <c r="K142" i="6"/>
  <c r="M142" i="6"/>
  <c r="N142" i="6"/>
  <c r="O142" i="6"/>
  <c r="P142" i="6"/>
  <c r="R142" i="6"/>
  <c r="S142" i="6"/>
  <c r="T142" i="6"/>
  <c r="U142" i="6"/>
  <c r="C146" i="6"/>
  <c r="D146" i="6"/>
  <c r="E146" i="6"/>
  <c r="F146" i="6"/>
  <c r="J146" i="6"/>
  <c r="K146" i="6"/>
  <c r="M146" i="6"/>
  <c r="N146" i="6"/>
  <c r="O146" i="6"/>
  <c r="P146" i="6"/>
  <c r="Q146" i="6"/>
  <c r="R146" i="6"/>
  <c r="S146" i="6"/>
  <c r="T146" i="6"/>
  <c r="U146" i="6"/>
  <c r="W146" i="6"/>
  <c r="X146" i="6"/>
  <c r="C147" i="6"/>
  <c r="D147" i="6"/>
  <c r="E147" i="6"/>
  <c r="F147" i="6"/>
  <c r="J147" i="6"/>
  <c r="K147" i="6"/>
  <c r="M147" i="6"/>
  <c r="N147" i="6"/>
  <c r="O147" i="6"/>
  <c r="P147" i="6"/>
  <c r="Q147" i="6"/>
  <c r="R147" i="6"/>
  <c r="S147" i="6"/>
  <c r="T147" i="6"/>
  <c r="U147" i="6"/>
  <c r="W147" i="6"/>
  <c r="X147" i="6"/>
  <c r="C148" i="6"/>
  <c r="D148" i="6"/>
  <c r="E148" i="6"/>
  <c r="F148" i="6"/>
  <c r="J148" i="6"/>
  <c r="K148" i="6"/>
  <c r="M148" i="6"/>
  <c r="N148" i="6"/>
  <c r="O148" i="6"/>
  <c r="P148" i="6"/>
  <c r="R148" i="6"/>
  <c r="S148" i="6"/>
  <c r="T148" i="6"/>
  <c r="U148" i="6"/>
  <c r="C152" i="6"/>
  <c r="D152" i="6"/>
  <c r="E152" i="6"/>
  <c r="F152" i="6"/>
  <c r="J152" i="6"/>
  <c r="K152" i="6"/>
  <c r="M152" i="6"/>
  <c r="N152" i="6"/>
  <c r="O152" i="6"/>
  <c r="P152" i="6"/>
  <c r="Q152" i="6"/>
  <c r="R152" i="6"/>
  <c r="S152" i="6"/>
  <c r="T152" i="6"/>
  <c r="U152" i="6"/>
  <c r="W152" i="6"/>
  <c r="C153" i="6"/>
  <c r="D153" i="6"/>
  <c r="E153" i="6"/>
  <c r="F153" i="6"/>
  <c r="J153" i="6"/>
  <c r="K153" i="6"/>
  <c r="M153" i="6"/>
  <c r="N153" i="6"/>
  <c r="O153" i="6"/>
  <c r="P153" i="6"/>
  <c r="Q153" i="6"/>
  <c r="R153" i="6"/>
  <c r="S153" i="6"/>
  <c r="T153" i="6"/>
  <c r="U153" i="6"/>
  <c r="W153" i="6"/>
  <c r="C154" i="6"/>
  <c r="D154" i="6"/>
  <c r="E154" i="6"/>
  <c r="F154" i="6"/>
  <c r="J154" i="6"/>
  <c r="K154" i="6"/>
  <c r="M154" i="6"/>
  <c r="N154" i="6"/>
  <c r="O154" i="6"/>
  <c r="P154" i="6"/>
  <c r="R154" i="6"/>
  <c r="S154" i="6"/>
  <c r="T154" i="6"/>
  <c r="U154" i="6"/>
  <c r="C158" i="6"/>
  <c r="D158" i="6"/>
  <c r="E158" i="6"/>
  <c r="F158" i="6"/>
  <c r="J158" i="6"/>
  <c r="K158" i="6"/>
  <c r="M158" i="6"/>
  <c r="N158" i="6"/>
  <c r="R158" i="6"/>
  <c r="C159" i="6"/>
  <c r="D159" i="6"/>
  <c r="E159" i="6"/>
  <c r="F159" i="6"/>
  <c r="J159" i="6"/>
  <c r="K159" i="6"/>
  <c r="M159" i="6"/>
  <c r="N159" i="6"/>
  <c r="R159" i="6"/>
  <c r="C160" i="6"/>
  <c r="D160" i="6"/>
  <c r="E160" i="6"/>
  <c r="F160" i="6"/>
  <c r="J160" i="6"/>
  <c r="K160" i="6"/>
  <c r="M160" i="6"/>
  <c r="N160" i="6"/>
  <c r="R160" i="6"/>
  <c r="C164" i="6"/>
  <c r="D164" i="6"/>
  <c r="E164" i="6"/>
  <c r="F164" i="6"/>
  <c r="J164" i="6"/>
  <c r="K164" i="6"/>
  <c r="M164" i="6"/>
  <c r="N164" i="6"/>
  <c r="R164" i="6"/>
  <c r="C165" i="6"/>
  <c r="D165" i="6"/>
  <c r="E165" i="6"/>
  <c r="F165" i="6"/>
  <c r="J165" i="6"/>
  <c r="K165" i="6"/>
  <c r="M165" i="6"/>
  <c r="N165" i="6"/>
  <c r="R165" i="6"/>
  <c r="C166" i="6"/>
  <c r="D166" i="6"/>
  <c r="E166" i="6"/>
  <c r="F166" i="6"/>
  <c r="J166" i="6"/>
  <c r="K166" i="6"/>
  <c r="M166" i="6"/>
  <c r="N166" i="6"/>
  <c r="R166" i="6"/>
  <c r="C170" i="6"/>
  <c r="D170" i="6"/>
  <c r="E170" i="6"/>
  <c r="F170" i="6"/>
  <c r="J170" i="6"/>
  <c r="K170" i="6"/>
  <c r="M170" i="6"/>
  <c r="N170" i="6"/>
  <c r="O170" i="6"/>
  <c r="P170" i="6"/>
  <c r="Q170" i="6"/>
  <c r="R170" i="6"/>
  <c r="C171" i="6"/>
  <c r="D171" i="6"/>
  <c r="E171" i="6"/>
  <c r="F171" i="6"/>
  <c r="J171" i="6"/>
  <c r="K171" i="6"/>
  <c r="M171" i="6"/>
  <c r="N171" i="6"/>
  <c r="O171" i="6"/>
  <c r="P171" i="6"/>
  <c r="Q171" i="6"/>
  <c r="R171" i="6"/>
  <c r="C172" i="6"/>
  <c r="D172" i="6"/>
  <c r="E172" i="6"/>
  <c r="F172" i="6"/>
  <c r="J172" i="6"/>
  <c r="K172" i="6"/>
  <c r="M172" i="6"/>
  <c r="N172" i="6"/>
  <c r="R172" i="6"/>
  <c r="C176" i="6"/>
  <c r="D176" i="6"/>
  <c r="E176" i="6"/>
  <c r="F176" i="6"/>
  <c r="J176" i="6"/>
  <c r="K176" i="6"/>
  <c r="M176" i="6"/>
  <c r="N176" i="6"/>
  <c r="R176" i="6"/>
  <c r="C177" i="6"/>
  <c r="D177" i="6"/>
  <c r="E177" i="6"/>
  <c r="F177" i="6"/>
  <c r="J177" i="6"/>
  <c r="K177" i="6"/>
  <c r="M177" i="6"/>
  <c r="N177" i="6"/>
  <c r="R177" i="6"/>
  <c r="C178" i="6"/>
  <c r="D178" i="6"/>
  <c r="E178" i="6"/>
  <c r="F178" i="6"/>
  <c r="J178" i="6"/>
  <c r="K178" i="6"/>
  <c r="M178" i="6"/>
  <c r="N178" i="6"/>
  <c r="R178" i="6"/>
  <c r="C182" i="6"/>
  <c r="E182" i="6"/>
  <c r="F182" i="6"/>
  <c r="G182" i="6"/>
  <c r="M182" i="6"/>
  <c r="N182" i="6"/>
  <c r="R182" i="6"/>
  <c r="C183" i="6"/>
  <c r="E183" i="6"/>
  <c r="F183" i="6"/>
  <c r="G183" i="6"/>
  <c r="M183" i="6"/>
  <c r="N183" i="6"/>
  <c r="R183" i="6"/>
  <c r="C184" i="6"/>
  <c r="E184" i="6"/>
  <c r="F184" i="6"/>
  <c r="G184" i="6"/>
  <c r="M184" i="6"/>
  <c r="N184" i="6"/>
  <c r="R184" i="6"/>
  <c r="C188" i="6"/>
  <c r="E188" i="6"/>
  <c r="F188" i="6"/>
  <c r="G188" i="6"/>
  <c r="M188" i="6"/>
  <c r="N188" i="6"/>
  <c r="R188" i="6"/>
  <c r="C189" i="6"/>
  <c r="E189" i="6"/>
  <c r="F189" i="6"/>
  <c r="G189" i="6"/>
  <c r="M189" i="6"/>
  <c r="N189" i="6"/>
  <c r="R189" i="6"/>
  <c r="C190" i="6"/>
  <c r="E190" i="6"/>
  <c r="F190" i="6"/>
  <c r="G190" i="6"/>
  <c r="M190" i="6"/>
  <c r="N190" i="6"/>
  <c r="R190" i="6"/>
  <c r="C194" i="6"/>
  <c r="E194" i="6"/>
  <c r="F194" i="6"/>
  <c r="G194" i="6"/>
  <c r="M194" i="6"/>
  <c r="N194" i="6"/>
  <c r="R194" i="6"/>
  <c r="C195" i="6"/>
  <c r="E195" i="6"/>
  <c r="F195" i="6"/>
  <c r="G195" i="6"/>
  <c r="M195" i="6"/>
  <c r="N195" i="6"/>
  <c r="R195" i="6"/>
  <c r="C196" i="6"/>
  <c r="E196" i="6"/>
  <c r="F196" i="6"/>
  <c r="G196" i="6"/>
  <c r="M196" i="6"/>
  <c r="N196" i="6"/>
  <c r="R196" i="6"/>
  <c r="C200" i="6"/>
  <c r="E200" i="6"/>
  <c r="F200" i="6"/>
  <c r="G200" i="6"/>
  <c r="M200" i="6"/>
  <c r="N200" i="6"/>
  <c r="R200" i="6"/>
  <c r="C201" i="6"/>
  <c r="E201" i="6"/>
  <c r="F201" i="6"/>
  <c r="G201" i="6"/>
  <c r="M201" i="6"/>
  <c r="N201" i="6"/>
  <c r="R201" i="6"/>
  <c r="C202" i="6"/>
  <c r="E202" i="6"/>
  <c r="F202" i="6"/>
  <c r="G202" i="6"/>
  <c r="M202" i="6"/>
  <c r="N202" i="6"/>
  <c r="R202" i="6"/>
  <c r="C206" i="6"/>
  <c r="E206" i="6"/>
  <c r="F206" i="6"/>
  <c r="G206" i="6"/>
  <c r="M206" i="6"/>
  <c r="N206" i="6"/>
  <c r="R206" i="6"/>
  <c r="C207" i="6"/>
  <c r="E207" i="6"/>
  <c r="F207" i="6"/>
  <c r="G207" i="6"/>
  <c r="M207" i="6"/>
  <c r="N207" i="6"/>
  <c r="R207" i="6"/>
  <c r="C208" i="6"/>
  <c r="E208" i="6"/>
  <c r="F208" i="6"/>
  <c r="G208" i="6"/>
  <c r="M208" i="6"/>
  <c r="N208" i="6"/>
  <c r="R208" i="6"/>
  <c r="C212" i="6"/>
  <c r="E212" i="6"/>
  <c r="F212" i="6"/>
  <c r="G212" i="6"/>
  <c r="M212" i="6"/>
  <c r="N212" i="6"/>
  <c r="R212" i="6"/>
  <c r="C213" i="6"/>
  <c r="E213" i="6"/>
  <c r="F213" i="6"/>
  <c r="G213" i="6"/>
  <c r="M213" i="6"/>
  <c r="N213" i="6"/>
  <c r="R213" i="6"/>
  <c r="C214" i="6"/>
  <c r="E214" i="6"/>
  <c r="F214" i="6"/>
  <c r="G214" i="6"/>
  <c r="M214" i="6"/>
  <c r="N214" i="6"/>
  <c r="R214" i="6"/>
  <c r="C218" i="6"/>
  <c r="E218" i="6"/>
  <c r="F218" i="6"/>
  <c r="G218" i="6"/>
  <c r="M218" i="6"/>
  <c r="N218" i="6"/>
  <c r="R218" i="6"/>
  <c r="C219" i="6"/>
  <c r="E219" i="6"/>
  <c r="F219" i="6"/>
  <c r="G219" i="6"/>
  <c r="M219" i="6"/>
  <c r="N219" i="6"/>
  <c r="R219" i="6"/>
  <c r="C220" i="6"/>
  <c r="E220" i="6"/>
  <c r="F220" i="6"/>
  <c r="G220" i="6"/>
  <c r="M220" i="6"/>
  <c r="N220" i="6"/>
  <c r="R220" i="6"/>
  <c r="C224" i="6"/>
  <c r="E224" i="6"/>
  <c r="F224" i="6"/>
  <c r="G224" i="6"/>
  <c r="M224" i="6"/>
  <c r="N224" i="6"/>
  <c r="R224" i="6"/>
  <c r="C225" i="6"/>
  <c r="E225" i="6"/>
  <c r="F225" i="6"/>
  <c r="G225" i="6"/>
  <c r="M225" i="6"/>
  <c r="N225" i="6"/>
  <c r="R225" i="6"/>
  <c r="C226" i="6"/>
  <c r="E226" i="6"/>
  <c r="F226" i="6"/>
  <c r="G226" i="6"/>
  <c r="M226" i="6"/>
  <c r="N226" i="6"/>
  <c r="R226" i="6"/>
  <c r="C230" i="6"/>
  <c r="E230" i="6"/>
  <c r="F230" i="6"/>
  <c r="G230" i="6"/>
  <c r="M230" i="6"/>
  <c r="N230" i="6"/>
  <c r="R230" i="6"/>
  <c r="C231" i="6"/>
  <c r="E231" i="6"/>
  <c r="F231" i="6"/>
  <c r="G231" i="6"/>
  <c r="M231" i="6"/>
  <c r="N231" i="6"/>
  <c r="R231" i="6"/>
  <c r="C232" i="6"/>
  <c r="E232" i="6"/>
  <c r="F232" i="6"/>
  <c r="G232" i="6"/>
  <c r="M232" i="6"/>
  <c r="N232" i="6"/>
  <c r="R232" i="6"/>
  <c r="C782" i="6" l="1"/>
  <c r="E782" i="6"/>
  <c r="F782" i="6"/>
  <c r="G782" i="6"/>
  <c r="L782" i="6"/>
  <c r="M782" i="6"/>
  <c r="N782" i="6"/>
  <c r="R782" i="6"/>
  <c r="C783" i="6"/>
  <c r="E783" i="6"/>
  <c r="F783" i="6"/>
  <c r="G783" i="6"/>
  <c r="L783" i="6"/>
  <c r="M783" i="6"/>
  <c r="N783" i="6"/>
  <c r="R783" i="6"/>
  <c r="C784" i="6"/>
  <c r="E784" i="6"/>
  <c r="F784" i="6"/>
  <c r="G784" i="6"/>
  <c r="L784" i="6"/>
  <c r="M784" i="6"/>
  <c r="N784" i="6"/>
  <c r="R784" i="6"/>
  <c r="C776" i="6"/>
  <c r="E776" i="6"/>
  <c r="F776" i="6"/>
  <c r="G776" i="6"/>
  <c r="L776" i="6"/>
  <c r="M776" i="6"/>
  <c r="N776" i="6"/>
  <c r="R776" i="6"/>
  <c r="C777" i="6"/>
  <c r="E777" i="6"/>
  <c r="F777" i="6"/>
  <c r="G777" i="6"/>
  <c r="L777" i="6"/>
  <c r="M777" i="6"/>
  <c r="N777" i="6"/>
  <c r="R777" i="6"/>
  <c r="C778" i="6"/>
  <c r="E778" i="6"/>
  <c r="F778" i="6"/>
  <c r="G778" i="6"/>
  <c r="L778" i="6"/>
  <c r="M778" i="6"/>
  <c r="N778" i="6"/>
  <c r="R778" i="6"/>
  <c r="C770" i="6"/>
  <c r="E770" i="6"/>
  <c r="F770" i="6"/>
  <c r="G770" i="6"/>
  <c r="L770" i="6"/>
  <c r="M770" i="6"/>
  <c r="N770" i="6"/>
  <c r="R770" i="6"/>
  <c r="C771" i="6"/>
  <c r="E771" i="6"/>
  <c r="F771" i="6"/>
  <c r="G771" i="6"/>
  <c r="L771" i="6"/>
  <c r="M771" i="6"/>
  <c r="N771" i="6"/>
  <c r="R771" i="6"/>
  <c r="C772" i="6"/>
  <c r="E772" i="6"/>
  <c r="F772" i="6"/>
  <c r="G772" i="6"/>
  <c r="L772" i="6"/>
  <c r="M772" i="6"/>
  <c r="N772" i="6"/>
  <c r="R772" i="6"/>
  <c r="R766" i="6"/>
  <c r="N766" i="6"/>
  <c r="M766" i="6"/>
  <c r="L766" i="6"/>
  <c r="G766" i="6"/>
  <c r="F766" i="6"/>
  <c r="E766" i="6"/>
  <c r="C766" i="6"/>
  <c r="R765" i="6"/>
  <c r="N765" i="6"/>
  <c r="M765" i="6"/>
  <c r="L765" i="6"/>
  <c r="G765" i="6"/>
  <c r="F765" i="6"/>
  <c r="E765" i="6"/>
  <c r="C765" i="6"/>
  <c r="R764" i="6"/>
  <c r="N764" i="6"/>
  <c r="M764" i="6"/>
  <c r="L764" i="6"/>
  <c r="G764" i="6"/>
  <c r="F764" i="6"/>
  <c r="E764" i="6"/>
  <c r="C764" i="6"/>
  <c r="R760" i="6"/>
  <c r="N760" i="6"/>
  <c r="M760" i="6"/>
  <c r="L760" i="6"/>
  <c r="G760" i="6"/>
  <c r="F760" i="6"/>
  <c r="E760" i="6"/>
  <c r="C760" i="6"/>
  <c r="R759" i="6"/>
  <c r="N759" i="6"/>
  <c r="M759" i="6"/>
  <c r="L759" i="6"/>
  <c r="G759" i="6"/>
  <c r="F759" i="6"/>
  <c r="E759" i="6"/>
  <c r="C759" i="6"/>
  <c r="R758" i="6"/>
  <c r="N758" i="6"/>
  <c r="M758" i="6"/>
  <c r="L758" i="6"/>
  <c r="G758" i="6"/>
  <c r="F758" i="6"/>
  <c r="E758" i="6"/>
  <c r="C758" i="6"/>
  <c r="R754" i="6"/>
  <c r="N754" i="6"/>
  <c r="M754" i="6"/>
  <c r="L754" i="6"/>
  <c r="G754" i="6"/>
  <c r="F754" i="6"/>
  <c r="E754" i="6"/>
  <c r="C754" i="6"/>
  <c r="R753" i="6"/>
  <c r="N753" i="6"/>
  <c r="M753" i="6"/>
  <c r="L753" i="6"/>
  <c r="G753" i="6"/>
  <c r="F753" i="6"/>
  <c r="E753" i="6"/>
  <c r="C753" i="6"/>
  <c r="R752" i="6"/>
  <c r="N752" i="6"/>
  <c r="M752" i="6"/>
  <c r="L752" i="6"/>
  <c r="G752" i="6"/>
  <c r="F752" i="6"/>
  <c r="E752" i="6"/>
  <c r="C752" i="6"/>
  <c r="R748" i="6"/>
  <c r="N748" i="6"/>
  <c r="M748" i="6"/>
  <c r="L748" i="6"/>
  <c r="G748" i="6"/>
  <c r="F748" i="6"/>
  <c r="E748" i="6"/>
  <c r="C748" i="6"/>
  <c r="R747" i="6"/>
  <c r="N747" i="6"/>
  <c r="M747" i="6"/>
  <c r="L747" i="6"/>
  <c r="G747" i="6"/>
  <c r="F747" i="6"/>
  <c r="E747" i="6"/>
  <c r="C747" i="6"/>
  <c r="R746" i="6"/>
  <c r="N746" i="6"/>
  <c r="M746" i="6"/>
  <c r="L746" i="6"/>
  <c r="G746" i="6"/>
  <c r="F746" i="6"/>
  <c r="E746" i="6"/>
  <c r="C746" i="6"/>
  <c r="C734" i="6"/>
  <c r="E734" i="6"/>
  <c r="F734" i="6"/>
  <c r="G734" i="6"/>
  <c r="L734" i="6"/>
  <c r="M734" i="6"/>
  <c r="N734" i="6"/>
  <c r="R734" i="6"/>
  <c r="C735" i="6"/>
  <c r="E735" i="6"/>
  <c r="F735" i="6"/>
  <c r="G735" i="6"/>
  <c r="L735" i="6"/>
  <c r="M735" i="6"/>
  <c r="N735" i="6"/>
  <c r="R735" i="6"/>
  <c r="C736" i="6"/>
  <c r="E736" i="6"/>
  <c r="F736" i="6"/>
  <c r="G736" i="6"/>
  <c r="L736" i="6"/>
  <c r="M736" i="6"/>
  <c r="N736" i="6"/>
  <c r="R736" i="6"/>
  <c r="C740" i="6"/>
  <c r="E740" i="6"/>
  <c r="F740" i="6"/>
  <c r="G740" i="6"/>
  <c r="L740" i="6"/>
  <c r="M740" i="6"/>
  <c r="N740" i="6"/>
  <c r="R740" i="6"/>
  <c r="C741" i="6"/>
  <c r="E741" i="6"/>
  <c r="F741" i="6"/>
  <c r="G741" i="6"/>
  <c r="L741" i="6"/>
  <c r="M741" i="6"/>
  <c r="N741" i="6"/>
  <c r="R741" i="6"/>
  <c r="C742" i="6"/>
  <c r="E742" i="6"/>
  <c r="F742" i="6"/>
  <c r="G742" i="6"/>
  <c r="L742" i="6"/>
  <c r="M742" i="6"/>
  <c r="N742" i="6"/>
  <c r="R742" i="6"/>
  <c r="R730" i="6"/>
  <c r="N730" i="6"/>
  <c r="M730" i="6"/>
  <c r="L730" i="6"/>
  <c r="G730" i="6"/>
  <c r="F730" i="6"/>
  <c r="E730" i="6"/>
  <c r="C730" i="6"/>
  <c r="R729" i="6"/>
  <c r="N729" i="6"/>
  <c r="M729" i="6"/>
  <c r="L729" i="6"/>
  <c r="G729" i="6"/>
  <c r="F729" i="6"/>
  <c r="E729" i="6"/>
  <c r="C729" i="6"/>
  <c r="R728" i="6"/>
  <c r="N728" i="6"/>
  <c r="M728" i="6"/>
  <c r="L728" i="6"/>
  <c r="G728" i="6"/>
  <c r="F728" i="6"/>
  <c r="E728" i="6"/>
  <c r="C728" i="6"/>
  <c r="R724" i="6"/>
  <c r="N724" i="6"/>
  <c r="M724" i="6"/>
  <c r="L724" i="6"/>
  <c r="G724" i="6"/>
  <c r="F724" i="6"/>
  <c r="E724" i="6"/>
  <c r="C724" i="6"/>
  <c r="R723" i="6"/>
  <c r="N723" i="6"/>
  <c r="M723" i="6"/>
  <c r="L723" i="6"/>
  <c r="G723" i="6"/>
  <c r="F723" i="6"/>
  <c r="E723" i="6"/>
  <c r="C723" i="6"/>
  <c r="R722" i="6"/>
  <c r="N722" i="6"/>
  <c r="M722" i="6"/>
  <c r="L722" i="6"/>
  <c r="G722" i="6"/>
  <c r="F722" i="6"/>
  <c r="E722" i="6"/>
  <c r="C722" i="6"/>
  <c r="R718" i="6"/>
  <c r="N718" i="6"/>
  <c r="M718" i="6"/>
  <c r="L718" i="6"/>
  <c r="G718" i="6"/>
  <c r="F718" i="6"/>
  <c r="E718" i="6"/>
  <c r="C718" i="6"/>
  <c r="R717" i="6"/>
  <c r="N717" i="6"/>
  <c r="M717" i="6"/>
  <c r="L717" i="6"/>
  <c r="G717" i="6"/>
  <c r="F717" i="6"/>
  <c r="E717" i="6"/>
  <c r="C717" i="6"/>
  <c r="R716" i="6"/>
  <c r="N716" i="6"/>
  <c r="M716" i="6"/>
  <c r="L716" i="6"/>
  <c r="G716" i="6"/>
  <c r="F716" i="6"/>
  <c r="E716" i="6"/>
  <c r="C716" i="6"/>
  <c r="R712" i="6"/>
  <c r="N712" i="6"/>
  <c r="M712" i="6"/>
  <c r="L712" i="6"/>
  <c r="G712" i="6"/>
  <c r="F712" i="6"/>
  <c r="E712" i="6"/>
  <c r="C712" i="6"/>
  <c r="R711" i="6"/>
  <c r="N711" i="6"/>
  <c r="M711" i="6"/>
  <c r="L711" i="6"/>
  <c r="G711" i="6"/>
  <c r="F711" i="6"/>
  <c r="E711" i="6"/>
  <c r="C711" i="6"/>
  <c r="R710" i="6"/>
  <c r="N710" i="6"/>
  <c r="M710" i="6"/>
  <c r="L710" i="6"/>
  <c r="G710" i="6"/>
  <c r="F710" i="6"/>
  <c r="E710" i="6"/>
  <c r="C710" i="6"/>
  <c r="R706" i="6"/>
  <c r="N706" i="6"/>
  <c r="M706" i="6"/>
  <c r="L706" i="6"/>
  <c r="G706" i="6"/>
  <c r="F706" i="6"/>
  <c r="E706" i="6"/>
  <c r="C706" i="6"/>
  <c r="R705" i="6"/>
  <c r="N705" i="6"/>
  <c r="M705" i="6"/>
  <c r="L705" i="6"/>
  <c r="G705" i="6"/>
  <c r="F705" i="6"/>
  <c r="E705" i="6"/>
  <c r="C705" i="6"/>
  <c r="R704" i="6"/>
  <c r="N704" i="6"/>
  <c r="M704" i="6"/>
  <c r="L704" i="6"/>
  <c r="G704" i="6"/>
  <c r="F704" i="6"/>
  <c r="E704" i="6"/>
  <c r="C704" i="6"/>
  <c r="R700" i="6"/>
  <c r="N700" i="6"/>
  <c r="M700" i="6"/>
  <c r="L700" i="6"/>
  <c r="G700" i="6"/>
  <c r="F700" i="6"/>
  <c r="E700" i="6"/>
  <c r="C700" i="6"/>
  <c r="R699" i="6"/>
  <c r="N699" i="6"/>
  <c r="M699" i="6"/>
  <c r="L699" i="6"/>
  <c r="G699" i="6"/>
  <c r="F699" i="6"/>
  <c r="E699" i="6"/>
  <c r="C699" i="6"/>
  <c r="R698" i="6"/>
  <c r="N698" i="6"/>
  <c r="M698" i="6"/>
  <c r="L698" i="6"/>
  <c r="G698" i="6"/>
  <c r="F698" i="6"/>
  <c r="E698" i="6"/>
  <c r="C698" i="6"/>
  <c r="R694" i="6"/>
  <c r="N694" i="6"/>
  <c r="M694" i="6"/>
  <c r="L694" i="6"/>
  <c r="G694" i="6"/>
  <c r="F694" i="6"/>
  <c r="E694" i="6"/>
  <c r="C694" i="6"/>
  <c r="R693" i="6"/>
  <c r="N693" i="6"/>
  <c r="M693" i="6"/>
  <c r="L693" i="6"/>
  <c r="G693" i="6"/>
  <c r="F693" i="6"/>
  <c r="E693" i="6"/>
  <c r="C693" i="6"/>
  <c r="R692" i="6"/>
  <c r="N692" i="6"/>
  <c r="M692" i="6"/>
  <c r="L692" i="6"/>
  <c r="G692" i="6"/>
  <c r="F692" i="6"/>
  <c r="E692" i="6"/>
  <c r="C692" i="6"/>
  <c r="R688" i="6"/>
  <c r="N688" i="6"/>
  <c r="M688" i="6"/>
  <c r="L688" i="6"/>
  <c r="G688" i="6"/>
  <c r="F688" i="6"/>
  <c r="E688" i="6"/>
  <c r="C688" i="6"/>
  <c r="R687" i="6"/>
  <c r="N687" i="6"/>
  <c r="M687" i="6"/>
  <c r="L687" i="6"/>
  <c r="G687" i="6"/>
  <c r="F687" i="6"/>
  <c r="E687" i="6"/>
  <c r="C687" i="6"/>
  <c r="R686" i="6"/>
  <c r="N686" i="6"/>
  <c r="M686" i="6"/>
  <c r="L686" i="6"/>
  <c r="G686" i="6"/>
  <c r="F686" i="6"/>
  <c r="E686" i="6"/>
  <c r="C686" i="6"/>
  <c r="R682" i="6"/>
  <c r="N682" i="6"/>
  <c r="M682" i="6"/>
  <c r="L682" i="6"/>
  <c r="G682" i="6"/>
  <c r="F682" i="6"/>
  <c r="E682" i="6"/>
  <c r="C682" i="6"/>
  <c r="R681" i="6"/>
  <c r="N681" i="6"/>
  <c r="M681" i="6"/>
  <c r="L681" i="6"/>
  <c r="G681" i="6"/>
  <c r="F681" i="6"/>
  <c r="E681" i="6"/>
  <c r="C681" i="6"/>
  <c r="R680" i="6"/>
  <c r="N680" i="6"/>
  <c r="M680" i="6"/>
  <c r="L680" i="6"/>
  <c r="G680" i="6"/>
  <c r="F680" i="6"/>
  <c r="E680" i="6"/>
  <c r="C680" i="6"/>
  <c r="AC1" i="6"/>
  <c r="C236" i="6"/>
  <c r="E236" i="6"/>
  <c r="F236" i="6"/>
  <c r="G236" i="6"/>
  <c r="M236" i="6"/>
  <c r="N236" i="6"/>
  <c r="R236" i="6"/>
  <c r="C237" i="6"/>
  <c r="E237" i="6"/>
  <c r="F237" i="6"/>
  <c r="G237" i="6"/>
  <c r="M237" i="6"/>
  <c r="N237" i="6"/>
  <c r="R237" i="6"/>
  <c r="C238" i="6"/>
  <c r="E238" i="6"/>
  <c r="F238" i="6"/>
  <c r="G238" i="6"/>
  <c r="M238" i="6"/>
  <c r="N238" i="6"/>
  <c r="R238" i="6"/>
  <c r="C242" i="6"/>
  <c r="E242" i="6"/>
  <c r="F242" i="6"/>
  <c r="G242" i="6"/>
  <c r="M242" i="6"/>
  <c r="N242" i="6"/>
  <c r="R242" i="6"/>
  <c r="C243" i="6"/>
  <c r="E243" i="6"/>
  <c r="F243" i="6"/>
  <c r="G243" i="6"/>
  <c r="M243" i="6"/>
  <c r="N243" i="6"/>
  <c r="R243" i="6"/>
  <c r="C244" i="6"/>
  <c r="E244" i="6"/>
  <c r="F244" i="6"/>
  <c r="G244" i="6"/>
  <c r="M244" i="6"/>
  <c r="N244" i="6"/>
  <c r="R244" i="6"/>
  <c r="C248" i="6"/>
  <c r="E248" i="6"/>
  <c r="F248" i="6"/>
  <c r="G248" i="6"/>
  <c r="M248" i="6"/>
  <c r="N248" i="6"/>
  <c r="R248" i="6"/>
  <c r="C249" i="6"/>
  <c r="E249" i="6"/>
  <c r="F249" i="6"/>
  <c r="G249" i="6"/>
  <c r="M249" i="6"/>
  <c r="N249" i="6"/>
  <c r="R249" i="6"/>
  <c r="C250" i="6"/>
  <c r="E250" i="6"/>
  <c r="F250" i="6"/>
  <c r="G250" i="6"/>
  <c r="M250" i="6"/>
  <c r="N250" i="6"/>
  <c r="R250" i="6"/>
  <c r="C254" i="6"/>
  <c r="E254" i="6"/>
  <c r="F254" i="6"/>
  <c r="G254" i="6"/>
  <c r="M254" i="6"/>
  <c r="N254" i="6"/>
  <c r="R254" i="6"/>
  <c r="C255" i="6"/>
  <c r="E255" i="6"/>
  <c r="F255" i="6"/>
  <c r="G255" i="6"/>
  <c r="M255" i="6"/>
  <c r="N255" i="6"/>
  <c r="R255" i="6"/>
  <c r="C256" i="6"/>
  <c r="E256" i="6"/>
  <c r="F256" i="6"/>
  <c r="G256" i="6"/>
  <c r="M256" i="6"/>
  <c r="N256" i="6"/>
  <c r="R256" i="6"/>
  <c r="C260" i="6"/>
  <c r="E260" i="6"/>
  <c r="F260" i="6"/>
  <c r="G260" i="6"/>
  <c r="M260" i="6"/>
  <c r="N260" i="6"/>
  <c r="R260" i="6"/>
  <c r="C261" i="6"/>
  <c r="E261" i="6"/>
  <c r="F261" i="6"/>
  <c r="G261" i="6"/>
  <c r="M261" i="6"/>
  <c r="N261" i="6"/>
  <c r="R261" i="6"/>
  <c r="C262" i="6"/>
  <c r="E262" i="6"/>
  <c r="F262" i="6"/>
  <c r="G262" i="6"/>
  <c r="M262" i="6"/>
  <c r="N262" i="6"/>
  <c r="R262" i="6"/>
  <c r="C266" i="6"/>
  <c r="E266" i="6"/>
  <c r="F266" i="6"/>
  <c r="G266" i="6"/>
  <c r="M266" i="6"/>
  <c r="N266" i="6"/>
  <c r="R266" i="6"/>
  <c r="C267" i="6"/>
  <c r="E267" i="6"/>
  <c r="F267" i="6"/>
  <c r="G267" i="6"/>
  <c r="M267" i="6"/>
  <c r="N267" i="6"/>
  <c r="R267" i="6"/>
  <c r="C268" i="6"/>
  <c r="E268" i="6"/>
  <c r="F268" i="6"/>
  <c r="G268" i="6"/>
  <c r="M268" i="6"/>
  <c r="N268" i="6"/>
  <c r="R268" i="6"/>
  <c r="C272" i="6"/>
  <c r="E272" i="6"/>
  <c r="F272" i="6"/>
  <c r="G272" i="6"/>
  <c r="M272" i="6"/>
  <c r="N272" i="6"/>
  <c r="R272" i="6"/>
  <c r="C273" i="6"/>
  <c r="E273" i="6"/>
  <c r="F273" i="6"/>
  <c r="G273" i="6"/>
  <c r="M273" i="6"/>
  <c r="N273" i="6"/>
  <c r="R273" i="6"/>
  <c r="C274" i="6"/>
  <c r="E274" i="6"/>
  <c r="F274" i="6"/>
  <c r="G274" i="6"/>
  <c r="M274" i="6"/>
  <c r="N274" i="6"/>
  <c r="R274" i="6"/>
  <c r="C278" i="6"/>
  <c r="E278" i="6"/>
  <c r="F278" i="6"/>
  <c r="G278" i="6"/>
  <c r="M278" i="6"/>
  <c r="N278" i="6"/>
  <c r="R278" i="6"/>
  <c r="C279" i="6"/>
  <c r="E279" i="6"/>
  <c r="F279" i="6"/>
  <c r="G279" i="6"/>
  <c r="M279" i="6"/>
  <c r="N279" i="6"/>
  <c r="R279" i="6"/>
  <c r="C280" i="6"/>
  <c r="E280" i="6"/>
  <c r="F280" i="6"/>
  <c r="G280" i="6"/>
  <c r="M280" i="6"/>
  <c r="N280" i="6"/>
  <c r="R280" i="6"/>
  <c r="C284" i="6"/>
  <c r="E284" i="6"/>
  <c r="F284" i="6"/>
  <c r="G284" i="6"/>
  <c r="M284" i="6"/>
  <c r="N284" i="6"/>
  <c r="R284" i="6"/>
  <c r="C285" i="6"/>
  <c r="E285" i="6"/>
  <c r="F285" i="6"/>
  <c r="G285" i="6"/>
  <c r="M285" i="6"/>
  <c r="N285" i="6"/>
  <c r="R285" i="6"/>
  <c r="C286" i="6"/>
  <c r="E286" i="6"/>
  <c r="F286" i="6"/>
  <c r="G286" i="6"/>
  <c r="M286" i="6"/>
  <c r="N286" i="6"/>
  <c r="R286" i="6"/>
  <c r="C290" i="6"/>
  <c r="E290" i="6"/>
  <c r="F290" i="6"/>
  <c r="G290" i="6"/>
  <c r="M290" i="6"/>
  <c r="N290" i="6"/>
  <c r="R290" i="6"/>
  <c r="C291" i="6"/>
  <c r="E291" i="6"/>
  <c r="F291" i="6"/>
  <c r="G291" i="6"/>
  <c r="M291" i="6"/>
  <c r="N291" i="6"/>
  <c r="R291" i="6"/>
  <c r="C292" i="6"/>
  <c r="E292" i="6"/>
  <c r="F292" i="6"/>
  <c r="G292" i="6"/>
  <c r="M292" i="6"/>
  <c r="N292" i="6"/>
  <c r="R292" i="6"/>
  <c r="C296" i="6"/>
  <c r="E296" i="6"/>
  <c r="F296" i="6"/>
  <c r="G296" i="6"/>
  <c r="M296" i="6"/>
  <c r="N296" i="6"/>
  <c r="R296" i="6"/>
  <c r="C297" i="6"/>
  <c r="E297" i="6"/>
  <c r="F297" i="6"/>
  <c r="G297" i="6"/>
  <c r="M297" i="6"/>
  <c r="N297" i="6"/>
  <c r="R297" i="6"/>
  <c r="C298" i="6"/>
  <c r="E298" i="6"/>
  <c r="F298" i="6"/>
  <c r="G298" i="6"/>
  <c r="M298" i="6"/>
  <c r="N298" i="6"/>
  <c r="R298" i="6"/>
  <c r="C302" i="6"/>
  <c r="E302" i="6"/>
  <c r="F302" i="6"/>
  <c r="G302" i="6"/>
  <c r="M302" i="6"/>
  <c r="N302" i="6"/>
  <c r="R302" i="6"/>
  <c r="C303" i="6"/>
  <c r="E303" i="6"/>
  <c r="F303" i="6"/>
  <c r="G303" i="6"/>
  <c r="M303" i="6"/>
  <c r="N303" i="6"/>
  <c r="R303" i="6"/>
  <c r="C304" i="6"/>
  <c r="E304" i="6"/>
  <c r="F304" i="6"/>
  <c r="G304" i="6"/>
  <c r="M304" i="6"/>
  <c r="N304" i="6"/>
  <c r="R304" i="6"/>
  <c r="C308" i="6"/>
  <c r="E308" i="6"/>
  <c r="F308" i="6"/>
  <c r="G308" i="6"/>
  <c r="M308" i="6"/>
  <c r="N308" i="6"/>
  <c r="R308" i="6"/>
  <c r="C309" i="6"/>
  <c r="E309" i="6"/>
  <c r="F309" i="6"/>
  <c r="G309" i="6"/>
  <c r="M309" i="6"/>
  <c r="N309" i="6"/>
  <c r="R309" i="6"/>
  <c r="C310" i="6"/>
  <c r="E310" i="6"/>
  <c r="F310" i="6"/>
  <c r="G310" i="6"/>
  <c r="M310" i="6"/>
  <c r="N310" i="6"/>
  <c r="R310" i="6"/>
  <c r="C314" i="6"/>
  <c r="E314" i="6"/>
  <c r="F314" i="6"/>
  <c r="G314" i="6"/>
  <c r="M314" i="6"/>
  <c r="N314" i="6"/>
  <c r="R314" i="6"/>
  <c r="C315" i="6"/>
  <c r="E315" i="6"/>
  <c r="F315" i="6"/>
  <c r="G315" i="6"/>
  <c r="M315" i="6"/>
  <c r="N315" i="6"/>
  <c r="R315" i="6"/>
  <c r="C316" i="6"/>
  <c r="E316" i="6"/>
  <c r="F316" i="6"/>
  <c r="G316" i="6"/>
  <c r="M316" i="6"/>
  <c r="N316" i="6"/>
  <c r="R316" i="6"/>
  <c r="C320" i="6"/>
  <c r="E320" i="6"/>
  <c r="F320" i="6"/>
  <c r="G320" i="6"/>
  <c r="M320" i="6"/>
  <c r="N320" i="6"/>
  <c r="R320" i="6"/>
  <c r="C321" i="6"/>
  <c r="E321" i="6"/>
  <c r="F321" i="6"/>
  <c r="G321" i="6"/>
  <c r="M321" i="6"/>
  <c r="N321" i="6"/>
  <c r="R321" i="6"/>
  <c r="C322" i="6"/>
  <c r="E322" i="6"/>
  <c r="F322" i="6"/>
  <c r="G322" i="6"/>
  <c r="M322" i="6"/>
  <c r="N322" i="6"/>
  <c r="R322" i="6"/>
  <c r="E324" i="6"/>
  <c r="E327" i="6" s="1"/>
  <c r="C326" i="6"/>
  <c r="F326" i="6"/>
  <c r="G326" i="6"/>
  <c r="M326" i="6"/>
  <c r="N326" i="6"/>
  <c r="R326" i="6"/>
  <c r="C327" i="6"/>
  <c r="F327" i="6"/>
  <c r="G327" i="6"/>
  <c r="M327" i="6"/>
  <c r="N327" i="6"/>
  <c r="R327" i="6"/>
  <c r="C328" i="6"/>
  <c r="E328" i="6"/>
  <c r="F328" i="6"/>
  <c r="G328" i="6"/>
  <c r="M328" i="6"/>
  <c r="N328" i="6"/>
  <c r="R328" i="6"/>
  <c r="E330" i="6"/>
  <c r="E332" i="6" s="1"/>
  <c r="G330" i="6"/>
  <c r="G332" i="6" s="1"/>
  <c r="R330" i="6"/>
  <c r="R333" i="6" s="1"/>
  <c r="C332" i="6"/>
  <c r="F332" i="6"/>
  <c r="M332" i="6"/>
  <c r="N332" i="6"/>
  <c r="C333" i="6"/>
  <c r="F333" i="6"/>
  <c r="G333" i="6"/>
  <c r="M333" i="6"/>
  <c r="N333" i="6"/>
  <c r="C334" i="6"/>
  <c r="E334" i="6"/>
  <c r="F334" i="6"/>
  <c r="G334" i="6"/>
  <c r="M334" i="6"/>
  <c r="N334" i="6"/>
  <c r="R334" i="6"/>
  <c r="E336" i="6"/>
  <c r="E339" i="6" s="1"/>
  <c r="G336" i="6"/>
  <c r="G338" i="6" s="1"/>
  <c r="R336" i="6"/>
  <c r="R339" i="6" s="1"/>
  <c r="C338" i="6"/>
  <c r="F338" i="6"/>
  <c r="M338" i="6"/>
  <c r="N338" i="6"/>
  <c r="C339" i="6"/>
  <c r="F339" i="6"/>
  <c r="M339" i="6"/>
  <c r="N339" i="6"/>
  <c r="C340" i="6"/>
  <c r="E340" i="6"/>
  <c r="F340" i="6"/>
  <c r="G340" i="6"/>
  <c r="M340" i="6"/>
  <c r="N340" i="6"/>
  <c r="R340" i="6"/>
  <c r="E342" i="6"/>
  <c r="E345" i="6" s="1"/>
  <c r="G342" i="6"/>
  <c r="G344" i="6" s="1"/>
  <c r="R342" i="6"/>
  <c r="R345" i="6" s="1"/>
  <c r="C344" i="6"/>
  <c r="F344" i="6"/>
  <c r="M344" i="6"/>
  <c r="N344" i="6"/>
  <c r="C345" i="6"/>
  <c r="F345" i="6"/>
  <c r="M345" i="6"/>
  <c r="N345" i="6"/>
  <c r="C346" i="6"/>
  <c r="E346" i="6"/>
  <c r="F346" i="6"/>
  <c r="G346" i="6"/>
  <c r="M346" i="6"/>
  <c r="N346" i="6"/>
  <c r="R346" i="6"/>
  <c r="G348" i="6"/>
  <c r="G350" i="6" s="1"/>
  <c r="R348" i="6"/>
  <c r="R351" i="6" s="1"/>
  <c r="C350" i="6"/>
  <c r="E350" i="6"/>
  <c r="F350" i="6"/>
  <c r="M350" i="6"/>
  <c r="N350" i="6"/>
  <c r="C351" i="6"/>
  <c r="E351" i="6"/>
  <c r="F351" i="6"/>
  <c r="M351" i="6"/>
  <c r="N351" i="6"/>
  <c r="C352" i="6"/>
  <c r="E352" i="6"/>
  <c r="F352" i="6"/>
  <c r="G352" i="6"/>
  <c r="M352" i="6"/>
  <c r="N352" i="6"/>
  <c r="R352" i="6"/>
  <c r="G354" i="6"/>
  <c r="G357" i="6" s="1"/>
  <c r="C356" i="6"/>
  <c r="E356" i="6"/>
  <c r="F356" i="6"/>
  <c r="M356" i="6"/>
  <c r="N356" i="6"/>
  <c r="R356" i="6"/>
  <c r="C357" i="6"/>
  <c r="E357" i="6"/>
  <c r="F357" i="6"/>
  <c r="M357" i="6"/>
  <c r="N357" i="6"/>
  <c r="R357" i="6"/>
  <c r="C358" i="6"/>
  <c r="E358" i="6"/>
  <c r="F358" i="6"/>
  <c r="G358" i="6"/>
  <c r="M358" i="6"/>
  <c r="N358" i="6"/>
  <c r="R358" i="6"/>
  <c r="G360" i="6"/>
  <c r="G363" i="6" s="1"/>
  <c r="C362" i="6"/>
  <c r="E362" i="6"/>
  <c r="F362" i="6"/>
  <c r="M362" i="6"/>
  <c r="N362" i="6"/>
  <c r="R362" i="6"/>
  <c r="C363" i="6"/>
  <c r="E363" i="6"/>
  <c r="F363" i="6"/>
  <c r="M363" i="6"/>
  <c r="N363" i="6"/>
  <c r="R363" i="6"/>
  <c r="C364" i="6"/>
  <c r="E364" i="6"/>
  <c r="F364" i="6"/>
  <c r="G364" i="6"/>
  <c r="M364" i="6"/>
  <c r="N364" i="6"/>
  <c r="R364" i="6"/>
  <c r="C368" i="6"/>
  <c r="E368" i="6"/>
  <c r="F368" i="6"/>
  <c r="G368" i="6"/>
  <c r="M368" i="6"/>
  <c r="N368" i="6"/>
  <c r="R368" i="6"/>
  <c r="C369" i="6"/>
  <c r="E369" i="6"/>
  <c r="F369" i="6"/>
  <c r="G369" i="6"/>
  <c r="M369" i="6"/>
  <c r="N369" i="6"/>
  <c r="R369" i="6"/>
  <c r="C370" i="6"/>
  <c r="E370" i="6"/>
  <c r="F370" i="6"/>
  <c r="G370" i="6"/>
  <c r="M370" i="6"/>
  <c r="N370" i="6"/>
  <c r="R370" i="6"/>
  <c r="C374" i="6"/>
  <c r="E374" i="6"/>
  <c r="F374" i="6"/>
  <c r="G374" i="6"/>
  <c r="M374" i="6"/>
  <c r="N374" i="6"/>
  <c r="R374" i="6"/>
  <c r="C375" i="6"/>
  <c r="E375" i="6"/>
  <c r="F375" i="6"/>
  <c r="G375" i="6"/>
  <c r="M375" i="6"/>
  <c r="N375" i="6"/>
  <c r="R375" i="6"/>
  <c r="C376" i="6"/>
  <c r="E376" i="6"/>
  <c r="F376" i="6"/>
  <c r="G376" i="6"/>
  <c r="M376" i="6"/>
  <c r="N376" i="6"/>
  <c r="R376" i="6"/>
  <c r="C380" i="6"/>
  <c r="E380" i="6"/>
  <c r="F380" i="6"/>
  <c r="G380" i="6"/>
  <c r="M380" i="6"/>
  <c r="N380" i="6"/>
  <c r="R380" i="6"/>
  <c r="C381" i="6"/>
  <c r="E381" i="6"/>
  <c r="F381" i="6"/>
  <c r="G381" i="6"/>
  <c r="M381" i="6"/>
  <c r="N381" i="6"/>
  <c r="R381" i="6"/>
  <c r="C382" i="6"/>
  <c r="E382" i="6"/>
  <c r="F382" i="6"/>
  <c r="G382" i="6"/>
  <c r="M382" i="6"/>
  <c r="N382" i="6"/>
  <c r="R382" i="6"/>
  <c r="C386" i="6"/>
  <c r="E386" i="6"/>
  <c r="F386" i="6"/>
  <c r="G386" i="6"/>
  <c r="M386" i="6"/>
  <c r="N386" i="6"/>
  <c r="R386" i="6"/>
  <c r="C387" i="6"/>
  <c r="E387" i="6"/>
  <c r="F387" i="6"/>
  <c r="G387" i="6"/>
  <c r="M387" i="6"/>
  <c r="N387" i="6"/>
  <c r="R387" i="6"/>
  <c r="C388" i="6"/>
  <c r="E388" i="6"/>
  <c r="F388" i="6"/>
  <c r="G388" i="6"/>
  <c r="M388" i="6"/>
  <c r="N388" i="6"/>
  <c r="R388" i="6"/>
  <c r="C392" i="6"/>
  <c r="E392" i="6"/>
  <c r="F392" i="6"/>
  <c r="G392" i="6"/>
  <c r="M392" i="6"/>
  <c r="N392" i="6"/>
  <c r="R392" i="6"/>
  <c r="C393" i="6"/>
  <c r="E393" i="6"/>
  <c r="F393" i="6"/>
  <c r="G393" i="6"/>
  <c r="M393" i="6"/>
  <c r="N393" i="6"/>
  <c r="R393" i="6"/>
  <c r="C394" i="6"/>
  <c r="E394" i="6"/>
  <c r="F394" i="6"/>
  <c r="G394" i="6"/>
  <c r="M394" i="6"/>
  <c r="N394" i="6"/>
  <c r="R394" i="6"/>
  <c r="C398" i="6"/>
  <c r="E398" i="6"/>
  <c r="F398" i="6"/>
  <c r="G398" i="6"/>
  <c r="M398" i="6"/>
  <c r="N398" i="6"/>
  <c r="R398" i="6"/>
  <c r="C399" i="6"/>
  <c r="E399" i="6"/>
  <c r="F399" i="6"/>
  <c r="G399" i="6"/>
  <c r="M399" i="6"/>
  <c r="N399" i="6"/>
  <c r="R399" i="6"/>
  <c r="C400" i="6"/>
  <c r="E400" i="6"/>
  <c r="F400" i="6"/>
  <c r="G400" i="6"/>
  <c r="M400" i="6"/>
  <c r="N400" i="6"/>
  <c r="R400" i="6"/>
  <c r="C404" i="6"/>
  <c r="E404" i="6"/>
  <c r="F404" i="6"/>
  <c r="G404" i="6"/>
  <c r="M404" i="6"/>
  <c r="N404" i="6"/>
  <c r="R404" i="6"/>
  <c r="C405" i="6"/>
  <c r="E405" i="6"/>
  <c r="F405" i="6"/>
  <c r="G405" i="6"/>
  <c r="M405" i="6"/>
  <c r="N405" i="6"/>
  <c r="R405" i="6"/>
  <c r="C406" i="6"/>
  <c r="E406" i="6"/>
  <c r="F406" i="6"/>
  <c r="G406" i="6"/>
  <c r="M406" i="6"/>
  <c r="N406" i="6"/>
  <c r="R406" i="6"/>
  <c r="C410" i="6"/>
  <c r="E410" i="6"/>
  <c r="F410" i="6"/>
  <c r="G410" i="6"/>
  <c r="M410" i="6"/>
  <c r="N410" i="6"/>
  <c r="R410" i="6"/>
  <c r="C411" i="6"/>
  <c r="E411" i="6"/>
  <c r="F411" i="6"/>
  <c r="G411" i="6"/>
  <c r="M411" i="6"/>
  <c r="N411" i="6"/>
  <c r="R411" i="6"/>
  <c r="C412" i="6"/>
  <c r="E412" i="6"/>
  <c r="F412" i="6"/>
  <c r="G412" i="6"/>
  <c r="M412" i="6"/>
  <c r="N412" i="6"/>
  <c r="R412" i="6"/>
  <c r="C416" i="6"/>
  <c r="E416" i="6"/>
  <c r="F416" i="6"/>
  <c r="G416" i="6"/>
  <c r="M416" i="6"/>
  <c r="N416" i="6"/>
  <c r="R416" i="6"/>
  <c r="C417" i="6"/>
  <c r="E417" i="6"/>
  <c r="F417" i="6"/>
  <c r="G417" i="6"/>
  <c r="M417" i="6"/>
  <c r="N417" i="6"/>
  <c r="R417" i="6"/>
  <c r="C418" i="6"/>
  <c r="E418" i="6"/>
  <c r="F418" i="6"/>
  <c r="G418" i="6"/>
  <c r="M418" i="6"/>
  <c r="N418" i="6"/>
  <c r="R418" i="6"/>
  <c r="C422" i="6"/>
  <c r="E422" i="6"/>
  <c r="F422" i="6"/>
  <c r="G422" i="6"/>
  <c r="M422" i="6"/>
  <c r="N422" i="6"/>
  <c r="R422" i="6"/>
  <c r="C423" i="6"/>
  <c r="E423" i="6"/>
  <c r="F423" i="6"/>
  <c r="G423" i="6"/>
  <c r="M423" i="6"/>
  <c r="N423" i="6"/>
  <c r="R423" i="6"/>
  <c r="C424" i="6"/>
  <c r="E424" i="6"/>
  <c r="F424" i="6"/>
  <c r="G424" i="6"/>
  <c r="M424" i="6"/>
  <c r="N424" i="6"/>
  <c r="R424" i="6"/>
  <c r="C428" i="6"/>
  <c r="E428" i="6"/>
  <c r="F428" i="6"/>
  <c r="G428" i="6"/>
  <c r="M428" i="6"/>
  <c r="N428" i="6"/>
  <c r="R428" i="6"/>
  <c r="C429" i="6"/>
  <c r="E429" i="6"/>
  <c r="F429" i="6"/>
  <c r="G429" i="6"/>
  <c r="M429" i="6"/>
  <c r="N429" i="6"/>
  <c r="R429" i="6"/>
  <c r="C430" i="6"/>
  <c r="E430" i="6"/>
  <c r="F430" i="6"/>
  <c r="G430" i="6"/>
  <c r="M430" i="6"/>
  <c r="N430" i="6"/>
  <c r="R430" i="6"/>
  <c r="C434" i="6"/>
  <c r="E434" i="6"/>
  <c r="F434" i="6"/>
  <c r="G434" i="6"/>
  <c r="M434" i="6"/>
  <c r="N434" i="6"/>
  <c r="R434" i="6"/>
  <c r="C435" i="6"/>
  <c r="E435" i="6"/>
  <c r="F435" i="6"/>
  <c r="G435" i="6"/>
  <c r="M435" i="6"/>
  <c r="N435" i="6"/>
  <c r="R435" i="6"/>
  <c r="C436" i="6"/>
  <c r="E436" i="6"/>
  <c r="F436" i="6"/>
  <c r="G436" i="6"/>
  <c r="M436" i="6"/>
  <c r="N436" i="6"/>
  <c r="R436" i="6"/>
  <c r="C440" i="6"/>
  <c r="E440" i="6"/>
  <c r="F440" i="6"/>
  <c r="G440" i="6"/>
  <c r="M440" i="6"/>
  <c r="N440" i="6"/>
  <c r="R440" i="6"/>
  <c r="C441" i="6"/>
  <c r="E441" i="6"/>
  <c r="F441" i="6"/>
  <c r="G441" i="6"/>
  <c r="M441" i="6"/>
  <c r="N441" i="6"/>
  <c r="R441" i="6"/>
  <c r="C442" i="6"/>
  <c r="E442" i="6"/>
  <c r="F442" i="6"/>
  <c r="G442" i="6"/>
  <c r="M442" i="6"/>
  <c r="N442" i="6"/>
  <c r="R442" i="6"/>
  <c r="C446" i="6"/>
  <c r="E446" i="6"/>
  <c r="F446" i="6"/>
  <c r="G446" i="6"/>
  <c r="M446" i="6"/>
  <c r="N446" i="6"/>
  <c r="R446" i="6"/>
  <c r="C447" i="6"/>
  <c r="E447" i="6"/>
  <c r="F447" i="6"/>
  <c r="G447" i="6"/>
  <c r="M447" i="6"/>
  <c r="N447" i="6"/>
  <c r="R447" i="6"/>
  <c r="C448" i="6"/>
  <c r="E448" i="6"/>
  <c r="F448" i="6"/>
  <c r="G448" i="6"/>
  <c r="M448" i="6"/>
  <c r="N448" i="6"/>
  <c r="R448" i="6"/>
  <c r="C452" i="6"/>
  <c r="E452" i="6"/>
  <c r="F452" i="6"/>
  <c r="G452" i="6"/>
  <c r="M452" i="6"/>
  <c r="N452" i="6"/>
  <c r="R452" i="6"/>
  <c r="C453" i="6"/>
  <c r="E453" i="6"/>
  <c r="F453" i="6"/>
  <c r="G453" i="6"/>
  <c r="M453" i="6"/>
  <c r="N453" i="6"/>
  <c r="R453" i="6"/>
  <c r="C454" i="6"/>
  <c r="E454" i="6"/>
  <c r="F454" i="6"/>
  <c r="G454" i="6"/>
  <c r="M454" i="6"/>
  <c r="N454" i="6"/>
  <c r="R454" i="6"/>
  <c r="C458" i="6"/>
  <c r="E458" i="6"/>
  <c r="F458" i="6"/>
  <c r="G458" i="6"/>
  <c r="M458" i="6"/>
  <c r="N458" i="6"/>
  <c r="R458" i="6"/>
  <c r="C459" i="6"/>
  <c r="E459" i="6"/>
  <c r="F459" i="6"/>
  <c r="G459" i="6"/>
  <c r="M459" i="6"/>
  <c r="N459" i="6"/>
  <c r="R459" i="6"/>
  <c r="C460" i="6"/>
  <c r="E460" i="6"/>
  <c r="F460" i="6"/>
  <c r="G460" i="6"/>
  <c r="M460" i="6"/>
  <c r="N460" i="6"/>
  <c r="R460" i="6"/>
  <c r="C464" i="6"/>
  <c r="E464" i="6"/>
  <c r="F464" i="6"/>
  <c r="G464" i="6"/>
  <c r="M464" i="6"/>
  <c r="N464" i="6"/>
  <c r="R464" i="6"/>
  <c r="C465" i="6"/>
  <c r="E465" i="6"/>
  <c r="F465" i="6"/>
  <c r="G465" i="6"/>
  <c r="M465" i="6"/>
  <c r="N465" i="6"/>
  <c r="R465" i="6"/>
  <c r="C466" i="6"/>
  <c r="E466" i="6"/>
  <c r="F466" i="6"/>
  <c r="G466" i="6"/>
  <c r="M466" i="6"/>
  <c r="N466" i="6"/>
  <c r="R466" i="6"/>
  <c r="C470" i="6"/>
  <c r="E470" i="6"/>
  <c r="F470" i="6"/>
  <c r="G470" i="6"/>
  <c r="M470" i="6"/>
  <c r="N470" i="6"/>
  <c r="R470" i="6"/>
  <c r="C471" i="6"/>
  <c r="E471" i="6"/>
  <c r="F471" i="6"/>
  <c r="G471" i="6"/>
  <c r="M471" i="6"/>
  <c r="N471" i="6"/>
  <c r="R471" i="6"/>
  <c r="C472" i="6"/>
  <c r="E472" i="6"/>
  <c r="F472" i="6"/>
  <c r="G472" i="6"/>
  <c r="M472" i="6"/>
  <c r="N472" i="6"/>
  <c r="R472" i="6"/>
  <c r="C476" i="6"/>
  <c r="E476" i="6"/>
  <c r="F476" i="6"/>
  <c r="G476" i="6"/>
  <c r="L476" i="6"/>
  <c r="M476" i="6"/>
  <c r="N476" i="6"/>
  <c r="R476" i="6"/>
  <c r="C477" i="6"/>
  <c r="E477" i="6"/>
  <c r="F477" i="6"/>
  <c r="G477" i="6"/>
  <c r="L477" i="6"/>
  <c r="M477" i="6"/>
  <c r="N477" i="6"/>
  <c r="R477" i="6"/>
  <c r="C478" i="6"/>
  <c r="E478" i="6"/>
  <c r="F478" i="6"/>
  <c r="G478" i="6"/>
  <c r="M478" i="6"/>
  <c r="N478" i="6"/>
  <c r="R478" i="6"/>
  <c r="C482" i="6"/>
  <c r="E482" i="6"/>
  <c r="F482" i="6"/>
  <c r="G482" i="6"/>
  <c r="L482" i="6"/>
  <c r="M482" i="6"/>
  <c r="N482" i="6"/>
  <c r="R482" i="6"/>
  <c r="C483" i="6"/>
  <c r="E483" i="6"/>
  <c r="F483" i="6"/>
  <c r="G483" i="6"/>
  <c r="L483" i="6"/>
  <c r="M483" i="6"/>
  <c r="N483" i="6"/>
  <c r="R483" i="6"/>
  <c r="C484" i="6"/>
  <c r="E484" i="6"/>
  <c r="F484" i="6"/>
  <c r="G484" i="6"/>
  <c r="L484" i="6"/>
  <c r="M484" i="6"/>
  <c r="N484" i="6"/>
  <c r="R484" i="6"/>
  <c r="C488" i="6"/>
  <c r="E488" i="6"/>
  <c r="F488" i="6"/>
  <c r="G488" i="6"/>
  <c r="L488" i="6"/>
  <c r="M488" i="6"/>
  <c r="N488" i="6"/>
  <c r="R488" i="6"/>
  <c r="C489" i="6"/>
  <c r="E489" i="6"/>
  <c r="F489" i="6"/>
  <c r="G489" i="6"/>
  <c r="L489" i="6"/>
  <c r="M489" i="6"/>
  <c r="N489" i="6"/>
  <c r="R489" i="6"/>
  <c r="C490" i="6"/>
  <c r="E490" i="6"/>
  <c r="F490" i="6"/>
  <c r="G490" i="6"/>
  <c r="L490" i="6"/>
  <c r="M490" i="6"/>
  <c r="N490" i="6"/>
  <c r="R490" i="6"/>
  <c r="C494" i="6"/>
  <c r="E494" i="6"/>
  <c r="F494" i="6"/>
  <c r="G494" i="6"/>
  <c r="L494" i="6"/>
  <c r="M494" i="6"/>
  <c r="N494" i="6"/>
  <c r="R494" i="6"/>
  <c r="C495" i="6"/>
  <c r="E495" i="6"/>
  <c r="F495" i="6"/>
  <c r="G495" i="6"/>
  <c r="L495" i="6"/>
  <c r="M495" i="6"/>
  <c r="N495" i="6"/>
  <c r="R495" i="6"/>
  <c r="C496" i="6"/>
  <c r="E496" i="6"/>
  <c r="F496" i="6"/>
  <c r="G496" i="6"/>
  <c r="L496" i="6"/>
  <c r="M496" i="6"/>
  <c r="N496" i="6"/>
  <c r="R496" i="6"/>
  <c r="C500" i="6"/>
  <c r="E500" i="6"/>
  <c r="F500" i="6"/>
  <c r="G500" i="6"/>
  <c r="L500" i="6"/>
  <c r="M500" i="6"/>
  <c r="N500" i="6"/>
  <c r="R500" i="6"/>
  <c r="C501" i="6"/>
  <c r="E501" i="6"/>
  <c r="F501" i="6"/>
  <c r="G501" i="6"/>
  <c r="L501" i="6"/>
  <c r="M501" i="6"/>
  <c r="N501" i="6"/>
  <c r="R501" i="6"/>
  <c r="C502" i="6"/>
  <c r="E502" i="6"/>
  <c r="F502" i="6"/>
  <c r="G502" i="6"/>
  <c r="L502" i="6"/>
  <c r="M502" i="6"/>
  <c r="N502" i="6"/>
  <c r="R502" i="6"/>
  <c r="C506" i="6"/>
  <c r="E506" i="6"/>
  <c r="F506" i="6"/>
  <c r="G506" i="6"/>
  <c r="L506" i="6"/>
  <c r="M506" i="6"/>
  <c r="N506" i="6"/>
  <c r="R506" i="6"/>
  <c r="C507" i="6"/>
  <c r="E507" i="6"/>
  <c r="F507" i="6"/>
  <c r="G507" i="6"/>
  <c r="L507" i="6"/>
  <c r="M507" i="6"/>
  <c r="N507" i="6"/>
  <c r="R507" i="6"/>
  <c r="C508" i="6"/>
  <c r="E508" i="6"/>
  <c r="F508" i="6"/>
  <c r="G508" i="6"/>
  <c r="L508" i="6"/>
  <c r="M508" i="6"/>
  <c r="N508" i="6"/>
  <c r="R508" i="6"/>
  <c r="C512" i="6"/>
  <c r="E512" i="6"/>
  <c r="F512" i="6"/>
  <c r="G512" i="6"/>
  <c r="L512" i="6"/>
  <c r="M512" i="6"/>
  <c r="N512" i="6"/>
  <c r="R512" i="6"/>
  <c r="C513" i="6"/>
  <c r="E513" i="6"/>
  <c r="F513" i="6"/>
  <c r="G513" i="6"/>
  <c r="L513" i="6"/>
  <c r="M513" i="6"/>
  <c r="N513" i="6"/>
  <c r="R513" i="6"/>
  <c r="C514" i="6"/>
  <c r="E514" i="6"/>
  <c r="F514" i="6"/>
  <c r="G514" i="6"/>
  <c r="L514" i="6"/>
  <c r="M514" i="6"/>
  <c r="N514" i="6"/>
  <c r="R514" i="6"/>
  <c r="C518" i="6"/>
  <c r="E518" i="6"/>
  <c r="F518" i="6"/>
  <c r="G518" i="6"/>
  <c r="L518" i="6"/>
  <c r="M518" i="6"/>
  <c r="N518" i="6"/>
  <c r="R518" i="6"/>
  <c r="C519" i="6"/>
  <c r="E519" i="6"/>
  <c r="F519" i="6"/>
  <c r="G519" i="6"/>
  <c r="L519" i="6"/>
  <c r="M519" i="6"/>
  <c r="N519" i="6"/>
  <c r="R519" i="6"/>
  <c r="C520" i="6"/>
  <c r="E520" i="6"/>
  <c r="F520" i="6"/>
  <c r="G520" i="6"/>
  <c r="L520" i="6"/>
  <c r="M520" i="6"/>
  <c r="N520" i="6"/>
  <c r="R520" i="6"/>
  <c r="C524" i="6"/>
  <c r="E524" i="6"/>
  <c r="F524" i="6"/>
  <c r="G524" i="6"/>
  <c r="L524" i="6"/>
  <c r="M524" i="6"/>
  <c r="N524" i="6"/>
  <c r="R524" i="6"/>
  <c r="C525" i="6"/>
  <c r="E525" i="6"/>
  <c r="F525" i="6"/>
  <c r="G525" i="6"/>
  <c r="L525" i="6"/>
  <c r="M525" i="6"/>
  <c r="N525" i="6"/>
  <c r="R525" i="6"/>
  <c r="C526" i="6"/>
  <c r="E526" i="6"/>
  <c r="F526" i="6"/>
  <c r="G526" i="6"/>
  <c r="L526" i="6"/>
  <c r="M526" i="6"/>
  <c r="N526" i="6"/>
  <c r="R526" i="6"/>
  <c r="C530" i="6"/>
  <c r="E530" i="6"/>
  <c r="F530" i="6"/>
  <c r="G530" i="6"/>
  <c r="L530" i="6"/>
  <c r="M530" i="6"/>
  <c r="N530" i="6"/>
  <c r="R530" i="6"/>
  <c r="C531" i="6"/>
  <c r="E531" i="6"/>
  <c r="F531" i="6"/>
  <c r="G531" i="6"/>
  <c r="L531" i="6"/>
  <c r="M531" i="6"/>
  <c r="N531" i="6"/>
  <c r="R531" i="6"/>
  <c r="C532" i="6"/>
  <c r="E532" i="6"/>
  <c r="F532" i="6"/>
  <c r="G532" i="6"/>
  <c r="L532" i="6"/>
  <c r="M532" i="6"/>
  <c r="N532" i="6"/>
  <c r="R532" i="6"/>
  <c r="C536" i="6"/>
  <c r="E536" i="6"/>
  <c r="F536" i="6"/>
  <c r="G536" i="6"/>
  <c r="L536" i="6"/>
  <c r="M536" i="6"/>
  <c r="N536" i="6"/>
  <c r="R536" i="6"/>
  <c r="C537" i="6"/>
  <c r="E537" i="6"/>
  <c r="F537" i="6"/>
  <c r="G537" i="6"/>
  <c r="L537" i="6"/>
  <c r="M537" i="6"/>
  <c r="N537" i="6"/>
  <c r="R537" i="6"/>
  <c r="C538" i="6"/>
  <c r="E538" i="6"/>
  <c r="F538" i="6"/>
  <c r="G538" i="6"/>
  <c r="L538" i="6"/>
  <c r="M538" i="6"/>
  <c r="N538" i="6"/>
  <c r="R538" i="6"/>
  <c r="C542" i="6"/>
  <c r="E542" i="6"/>
  <c r="F542" i="6"/>
  <c r="G542" i="6"/>
  <c r="L542" i="6"/>
  <c r="M542" i="6"/>
  <c r="N542" i="6"/>
  <c r="R542" i="6"/>
  <c r="C543" i="6"/>
  <c r="E543" i="6"/>
  <c r="F543" i="6"/>
  <c r="G543" i="6"/>
  <c r="L543" i="6"/>
  <c r="M543" i="6"/>
  <c r="N543" i="6"/>
  <c r="R543" i="6"/>
  <c r="C544" i="6"/>
  <c r="E544" i="6"/>
  <c r="F544" i="6"/>
  <c r="G544" i="6"/>
  <c r="L544" i="6"/>
  <c r="M544" i="6"/>
  <c r="N544" i="6"/>
  <c r="R544" i="6"/>
  <c r="C548" i="6"/>
  <c r="E548" i="6"/>
  <c r="F548" i="6"/>
  <c r="G548" i="6"/>
  <c r="L548" i="6"/>
  <c r="M548" i="6"/>
  <c r="N548" i="6"/>
  <c r="R548" i="6"/>
  <c r="C549" i="6"/>
  <c r="E549" i="6"/>
  <c r="F549" i="6"/>
  <c r="G549" i="6"/>
  <c r="L549" i="6"/>
  <c r="M549" i="6"/>
  <c r="N549" i="6"/>
  <c r="R549" i="6"/>
  <c r="C550" i="6"/>
  <c r="E550" i="6"/>
  <c r="F550" i="6"/>
  <c r="G550" i="6"/>
  <c r="L550" i="6"/>
  <c r="M550" i="6"/>
  <c r="N550" i="6"/>
  <c r="R550" i="6"/>
  <c r="C554" i="6"/>
  <c r="E554" i="6"/>
  <c r="F554" i="6"/>
  <c r="G554" i="6"/>
  <c r="L554" i="6"/>
  <c r="M554" i="6"/>
  <c r="N554" i="6"/>
  <c r="R554" i="6"/>
  <c r="C555" i="6"/>
  <c r="E555" i="6"/>
  <c r="F555" i="6"/>
  <c r="G555" i="6"/>
  <c r="L555" i="6"/>
  <c r="M555" i="6"/>
  <c r="N555" i="6"/>
  <c r="R555" i="6"/>
  <c r="C556" i="6"/>
  <c r="E556" i="6"/>
  <c r="F556" i="6"/>
  <c r="G556" i="6"/>
  <c r="L556" i="6"/>
  <c r="M556" i="6"/>
  <c r="N556" i="6"/>
  <c r="R556" i="6"/>
  <c r="C560" i="6"/>
  <c r="E560" i="6"/>
  <c r="F560" i="6"/>
  <c r="G560" i="6"/>
  <c r="L560" i="6"/>
  <c r="M560" i="6"/>
  <c r="N560" i="6"/>
  <c r="R560" i="6"/>
  <c r="C561" i="6"/>
  <c r="E561" i="6"/>
  <c r="F561" i="6"/>
  <c r="G561" i="6"/>
  <c r="L561" i="6"/>
  <c r="M561" i="6"/>
  <c r="N561" i="6"/>
  <c r="R561" i="6"/>
  <c r="C562" i="6"/>
  <c r="E562" i="6"/>
  <c r="F562" i="6"/>
  <c r="G562" i="6"/>
  <c r="L562" i="6"/>
  <c r="M562" i="6"/>
  <c r="N562" i="6"/>
  <c r="R562" i="6"/>
  <c r="C566" i="6"/>
  <c r="E566" i="6"/>
  <c r="F566" i="6"/>
  <c r="G566" i="6"/>
  <c r="L566" i="6"/>
  <c r="M566" i="6"/>
  <c r="N566" i="6"/>
  <c r="R566" i="6"/>
  <c r="C567" i="6"/>
  <c r="E567" i="6"/>
  <c r="F567" i="6"/>
  <c r="G567" i="6"/>
  <c r="L567" i="6"/>
  <c r="M567" i="6"/>
  <c r="N567" i="6"/>
  <c r="R567" i="6"/>
  <c r="C568" i="6"/>
  <c r="E568" i="6"/>
  <c r="F568" i="6"/>
  <c r="G568" i="6"/>
  <c r="L568" i="6"/>
  <c r="M568" i="6"/>
  <c r="N568" i="6"/>
  <c r="R568" i="6"/>
  <c r="C572" i="6"/>
  <c r="E572" i="6"/>
  <c r="F572" i="6"/>
  <c r="G572" i="6"/>
  <c r="L572" i="6"/>
  <c r="M572" i="6"/>
  <c r="N572" i="6"/>
  <c r="R572" i="6"/>
  <c r="C573" i="6"/>
  <c r="E573" i="6"/>
  <c r="F573" i="6"/>
  <c r="G573" i="6"/>
  <c r="L573" i="6"/>
  <c r="M573" i="6"/>
  <c r="N573" i="6"/>
  <c r="R573" i="6"/>
  <c r="C574" i="6"/>
  <c r="E574" i="6"/>
  <c r="F574" i="6"/>
  <c r="G574" i="6"/>
  <c r="L574" i="6"/>
  <c r="M574" i="6"/>
  <c r="N574" i="6"/>
  <c r="R574" i="6"/>
  <c r="C578" i="6"/>
  <c r="E578" i="6"/>
  <c r="F578" i="6"/>
  <c r="G578" i="6"/>
  <c r="L578" i="6"/>
  <c r="M578" i="6"/>
  <c r="N578" i="6"/>
  <c r="R578" i="6"/>
  <c r="C579" i="6"/>
  <c r="E579" i="6"/>
  <c r="F579" i="6"/>
  <c r="G579" i="6"/>
  <c r="L579" i="6"/>
  <c r="M579" i="6"/>
  <c r="N579" i="6"/>
  <c r="R579" i="6"/>
  <c r="C580" i="6"/>
  <c r="E580" i="6"/>
  <c r="F580" i="6"/>
  <c r="G580" i="6"/>
  <c r="L580" i="6"/>
  <c r="M580" i="6"/>
  <c r="N580" i="6"/>
  <c r="R580" i="6"/>
  <c r="C584" i="6"/>
  <c r="E584" i="6"/>
  <c r="F584" i="6"/>
  <c r="G584" i="6"/>
  <c r="L584" i="6"/>
  <c r="M584" i="6"/>
  <c r="N584" i="6"/>
  <c r="R584" i="6"/>
  <c r="C585" i="6"/>
  <c r="E585" i="6"/>
  <c r="F585" i="6"/>
  <c r="G585" i="6"/>
  <c r="L585" i="6"/>
  <c r="M585" i="6"/>
  <c r="N585" i="6"/>
  <c r="R585" i="6"/>
  <c r="C586" i="6"/>
  <c r="E586" i="6"/>
  <c r="F586" i="6"/>
  <c r="G586" i="6"/>
  <c r="L586" i="6"/>
  <c r="M586" i="6"/>
  <c r="N586" i="6"/>
  <c r="R586" i="6"/>
  <c r="C590" i="6"/>
  <c r="E590" i="6"/>
  <c r="F590" i="6"/>
  <c r="G590" i="6"/>
  <c r="L590" i="6"/>
  <c r="M590" i="6"/>
  <c r="N590" i="6"/>
  <c r="R590" i="6"/>
  <c r="C591" i="6"/>
  <c r="E591" i="6"/>
  <c r="F591" i="6"/>
  <c r="G591" i="6"/>
  <c r="L591" i="6"/>
  <c r="M591" i="6"/>
  <c r="N591" i="6"/>
  <c r="R591" i="6"/>
  <c r="C592" i="6"/>
  <c r="E592" i="6"/>
  <c r="F592" i="6"/>
  <c r="G592" i="6"/>
  <c r="L592" i="6"/>
  <c r="M592" i="6"/>
  <c r="N592" i="6"/>
  <c r="R592" i="6"/>
  <c r="C596" i="6"/>
  <c r="E596" i="6"/>
  <c r="F596" i="6"/>
  <c r="G596" i="6"/>
  <c r="L596" i="6"/>
  <c r="M596" i="6"/>
  <c r="N596" i="6"/>
  <c r="R596" i="6"/>
  <c r="C597" i="6"/>
  <c r="E597" i="6"/>
  <c r="F597" i="6"/>
  <c r="G597" i="6"/>
  <c r="L597" i="6"/>
  <c r="M597" i="6"/>
  <c r="N597" i="6"/>
  <c r="R597" i="6"/>
  <c r="C598" i="6"/>
  <c r="E598" i="6"/>
  <c r="F598" i="6"/>
  <c r="G598" i="6"/>
  <c r="L598" i="6"/>
  <c r="M598" i="6"/>
  <c r="N598" i="6"/>
  <c r="R598" i="6"/>
  <c r="C602" i="6"/>
  <c r="E602" i="6"/>
  <c r="F602" i="6"/>
  <c r="G602" i="6"/>
  <c r="L602" i="6"/>
  <c r="M602" i="6"/>
  <c r="N602" i="6"/>
  <c r="R602" i="6"/>
  <c r="C603" i="6"/>
  <c r="E603" i="6"/>
  <c r="F603" i="6"/>
  <c r="G603" i="6"/>
  <c r="L603" i="6"/>
  <c r="M603" i="6"/>
  <c r="N603" i="6"/>
  <c r="R603" i="6"/>
  <c r="C604" i="6"/>
  <c r="E604" i="6"/>
  <c r="F604" i="6"/>
  <c r="G604" i="6"/>
  <c r="L604" i="6"/>
  <c r="M604" i="6"/>
  <c r="N604" i="6"/>
  <c r="R604" i="6"/>
  <c r="C608" i="6"/>
  <c r="E608" i="6"/>
  <c r="F608" i="6"/>
  <c r="G608" i="6"/>
  <c r="L608" i="6"/>
  <c r="M608" i="6"/>
  <c r="N608" i="6"/>
  <c r="R608" i="6"/>
  <c r="C609" i="6"/>
  <c r="E609" i="6"/>
  <c r="F609" i="6"/>
  <c r="G609" i="6"/>
  <c r="L609" i="6"/>
  <c r="M609" i="6"/>
  <c r="N609" i="6"/>
  <c r="R609" i="6"/>
  <c r="C610" i="6"/>
  <c r="E610" i="6"/>
  <c r="F610" i="6"/>
  <c r="G610" i="6"/>
  <c r="L610" i="6"/>
  <c r="M610" i="6"/>
  <c r="N610" i="6"/>
  <c r="R610" i="6"/>
  <c r="C614" i="6"/>
  <c r="E614" i="6"/>
  <c r="F614" i="6"/>
  <c r="G614" i="6"/>
  <c r="L614" i="6"/>
  <c r="M614" i="6"/>
  <c r="N614" i="6"/>
  <c r="R614" i="6"/>
  <c r="C615" i="6"/>
  <c r="E615" i="6"/>
  <c r="F615" i="6"/>
  <c r="G615" i="6"/>
  <c r="L615" i="6"/>
  <c r="M615" i="6"/>
  <c r="N615" i="6"/>
  <c r="R615" i="6"/>
  <c r="C616" i="6"/>
  <c r="E616" i="6"/>
  <c r="F616" i="6"/>
  <c r="G616" i="6"/>
  <c r="L616" i="6"/>
  <c r="M616" i="6"/>
  <c r="N616" i="6"/>
  <c r="R616" i="6"/>
  <c r="C620" i="6"/>
  <c r="E620" i="6"/>
  <c r="F620" i="6"/>
  <c r="G620" i="6"/>
  <c r="L620" i="6"/>
  <c r="M620" i="6"/>
  <c r="N620" i="6"/>
  <c r="R620" i="6"/>
  <c r="C621" i="6"/>
  <c r="E621" i="6"/>
  <c r="F621" i="6"/>
  <c r="G621" i="6"/>
  <c r="L621" i="6"/>
  <c r="M621" i="6"/>
  <c r="N621" i="6"/>
  <c r="R621" i="6"/>
  <c r="C622" i="6"/>
  <c r="E622" i="6"/>
  <c r="F622" i="6"/>
  <c r="G622" i="6"/>
  <c r="L622" i="6"/>
  <c r="M622" i="6"/>
  <c r="N622" i="6"/>
  <c r="R622" i="6"/>
  <c r="C626" i="6"/>
  <c r="E626" i="6"/>
  <c r="F626" i="6"/>
  <c r="G626" i="6"/>
  <c r="L626" i="6"/>
  <c r="M626" i="6"/>
  <c r="N626" i="6"/>
  <c r="R626" i="6"/>
  <c r="C627" i="6"/>
  <c r="E627" i="6"/>
  <c r="F627" i="6"/>
  <c r="G627" i="6"/>
  <c r="L627" i="6"/>
  <c r="M627" i="6"/>
  <c r="N627" i="6"/>
  <c r="R627" i="6"/>
  <c r="C628" i="6"/>
  <c r="E628" i="6"/>
  <c r="F628" i="6"/>
  <c r="G628" i="6"/>
  <c r="L628" i="6"/>
  <c r="M628" i="6"/>
  <c r="N628" i="6"/>
  <c r="R628" i="6"/>
  <c r="C632" i="6"/>
  <c r="E632" i="6"/>
  <c r="F632" i="6"/>
  <c r="G632" i="6"/>
  <c r="L632" i="6"/>
  <c r="M632" i="6"/>
  <c r="N632" i="6"/>
  <c r="R632" i="6"/>
  <c r="C633" i="6"/>
  <c r="E633" i="6"/>
  <c r="F633" i="6"/>
  <c r="G633" i="6"/>
  <c r="L633" i="6"/>
  <c r="M633" i="6"/>
  <c r="N633" i="6"/>
  <c r="R633" i="6"/>
  <c r="C634" i="6"/>
  <c r="E634" i="6"/>
  <c r="F634" i="6"/>
  <c r="G634" i="6"/>
  <c r="L634" i="6"/>
  <c r="M634" i="6"/>
  <c r="N634" i="6"/>
  <c r="R634" i="6"/>
  <c r="C638" i="6"/>
  <c r="E638" i="6"/>
  <c r="F638" i="6"/>
  <c r="G638" i="6"/>
  <c r="L638" i="6"/>
  <c r="M638" i="6"/>
  <c r="N638" i="6"/>
  <c r="R638" i="6"/>
  <c r="C639" i="6"/>
  <c r="E639" i="6"/>
  <c r="F639" i="6"/>
  <c r="G639" i="6"/>
  <c r="L639" i="6"/>
  <c r="M639" i="6"/>
  <c r="N639" i="6"/>
  <c r="R639" i="6"/>
  <c r="C640" i="6"/>
  <c r="E640" i="6"/>
  <c r="F640" i="6"/>
  <c r="G640" i="6"/>
  <c r="L640" i="6"/>
  <c r="M640" i="6"/>
  <c r="N640" i="6"/>
  <c r="R640" i="6"/>
  <c r="C644" i="6"/>
  <c r="E644" i="6"/>
  <c r="F644" i="6"/>
  <c r="G644" i="6"/>
  <c r="L644" i="6"/>
  <c r="M644" i="6"/>
  <c r="N644" i="6"/>
  <c r="R644" i="6"/>
  <c r="C645" i="6"/>
  <c r="E645" i="6"/>
  <c r="F645" i="6"/>
  <c r="G645" i="6"/>
  <c r="L645" i="6"/>
  <c r="M645" i="6"/>
  <c r="N645" i="6"/>
  <c r="R645" i="6"/>
  <c r="C646" i="6"/>
  <c r="E646" i="6"/>
  <c r="F646" i="6"/>
  <c r="G646" i="6"/>
  <c r="L646" i="6"/>
  <c r="M646" i="6"/>
  <c r="N646" i="6"/>
  <c r="R646" i="6"/>
  <c r="C650" i="6"/>
  <c r="E650" i="6"/>
  <c r="F650" i="6"/>
  <c r="G650" i="6"/>
  <c r="L650" i="6"/>
  <c r="M650" i="6"/>
  <c r="N650" i="6"/>
  <c r="R650" i="6"/>
  <c r="C651" i="6"/>
  <c r="E651" i="6"/>
  <c r="F651" i="6"/>
  <c r="G651" i="6"/>
  <c r="L651" i="6"/>
  <c r="M651" i="6"/>
  <c r="N651" i="6"/>
  <c r="R651" i="6"/>
  <c r="C652" i="6"/>
  <c r="E652" i="6"/>
  <c r="F652" i="6"/>
  <c r="G652" i="6"/>
  <c r="L652" i="6"/>
  <c r="M652" i="6"/>
  <c r="N652" i="6"/>
  <c r="R652" i="6"/>
  <c r="C656" i="6"/>
  <c r="E656" i="6"/>
  <c r="F656" i="6"/>
  <c r="G656" i="6"/>
  <c r="L656" i="6"/>
  <c r="M656" i="6"/>
  <c r="N656" i="6"/>
  <c r="R656" i="6"/>
  <c r="C657" i="6"/>
  <c r="E657" i="6"/>
  <c r="F657" i="6"/>
  <c r="G657" i="6"/>
  <c r="L657" i="6"/>
  <c r="M657" i="6"/>
  <c r="N657" i="6"/>
  <c r="R657" i="6"/>
  <c r="C658" i="6"/>
  <c r="E658" i="6"/>
  <c r="F658" i="6"/>
  <c r="G658" i="6"/>
  <c r="L658" i="6"/>
  <c r="M658" i="6"/>
  <c r="N658" i="6"/>
  <c r="R658" i="6"/>
  <c r="C662" i="6"/>
  <c r="E662" i="6"/>
  <c r="F662" i="6"/>
  <c r="G662" i="6"/>
  <c r="L662" i="6"/>
  <c r="M662" i="6"/>
  <c r="N662" i="6"/>
  <c r="R662" i="6"/>
  <c r="C663" i="6"/>
  <c r="E663" i="6"/>
  <c r="F663" i="6"/>
  <c r="G663" i="6"/>
  <c r="L663" i="6"/>
  <c r="M663" i="6"/>
  <c r="N663" i="6"/>
  <c r="R663" i="6"/>
  <c r="C664" i="6"/>
  <c r="E664" i="6"/>
  <c r="F664" i="6"/>
  <c r="G664" i="6"/>
  <c r="L664" i="6"/>
  <c r="M664" i="6"/>
  <c r="N664" i="6"/>
  <c r="R664" i="6"/>
  <c r="C668" i="6"/>
  <c r="E668" i="6"/>
  <c r="F668" i="6"/>
  <c r="G668" i="6"/>
  <c r="L668" i="6"/>
  <c r="M668" i="6"/>
  <c r="N668" i="6"/>
  <c r="R668" i="6"/>
  <c r="C669" i="6"/>
  <c r="E669" i="6"/>
  <c r="F669" i="6"/>
  <c r="G669" i="6"/>
  <c r="L669" i="6"/>
  <c r="M669" i="6"/>
  <c r="N669" i="6"/>
  <c r="R669" i="6"/>
  <c r="C670" i="6"/>
  <c r="E670" i="6"/>
  <c r="F670" i="6"/>
  <c r="G670" i="6"/>
  <c r="L670" i="6"/>
  <c r="M670" i="6"/>
  <c r="N670" i="6"/>
  <c r="R670" i="6"/>
  <c r="C674" i="6"/>
  <c r="E674" i="6"/>
  <c r="F674" i="6"/>
  <c r="G674" i="6"/>
  <c r="L674" i="6"/>
  <c r="M674" i="6"/>
  <c r="N674" i="6"/>
  <c r="R674" i="6"/>
  <c r="C675" i="6"/>
  <c r="E675" i="6"/>
  <c r="F675" i="6"/>
  <c r="G675" i="6"/>
  <c r="L675" i="6"/>
  <c r="M675" i="6"/>
  <c r="N675" i="6"/>
  <c r="R675" i="6"/>
  <c r="C676" i="6"/>
  <c r="E676" i="6"/>
  <c r="F676" i="6"/>
  <c r="G676" i="6"/>
  <c r="L676" i="6"/>
  <c r="M676" i="6"/>
  <c r="N676" i="6"/>
  <c r="R676" i="6"/>
  <c r="C730" i="2"/>
  <c r="E730" i="2"/>
  <c r="F730" i="2"/>
  <c r="G730" i="2"/>
  <c r="L730" i="2"/>
  <c r="M730" i="2"/>
  <c r="N730" i="2"/>
  <c r="R730" i="2"/>
  <c r="C731" i="2"/>
  <c r="E731" i="2"/>
  <c r="F731" i="2"/>
  <c r="G731" i="2"/>
  <c r="L731" i="2"/>
  <c r="M731" i="2"/>
  <c r="N731" i="2"/>
  <c r="R731" i="2"/>
  <c r="C732" i="2"/>
  <c r="E732" i="2"/>
  <c r="F732" i="2"/>
  <c r="G732" i="2"/>
  <c r="L732" i="2"/>
  <c r="M732" i="2"/>
  <c r="N732" i="2"/>
  <c r="R732" i="2"/>
  <c r="C724" i="2"/>
  <c r="E724" i="2"/>
  <c r="F724" i="2"/>
  <c r="G724" i="2"/>
  <c r="L724" i="2"/>
  <c r="M724" i="2"/>
  <c r="N724" i="2"/>
  <c r="R724" i="2"/>
  <c r="C725" i="2"/>
  <c r="E725" i="2"/>
  <c r="F725" i="2"/>
  <c r="G725" i="2"/>
  <c r="L725" i="2"/>
  <c r="M725" i="2"/>
  <c r="N725" i="2"/>
  <c r="R725" i="2"/>
  <c r="C726" i="2"/>
  <c r="E726" i="2"/>
  <c r="F726" i="2"/>
  <c r="G726" i="2"/>
  <c r="L726" i="2"/>
  <c r="M726" i="2"/>
  <c r="N726" i="2"/>
  <c r="R726" i="2"/>
  <c r="C700" i="2"/>
  <c r="E700" i="2"/>
  <c r="F700" i="2"/>
  <c r="G700" i="2"/>
  <c r="L700" i="2"/>
  <c r="M700" i="2"/>
  <c r="N700" i="2"/>
  <c r="R700" i="2"/>
  <c r="C701" i="2"/>
  <c r="E701" i="2"/>
  <c r="F701" i="2"/>
  <c r="G701" i="2"/>
  <c r="L701" i="2"/>
  <c r="M701" i="2"/>
  <c r="N701" i="2"/>
  <c r="R701" i="2"/>
  <c r="C702" i="2"/>
  <c r="E702" i="2"/>
  <c r="F702" i="2"/>
  <c r="G702" i="2"/>
  <c r="L702" i="2"/>
  <c r="M702" i="2"/>
  <c r="N702" i="2"/>
  <c r="R702" i="2"/>
  <c r="C706" i="2"/>
  <c r="E706" i="2"/>
  <c r="F706" i="2"/>
  <c r="G706" i="2"/>
  <c r="L706" i="2"/>
  <c r="M706" i="2"/>
  <c r="N706" i="2"/>
  <c r="R706" i="2"/>
  <c r="C707" i="2"/>
  <c r="E707" i="2"/>
  <c r="F707" i="2"/>
  <c r="G707" i="2"/>
  <c r="L707" i="2"/>
  <c r="M707" i="2"/>
  <c r="N707" i="2"/>
  <c r="R707" i="2"/>
  <c r="C708" i="2"/>
  <c r="E708" i="2"/>
  <c r="F708" i="2"/>
  <c r="G708" i="2"/>
  <c r="L708" i="2"/>
  <c r="M708" i="2"/>
  <c r="N708" i="2"/>
  <c r="R708" i="2"/>
  <c r="C712" i="2"/>
  <c r="E712" i="2"/>
  <c r="F712" i="2"/>
  <c r="G712" i="2"/>
  <c r="L712" i="2"/>
  <c r="M712" i="2"/>
  <c r="N712" i="2"/>
  <c r="R712" i="2"/>
  <c r="C713" i="2"/>
  <c r="E713" i="2"/>
  <c r="F713" i="2"/>
  <c r="G713" i="2"/>
  <c r="L713" i="2"/>
  <c r="M713" i="2"/>
  <c r="N713" i="2"/>
  <c r="R713" i="2"/>
  <c r="C714" i="2"/>
  <c r="E714" i="2"/>
  <c r="F714" i="2"/>
  <c r="G714" i="2"/>
  <c r="L714" i="2"/>
  <c r="M714" i="2"/>
  <c r="N714" i="2"/>
  <c r="R714" i="2"/>
  <c r="C718" i="2"/>
  <c r="E718" i="2"/>
  <c r="F718" i="2"/>
  <c r="G718" i="2"/>
  <c r="L718" i="2"/>
  <c r="M718" i="2"/>
  <c r="N718" i="2"/>
  <c r="R718" i="2"/>
  <c r="C719" i="2"/>
  <c r="E719" i="2"/>
  <c r="F719" i="2"/>
  <c r="G719" i="2"/>
  <c r="L719" i="2"/>
  <c r="M719" i="2"/>
  <c r="N719" i="2"/>
  <c r="R719" i="2"/>
  <c r="C720" i="2"/>
  <c r="E720" i="2"/>
  <c r="F720" i="2"/>
  <c r="G720" i="2"/>
  <c r="L720" i="2"/>
  <c r="M720" i="2"/>
  <c r="N720" i="2"/>
  <c r="R720" i="2"/>
  <c r="C682" i="2"/>
  <c r="E682" i="2"/>
  <c r="F682" i="2"/>
  <c r="G682" i="2"/>
  <c r="L682" i="2"/>
  <c r="M682" i="2"/>
  <c r="N682" i="2"/>
  <c r="R682" i="2"/>
  <c r="C683" i="2"/>
  <c r="E683" i="2"/>
  <c r="F683" i="2"/>
  <c r="G683" i="2"/>
  <c r="L683" i="2"/>
  <c r="M683" i="2"/>
  <c r="N683" i="2"/>
  <c r="R683" i="2"/>
  <c r="C684" i="2"/>
  <c r="E684" i="2"/>
  <c r="F684" i="2"/>
  <c r="G684" i="2"/>
  <c r="L684" i="2"/>
  <c r="M684" i="2"/>
  <c r="N684" i="2"/>
  <c r="R684" i="2"/>
  <c r="C688" i="2"/>
  <c r="E688" i="2"/>
  <c r="F688" i="2"/>
  <c r="G688" i="2"/>
  <c r="L688" i="2"/>
  <c r="M688" i="2"/>
  <c r="N688" i="2"/>
  <c r="R688" i="2"/>
  <c r="C689" i="2"/>
  <c r="E689" i="2"/>
  <c r="F689" i="2"/>
  <c r="G689" i="2"/>
  <c r="L689" i="2"/>
  <c r="M689" i="2"/>
  <c r="N689" i="2"/>
  <c r="R689" i="2"/>
  <c r="C690" i="2"/>
  <c r="E690" i="2"/>
  <c r="F690" i="2"/>
  <c r="G690" i="2"/>
  <c r="L690" i="2"/>
  <c r="M690" i="2"/>
  <c r="N690" i="2"/>
  <c r="R690" i="2"/>
  <c r="C694" i="2"/>
  <c r="E694" i="2"/>
  <c r="F694" i="2"/>
  <c r="G694" i="2"/>
  <c r="L694" i="2"/>
  <c r="M694" i="2"/>
  <c r="N694" i="2"/>
  <c r="R694" i="2"/>
  <c r="C695" i="2"/>
  <c r="E695" i="2"/>
  <c r="F695" i="2"/>
  <c r="G695" i="2"/>
  <c r="L695" i="2"/>
  <c r="M695" i="2"/>
  <c r="N695" i="2"/>
  <c r="R695" i="2"/>
  <c r="C696" i="2"/>
  <c r="E696" i="2"/>
  <c r="F696" i="2"/>
  <c r="G696" i="2"/>
  <c r="L696" i="2"/>
  <c r="M696" i="2"/>
  <c r="N696" i="2"/>
  <c r="R696" i="2"/>
  <c r="R678" i="2"/>
  <c r="N678" i="2"/>
  <c r="M678" i="2"/>
  <c r="L678" i="2"/>
  <c r="G678" i="2"/>
  <c r="F678" i="2"/>
  <c r="E678" i="2"/>
  <c r="C678" i="2"/>
  <c r="R677" i="2"/>
  <c r="N677" i="2"/>
  <c r="M677" i="2"/>
  <c r="L677" i="2"/>
  <c r="G677" i="2"/>
  <c r="F677" i="2"/>
  <c r="E677" i="2"/>
  <c r="C677" i="2"/>
  <c r="R676" i="2"/>
  <c r="N676" i="2"/>
  <c r="M676" i="2"/>
  <c r="L676" i="2"/>
  <c r="G676" i="2"/>
  <c r="F676" i="2"/>
  <c r="E676" i="2"/>
  <c r="C676" i="2"/>
  <c r="R672" i="2"/>
  <c r="N672" i="2"/>
  <c r="M672" i="2"/>
  <c r="L672" i="2"/>
  <c r="G672" i="2"/>
  <c r="F672" i="2"/>
  <c r="E672" i="2"/>
  <c r="C672" i="2"/>
  <c r="R671" i="2"/>
  <c r="N671" i="2"/>
  <c r="M671" i="2"/>
  <c r="L671" i="2"/>
  <c r="G671" i="2"/>
  <c r="F671" i="2"/>
  <c r="E671" i="2"/>
  <c r="C671" i="2"/>
  <c r="R670" i="2"/>
  <c r="N670" i="2"/>
  <c r="M670" i="2"/>
  <c r="L670" i="2"/>
  <c r="G670" i="2"/>
  <c r="F670" i="2"/>
  <c r="E670" i="2"/>
  <c r="C670" i="2"/>
  <c r="R155" i="3"/>
  <c r="M155" i="3"/>
  <c r="L155" i="3"/>
  <c r="G155" i="3"/>
  <c r="F155" i="3"/>
  <c r="E155" i="3"/>
  <c r="C155" i="3"/>
  <c r="R154" i="3"/>
  <c r="M154" i="3"/>
  <c r="L154" i="3"/>
  <c r="G154" i="3"/>
  <c r="F154" i="3"/>
  <c r="E154" i="3"/>
  <c r="C154" i="3"/>
  <c r="R153" i="3"/>
  <c r="M153" i="3"/>
  <c r="L153" i="3"/>
  <c r="G153" i="3"/>
  <c r="F153" i="3"/>
  <c r="E153" i="3"/>
  <c r="C153" i="3"/>
  <c r="R149" i="3"/>
  <c r="M149" i="3"/>
  <c r="L149" i="3"/>
  <c r="G149" i="3"/>
  <c r="F149" i="3"/>
  <c r="E149" i="3"/>
  <c r="C149" i="3"/>
  <c r="R148" i="3"/>
  <c r="M148" i="3"/>
  <c r="L148" i="3"/>
  <c r="G148" i="3"/>
  <c r="F148" i="3"/>
  <c r="E148" i="3"/>
  <c r="C148" i="3"/>
  <c r="R147" i="3"/>
  <c r="M147" i="3"/>
  <c r="L147" i="3"/>
  <c r="G147" i="3"/>
  <c r="F147" i="3"/>
  <c r="E147" i="3"/>
  <c r="C147" i="3"/>
  <c r="R143" i="3"/>
  <c r="M143" i="3"/>
  <c r="L143" i="3"/>
  <c r="G143" i="3"/>
  <c r="F143" i="3"/>
  <c r="E143" i="3"/>
  <c r="C143" i="3"/>
  <c r="R142" i="3"/>
  <c r="M142" i="3"/>
  <c r="L142" i="3"/>
  <c r="G142" i="3"/>
  <c r="F142" i="3"/>
  <c r="E142" i="3"/>
  <c r="C142" i="3"/>
  <c r="R141" i="3"/>
  <c r="M141" i="3"/>
  <c r="L141" i="3"/>
  <c r="G141" i="3"/>
  <c r="F141" i="3"/>
  <c r="E141" i="3"/>
  <c r="C141" i="3"/>
  <c r="R137" i="3"/>
  <c r="M137" i="3"/>
  <c r="L137" i="3"/>
  <c r="G137" i="3"/>
  <c r="F137" i="3"/>
  <c r="E137" i="3"/>
  <c r="C137" i="3"/>
  <c r="R136" i="3"/>
  <c r="M136" i="3"/>
  <c r="L136" i="3"/>
  <c r="G136" i="3"/>
  <c r="F136" i="3"/>
  <c r="E136" i="3"/>
  <c r="C136" i="3"/>
  <c r="R135" i="3"/>
  <c r="M135" i="3"/>
  <c r="L135" i="3"/>
  <c r="G135" i="3"/>
  <c r="F135" i="3"/>
  <c r="E135" i="3"/>
  <c r="C135" i="3"/>
  <c r="R131" i="3"/>
  <c r="M131" i="3"/>
  <c r="L131" i="3"/>
  <c r="G131" i="3"/>
  <c r="F131" i="3"/>
  <c r="E131" i="3"/>
  <c r="C131" i="3"/>
  <c r="R130" i="3"/>
  <c r="M130" i="3"/>
  <c r="L130" i="3"/>
  <c r="G130" i="3"/>
  <c r="F130" i="3"/>
  <c r="E130" i="3"/>
  <c r="C130" i="3"/>
  <c r="R129" i="3"/>
  <c r="M129" i="3"/>
  <c r="L129" i="3"/>
  <c r="G129" i="3"/>
  <c r="F129" i="3"/>
  <c r="E129" i="3"/>
  <c r="C129" i="3"/>
  <c r="R125" i="3"/>
  <c r="M125" i="3"/>
  <c r="L125" i="3"/>
  <c r="G125" i="3"/>
  <c r="F125" i="3"/>
  <c r="E125" i="3"/>
  <c r="C125" i="3"/>
  <c r="R124" i="3"/>
  <c r="M124" i="3"/>
  <c r="L124" i="3"/>
  <c r="G124" i="3"/>
  <c r="F124" i="3"/>
  <c r="E124" i="3"/>
  <c r="C124" i="3"/>
  <c r="R123" i="3"/>
  <c r="M123" i="3"/>
  <c r="L123" i="3"/>
  <c r="G123" i="3"/>
  <c r="F123" i="3"/>
  <c r="E123" i="3"/>
  <c r="C123" i="3"/>
  <c r="R119" i="3"/>
  <c r="M119" i="3"/>
  <c r="L119" i="3"/>
  <c r="G119" i="3"/>
  <c r="F119" i="3"/>
  <c r="E119" i="3"/>
  <c r="C119" i="3"/>
  <c r="R118" i="3"/>
  <c r="M118" i="3"/>
  <c r="L118" i="3"/>
  <c r="G118" i="3"/>
  <c r="F118" i="3"/>
  <c r="E118" i="3"/>
  <c r="C118" i="3"/>
  <c r="R117" i="3"/>
  <c r="M117" i="3"/>
  <c r="L117" i="3"/>
  <c r="G117" i="3"/>
  <c r="F117" i="3"/>
  <c r="E117" i="3"/>
  <c r="C117" i="3"/>
  <c r="R113" i="3"/>
  <c r="M113" i="3"/>
  <c r="L113" i="3"/>
  <c r="G113" i="3"/>
  <c r="F113" i="3"/>
  <c r="E113" i="3"/>
  <c r="C113" i="3"/>
  <c r="R112" i="3"/>
  <c r="M112" i="3"/>
  <c r="L112" i="3"/>
  <c r="G112" i="3"/>
  <c r="F112" i="3"/>
  <c r="E112" i="3"/>
  <c r="C112" i="3"/>
  <c r="R111" i="3"/>
  <c r="M111" i="3"/>
  <c r="L111" i="3"/>
  <c r="G111" i="3"/>
  <c r="F111" i="3"/>
  <c r="E111" i="3"/>
  <c r="C111" i="3"/>
  <c r="R107" i="3"/>
  <c r="M107" i="3"/>
  <c r="L107" i="3"/>
  <c r="G107" i="3"/>
  <c r="F107" i="3"/>
  <c r="E107" i="3"/>
  <c r="C107" i="3"/>
  <c r="R106" i="3"/>
  <c r="M106" i="3"/>
  <c r="L106" i="3"/>
  <c r="G106" i="3"/>
  <c r="F106" i="3"/>
  <c r="E106" i="3"/>
  <c r="C106" i="3"/>
  <c r="R105" i="3"/>
  <c r="M105" i="3"/>
  <c r="L105" i="3"/>
  <c r="G105" i="3"/>
  <c r="F105" i="3"/>
  <c r="E105" i="3"/>
  <c r="C105" i="3"/>
  <c r="R101" i="3"/>
  <c r="M101" i="3"/>
  <c r="L101" i="3"/>
  <c r="G101" i="3"/>
  <c r="F101" i="3"/>
  <c r="E101" i="3"/>
  <c r="C101" i="3"/>
  <c r="R100" i="3"/>
  <c r="M100" i="3"/>
  <c r="L100" i="3"/>
  <c r="G100" i="3"/>
  <c r="F100" i="3"/>
  <c r="E100" i="3"/>
  <c r="C100" i="3"/>
  <c r="R99" i="3"/>
  <c r="M99" i="3"/>
  <c r="L99" i="3"/>
  <c r="G99" i="3"/>
  <c r="F99" i="3"/>
  <c r="E99" i="3"/>
  <c r="C99" i="3"/>
  <c r="R95" i="3"/>
  <c r="M95" i="3"/>
  <c r="L95" i="3"/>
  <c r="G95" i="3"/>
  <c r="F95" i="3"/>
  <c r="E95" i="3"/>
  <c r="C95" i="3"/>
  <c r="R94" i="3"/>
  <c r="M94" i="3"/>
  <c r="L94" i="3"/>
  <c r="G94" i="3"/>
  <c r="F94" i="3"/>
  <c r="E94" i="3"/>
  <c r="C94" i="3"/>
  <c r="R93" i="3"/>
  <c r="M93" i="3"/>
  <c r="L93" i="3"/>
  <c r="G93" i="3"/>
  <c r="F93" i="3"/>
  <c r="E93" i="3"/>
  <c r="C93" i="3"/>
  <c r="R89" i="3"/>
  <c r="M89" i="3"/>
  <c r="L89" i="3"/>
  <c r="G89" i="3"/>
  <c r="F89" i="3"/>
  <c r="E89" i="3"/>
  <c r="C89" i="3"/>
  <c r="R88" i="3"/>
  <c r="M88" i="3"/>
  <c r="L88" i="3"/>
  <c r="G88" i="3"/>
  <c r="F88" i="3"/>
  <c r="E88" i="3"/>
  <c r="C88" i="3"/>
  <c r="R87" i="3"/>
  <c r="M87" i="3"/>
  <c r="L87" i="3"/>
  <c r="G87" i="3"/>
  <c r="F87" i="3"/>
  <c r="E87" i="3"/>
  <c r="C87" i="3"/>
  <c r="R83" i="3"/>
  <c r="M83" i="3"/>
  <c r="L83" i="3"/>
  <c r="G83" i="3"/>
  <c r="F83" i="3"/>
  <c r="E83" i="3"/>
  <c r="C83" i="3"/>
  <c r="R82" i="3"/>
  <c r="M82" i="3"/>
  <c r="L82" i="3"/>
  <c r="G82" i="3"/>
  <c r="F82" i="3"/>
  <c r="E82" i="3"/>
  <c r="C82" i="3"/>
  <c r="R81" i="3"/>
  <c r="M81" i="3"/>
  <c r="L81" i="3"/>
  <c r="G81" i="3"/>
  <c r="F81" i="3"/>
  <c r="E81" i="3"/>
  <c r="C81" i="3"/>
  <c r="R77" i="3"/>
  <c r="M77" i="3"/>
  <c r="L77" i="3"/>
  <c r="G77" i="3"/>
  <c r="F77" i="3"/>
  <c r="E77" i="3"/>
  <c r="C77" i="3"/>
  <c r="R76" i="3"/>
  <c r="M76" i="3"/>
  <c r="L76" i="3"/>
  <c r="G76" i="3"/>
  <c r="F76" i="3"/>
  <c r="E76" i="3"/>
  <c r="C76" i="3"/>
  <c r="R75" i="3"/>
  <c r="M75" i="3"/>
  <c r="L75" i="3"/>
  <c r="G75" i="3"/>
  <c r="F75" i="3"/>
  <c r="E75" i="3"/>
  <c r="C75" i="3"/>
  <c r="R71" i="3"/>
  <c r="M71" i="3"/>
  <c r="L71" i="3"/>
  <c r="G71" i="3"/>
  <c r="F71" i="3"/>
  <c r="E71" i="3"/>
  <c r="C71" i="3"/>
  <c r="R70" i="3"/>
  <c r="M70" i="3"/>
  <c r="L70" i="3"/>
  <c r="G70" i="3"/>
  <c r="F70" i="3"/>
  <c r="E70" i="3"/>
  <c r="C70" i="3"/>
  <c r="R69" i="3"/>
  <c r="M69" i="3"/>
  <c r="L69" i="3"/>
  <c r="G69" i="3"/>
  <c r="F69" i="3"/>
  <c r="E69" i="3"/>
  <c r="C69" i="3"/>
  <c r="R65" i="3"/>
  <c r="M65" i="3"/>
  <c r="L65" i="3"/>
  <c r="G65" i="3"/>
  <c r="F65" i="3"/>
  <c r="E65" i="3"/>
  <c r="C65" i="3"/>
  <c r="R64" i="3"/>
  <c r="M64" i="3"/>
  <c r="L64" i="3"/>
  <c r="G64" i="3"/>
  <c r="F64" i="3"/>
  <c r="E64" i="3"/>
  <c r="C64" i="3"/>
  <c r="R63" i="3"/>
  <c r="M63" i="3"/>
  <c r="L63" i="3"/>
  <c r="G63" i="3"/>
  <c r="F63" i="3"/>
  <c r="E63" i="3"/>
  <c r="C63" i="3"/>
  <c r="R59" i="3"/>
  <c r="M59" i="3"/>
  <c r="L59" i="3"/>
  <c r="G59" i="3"/>
  <c r="F59" i="3"/>
  <c r="E59" i="3"/>
  <c r="C59" i="3"/>
  <c r="R58" i="3"/>
  <c r="M58" i="3"/>
  <c r="L58" i="3"/>
  <c r="G58" i="3"/>
  <c r="F58" i="3"/>
  <c r="E58" i="3"/>
  <c r="C58" i="3"/>
  <c r="R57" i="3"/>
  <c r="M57" i="3"/>
  <c r="L57" i="3"/>
  <c r="G57" i="3"/>
  <c r="F57" i="3"/>
  <c r="E57" i="3"/>
  <c r="C57" i="3"/>
  <c r="R53" i="3"/>
  <c r="M53" i="3"/>
  <c r="L53" i="3"/>
  <c r="G53" i="3"/>
  <c r="F53" i="3"/>
  <c r="E53" i="3"/>
  <c r="C53" i="3"/>
  <c r="R52" i="3"/>
  <c r="M52" i="3"/>
  <c r="L52" i="3"/>
  <c r="G52" i="3"/>
  <c r="F52" i="3"/>
  <c r="E52" i="3"/>
  <c r="C52" i="3"/>
  <c r="R51" i="3"/>
  <c r="M51" i="3"/>
  <c r="L51" i="3"/>
  <c r="G51" i="3"/>
  <c r="F51" i="3"/>
  <c r="E51" i="3"/>
  <c r="C51" i="3"/>
  <c r="R47" i="3"/>
  <c r="M47" i="3"/>
  <c r="L47" i="3"/>
  <c r="G47" i="3"/>
  <c r="F47" i="3"/>
  <c r="E47" i="3"/>
  <c r="C47" i="3"/>
  <c r="R46" i="3"/>
  <c r="M46" i="3"/>
  <c r="L46" i="3"/>
  <c r="G46" i="3"/>
  <c r="F46" i="3"/>
  <c r="E46" i="3"/>
  <c r="C46" i="3"/>
  <c r="R45" i="3"/>
  <c r="M45" i="3"/>
  <c r="L45" i="3"/>
  <c r="G45" i="3"/>
  <c r="F45" i="3"/>
  <c r="E45" i="3"/>
  <c r="C45" i="3"/>
  <c r="R41" i="3"/>
  <c r="M41" i="3"/>
  <c r="L41" i="3"/>
  <c r="G41" i="3"/>
  <c r="F41" i="3"/>
  <c r="E41" i="3"/>
  <c r="C41" i="3"/>
  <c r="R40" i="3"/>
  <c r="M40" i="3"/>
  <c r="L40" i="3"/>
  <c r="G40" i="3"/>
  <c r="F40" i="3"/>
  <c r="E40" i="3"/>
  <c r="C40" i="3"/>
  <c r="R39" i="3"/>
  <c r="M39" i="3"/>
  <c r="L39" i="3"/>
  <c r="G39" i="3"/>
  <c r="F39" i="3"/>
  <c r="E39" i="3"/>
  <c r="C39" i="3"/>
  <c r="R35" i="3"/>
  <c r="M35" i="3"/>
  <c r="L35" i="3"/>
  <c r="G35" i="3"/>
  <c r="F35" i="3"/>
  <c r="E35" i="3"/>
  <c r="C35" i="3"/>
  <c r="R34" i="3"/>
  <c r="M34" i="3"/>
  <c r="L34" i="3"/>
  <c r="G34" i="3"/>
  <c r="F34" i="3"/>
  <c r="E34" i="3"/>
  <c r="C34" i="3"/>
  <c r="R33" i="3"/>
  <c r="M33" i="3"/>
  <c r="L33" i="3"/>
  <c r="G33" i="3"/>
  <c r="F33" i="3"/>
  <c r="E33" i="3"/>
  <c r="C33" i="3"/>
  <c r="R29" i="3"/>
  <c r="M29" i="3"/>
  <c r="L29" i="3"/>
  <c r="G29" i="3"/>
  <c r="F29" i="3"/>
  <c r="E29" i="3"/>
  <c r="C29" i="3"/>
  <c r="R28" i="3"/>
  <c r="M28" i="3"/>
  <c r="L28" i="3"/>
  <c r="G28" i="3"/>
  <c r="F28" i="3"/>
  <c r="E28" i="3"/>
  <c r="C28" i="3"/>
  <c r="R27" i="3"/>
  <c r="M27" i="3"/>
  <c r="L27" i="3"/>
  <c r="G27" i="3"/>
  <c r="F27" i="3"/>
  <c r="E27" i="3"/>
  <c r="C27" i="3"/>
  <c r="R23" i="3"/>
  <c r="M23" i="3"/>
  <c r="L23" i="3"/>
  <c r="G23" i="3"/>
  <c r="F23" i="3"/>
  <c r="E23" i="3"/>
  <c r="C23" i="3"/>
  <c r="R22" i="3"/>
  <c r="M22" i="3"/>
  <c r="L22" i="3"/>
  <c r="G22" i="3"/>
  <c r="F22" i="3"/>
  <c r="E22" i="3"/>
  <c r="C22" i="3"/>
  <c r="R21" i="3"/>
  <c r="M21" i="3"/>
  <c r="L21" i="3"/>
  <c r="G21" i="3"/>
  <c r="F21" i="3"/>
  <c r="E21" i="3"/>
  <c r="C21" i="3"/>
  <c r="R17" i="3"/>
  <c r="M17" i="3"/>
  <c r="L17" i="3"/>
  <c r="G17" i="3"/>
  <c r="F17" i="3"/>
  <c r="E17" i="3"/>
  <c r="C17" i="3"/>
  <c r="R16" i="3"/>
  <c r="M16" i="3"/>
  <c r="L16" i="3"/>
  <c r="G16" i="3"/>
  <c r="F16" i="3"/>
  <c r="E16" i="3"/>
  <c r="C16" i="3"/>
  <c r="R15" i="3"/>
  <c r="M15" i="3"/>
  <c r="L15" i="3"/>
  <c r="G15" i="3"/>
  <c r="F15" i="3"/>
  <c r="E15" i="3"/>
  <c r="C15" i="3"/>
  <c r="R11" i="3"/>
  <c r="M11" i="3"/>
  <c r="L11" i="3"/>
  <c r="G11" i="3"/>
  <c r="F11" i="3"/>
  <c r="E11" i="3"/>
  <c r="C11" i="3"/>
  <c r="R10" i="3"/>
  <c r="M10" i="3"/>
  <c r="L10" i="3"/>
  <c r="G10" i="3"/>
  <c r="F10" i="3"/>
  <c r="E10" i="3"/>
  <c r="C10" i="3"/>
  <c r="R9" i="3"/>
  <c r="M9" i="3"/>
  <c r="L9" i="3"/>
  <c r="G9" i="3"/>
  <c r="F9" i="3"/>
  <c r="E9" i="3"/>
  <c r="C9" i="3"/>
  <c r="R666" i="2"/>
  <c r="N666" i="2"/>
  <c r="M666" i="2"/>
  <c r="L666" i="2"/>
  <c r="G666" i="2"/>
  <c r="F666" i="2"/>
  <c r="E666" i="2"/>
  <c r="C666" i="2"/>
  <c r="R665" i="2"/>
  <c r="N665" i="2"/>
  <c r="M665" i="2"/>
  <c r="L665" i="2"/>
  <c r="G665" i="2"/>
  <c r="F665" i="2"/>
  <c r="E665" i="2"/>
  <c r="C665" i="2"/>
  <c r="R664" i="2"/>
  <c r="N664" i="2"/>
  <c r="M664" i="2"/>
  <c r="L664" i="2"/>
  <c r="G664" i="2"/>
  <c r="F664" i="2"/>
  <c r="E664" i="2"/>
  <c r="C664" i="2"/>
  <c r="R660" i="2"/>
  <c r="N660" i="2"/>
  <c r="M660" i="2"/>
  <c r="L660" i="2"/>
  <c r="G660" i="2"/>
  <c r="F660" i="2"/>
  <c r="E660" i="2"/>
  <c r="C660" i="2"/>
  <c r="R659" i="2"/>
  <c r="N659" i="2"/>
  <c r="M659" i="2"/>
  <c r="L659" i="2"/>
  <c r="G659" i="2"/>
  <c r="F659" i="2"/>
  <c r="E659" i="2"/>
  <c r="C659" i="2"/>
  <c r="R658" i="2"/>
  <c r="N658" i="2"/>
  <c r="M658" i="2"/>
  <c r="L658" i="2"/>
  <c r="G658" i="2"/>
  <c r="F658" i="2"/>
  <c r="E658" i="2"/>
  <c r="C658" i="2"/>
  <c r="R654" i="2"/>
  <c r="N654" i="2"/>
  <c r="M654" i="2"/>
  <c r="L654" i="2"/>
  <c r="G654" i="2"/>
  <c r="F654" i="2"/>
  <c r="E654" i="2"/>
  <c r="C654" i="2"/>
  <c r="R653" i="2"/>
  <c r="N653" i="2"/>
  <c r="M653" i="2"/>
  <c r="L653" i="2"/>
  <c r="G653" i="2"/>
  <c r="F653" i="2"/>
  <c r="E653" i="2"/>
  <c r="C653" i="2"/>
  <c r="R652" i="2"/>
  <c r="N652" i="2"/>
  <c r="M652" i="2"/>
  <c r="L652" i="2"/>
  <c r="G652" i="2"/>
  <c r="F652" i="2"/>
  <c r="E652" i="2"/>
  <c r="C652" i="2"/>
  <c r="R648" i="2"/>
  <c r="N648" i="2"/>
  <c r="M648" i="2"/>
  <c r="L648" i="2"/>
  <c r="G648" i="2"/>
  <c r="F648" i="2"/>
  <c r="E648" i="2"/>
  <c r="C648" i="2"/>
  <c r="R647" i="2"/>
  <c r="N647" i="2"/>
  <c r="M647" i="2"/>
  <c r="L647" i="2"/>
  <c r="G647" i="2"/>
  <c r="F647" i="2"/>
  <c r="E647" i="2"/>
  <c r="C647" i="2"/>
  <c r="R646" i="2"/>
  <c r="N646" i="2"/>
  <c r="M646" i="2"/>
  <c r="L646" i="2"/>
  <c r="G646" i="2"/>
  <c r="F646" i="2"/>
  <c r="E646" i="2"/>
  <c r="C646" i="2"/>
  <c r="R642" i="2"/>
  <c r="N642" i="2"/>
  <c r="M642" i="2"/>
  <c r="L642" i="2"/>
  <c r="G642" i="2"/>
  <c r="F642" i="2"/>
  <c r="E642" i="2"/>
  <c r="C642" i="2"/>
  <c r="R641" i="2"/>
  <c r="N641" i="2"/>
  <c r="M641" i="2"/>
  <c r="L641" i="2"/>
  <c r="G641" i="2"/>
  <c r="F641" i="2"/>
  <c r="E641" i="2"/>
  <c r="C641" i="2"/>
  <c r="R640" i="2"/>
  <c r="N640" i="2"/>
  <c r="M640" i="2"/>
  <c r="L640" i="2"/>
  <c r="G640" i="2"/>
  <c r="F640" i="2"/>
  <c r="E640" i="2"/>
  <c r="C640" i="2"/>
  <c r="R636" i="2"/>
  <c r="N636" i="2"/>
  <c r="M636" i="2"/>
  <c r="L636" i="2"/>
  <c r="G636" i="2"/>
  <c r="F636" i="2"/>
  <c r="E636" i="2"/>
  <c r="C636" i="2"/>
  <c r="R635" i="2"/>
  <c r="N635" i="2"/>
  <c r="M635" i="2"/>
  <c r="L635" i="2"/>
  <c r="G635" i="2"/>
  <c r="F635" i="2"/>
  <c r="E635" i="2"/>
  <c r="C635" i="2"/>
  <c r="R634" i="2"/>
  <c r="N634" i="2"/>
  <c r="M634" i="2"/>
  <c r="L634" i="2"/>
  <c r="G634" i="2"/>
  <c r="F634" i="2"/>
  <c r="E634" i="2"/>
  <c r="C634" i="2"/>
  <c r="R630" i="2"/>
  <c r="N630" i="2"/>
  <c r="M630" i="2"/>
  <c r="L630" i="2"/>
  <c r="G630" i="2"/>
  <c r="F630" i="2"/>
  <c r="E630" i="2"/>
  <c r="C630" i="2"/>
  <c r="R629" i="2"/>
  <c r="N629" i="2"/>
  <c r="M629" i="2"/>
  <c r="L629" i="2"/>
  <c r="G629" i="2"/>
  <c r="F629" i="2"/>
  <c r="E629" i="2"/>
  <c r="C629" i="2"/>
  <c r="R628" i="2"/>
  <c r="N628" i="2"/>
  <c r="M628" i="2"/>
  <c r="L628" i="2"/>
  <c r="G628" i="2"/>
  <c r="F628" i="2"/>
  <c r="E628" i="2"/>
  <c r="C628" i="2"/>
  <c r="R624" i="2"/>
  <c r="N624" i="2"/>
  <c r="M624" i="2"/>
  <c r="L624" i="2"/>
  <c r="G624" i="2"/>
  <c r="F624" i="2"/>
  <c r="E624" i="2"/>
  <c r="C624" i="2"/>
  <c r="R623" i="2"/>
  <c r="N623" i="2"/>
  <c r="M623" i="2"/>
  <c r="L623" i="2"/>
  <c r="G623" i="2"/>
  <c r="F623" i="2"/>
  <c r="E623" i="2"/>
  <c r="C623" i="2"/>
  <c r="R622" i="2"/>
  <c r="N622" i="2"/>
  <c r="M622" i="2"/>
  <c r="L622" i="2"/>
  <c r="G622" i="2"/>
  <c r="F622" i="2"/>
  <c r="E622" i="2"/>
  <c r="C622" i="2"/>
  <c r="R618" i="2"/>
  <c r="N618" i="2"/>
  <c r="M618" i="2"/>
  <c r="L618" i="2"/>
  <c r="G618" i="2"/>
  <c r="F618" i="2"/>
  <c r="E618" i="2"/>
  <c r="C618" i="2"/>
  <c r="R617" i="2"/>
  <c r="N617" i="2"/>
  <c r="M617" i="2"/>
  <c r="L617" i="2"/>
  <c r="G617" i="2"/>
  <c r="F617" i="2"/>
  <c r="E617" i="2"/>
  <c r="C617" i="2"/>
  <c r="R616" i="2"/>
  <c r="N616" i="2"/>
  <c r="M616" i="2"/>
  <c r="L616" i="2"/>
  <c r="G616" i="2"/>
  <c r="F616" i="2"/>
  <c r="E616" i="2"/>
  <c r="C616" i="2"/>
  <c r="R612" i="2"/>
  <c r="N612" i="2"/>
  <c r="M612" i="2"/>
  <c r="L612" i="2"/>
  <c r="G612" i="2"/>
  <c r="F612" i="2"/>
  <c r="E612" i="2"/>
  <c r="C612" i="2"/>
  <c r="R611" i="2"/>
  <c r="N611" i="2"/>
  <c r="M611" i="2"/>
  <c r="L611" i="2"/>
  <c r="G611" i="2"/>
  <c r="F611" i="2"/>
  <c r="E611" i="2"/>
  <c r="C611" i="2"/>
  <c r="R610" i="2"/>
  <c r="N610" i="2"/>
  <c r="M610" i="2"/>
  <c r="L610" i="2"/>
  <c r="G610" i="2"/>
  <c r="F610" i="2"/>
  <c r="E610" i="2"/>
  <c r="C610" i="2"/>
  <c r="R606" i="2"/>
  <c r="N606" i="2"/>
  <c r="M606" i="2"/>
  <c r="L606" i="2"/>
  <c r="G606" i="2"/>
  <c r="F606" i="2"/>
  <c r="E606" i="2"/>
  <c r="C606" i="2"/>
  <c r="R605" i="2"/>
  <c r="N605" i="2"/>
  <c r="M605" i="2"/>
  <c r="L605" i="2"/>
  <c r="G605" i="2"/>
  <c r="F605" i="2"/>
  <c r="E605" i="2"/>
  <c r="C605" i="2"/>
  <c r="R604" i="2"/>
  <c r="N604" i="2"/>
  <c r="M604" i="2"/>
  <c r="L604" i="2"/>
  <c r="G604" i="2"/>
  <c r="F604" i="2"/>
  <c r="E604" i="2"/>
  <c r="C604" i="2"/>
  <c r="R600" i="2"/>
  <c r="N600" i="2"/>
  <c r="M600" i="2"/>
  <c r="L600" i="2"/>
  <c r="G600" i="2"/>
  <c r="F600" i="2"/>
  <c r="E600" i="2"/>
  <c r="C600" i="2"/>
  <c r="R599" i="2"/>
  <c r="N599" i="2"/>
  <c r="M599" i="2"/>
  <c r="L599" i="2"/>
  <c r="G599" i="2"/>
  <c r="F599" i="2"/>
  <c r="E599" i="2"/>
  <c r="C599" i="2"/>
  <c r="R598" i="2"/>
  <c r="N598" i="2"/>
  <c r="M598" i="2"/>
  <c r="L598" i="2"/>
  <c r="G598" i="2"/>
  <c r="F598" i="2"/>
  <c r="E598" i="2"/>
  <c r="C598" i="2"/>
  <c r="R594" i="2"/>
  <c r="N594" i="2"/>
  <c r="M594" i="2"/>
  <c r="L594" i="2"/>
  <c r="G594" i="2"/>
  <c r="F594" i="2"/>
  <c r="E594" i="2"/>
  <c r="C594" i="2"/>
  <c r="R593" i="2"/>
  <c r="N593" i="2"/>
  <c r="M593" i="2"/>
  <c r="L593" i="2"/>
  <c r="G593" i="2"/>
  <c r="F593" i="2"/>
  <c r="E593" i="2"/>
  <c r="C593" i="2"/>
  <c r="R592" i="2"/>
  <c r="N592" i="2"/>
  <c r="M592" i="2"/>
  <c r="L592" i="2"/>
  <c r="G592" i="2"/>
  <c r="F592" i="2"/>
  <c r="E592" i="2"/>
  <c r="C592" i="2"/>
  <c r="R588" i="2"/>
  <c r="N588" i="2"/>
  <c r="M588" i="2"/>
  <c r="L588" i="2"/>
  <c r="G588" i="2"/>
  <c r="F588" i="2"/>
  <c r="E588" i="2"/>
  <c r="C588" i="2"/>
  <c r="R587" i="2"/>
  <c r="N587" i="2"/>
  <c r="M587" i="2"/>
  <c r="L587" i="2"/>
  <c r="G587" i="2"/>
  <c r="F587" i="2"/>
  <c r="E587" i="2"/>
  <c r="C587" i="2"/>
  <c r="R586" i="2"/>
  <c r="N586" i="2"/>
  <c r="M586" i="2"/>
  <c r="L586" i="2"/>
  <c r="G586" i="2"/>
  <c r="F586" i="2"/>
  <c r="E586" i="2"/>
  <c r="C586" i="2"/>
  <c r="R582" i="2"/>
  <c r="N582" i="2"/>
  <c r="M582" i="2"/>
  <c r="L582" i="2"/>
  <c r="G582" i="2"/>
  <c r="F582" i="2"/>
  <c r="E582" i="2"/>
  <c r="C582" i="2"/>
  <c r="R581" i="2"/>
  <c r="N581" i="2"/>
  <c r="M581" i="2"/>
  <c r="L581" i="2"/>
  <c r="G581" i="2"/>
  <c r="F581" i="2"/>
  <c r="E581" i="2"/>
  <c r="C581" i="2"/>
  <c r="R580" i="2"/>
  <c r="N580" i="2"/>
  <c r="M580" i="2"/>
  <c r="L580" i="2"/>
  <c r="G580" i="2"/>
  <c r="F580" i="2"/>
  <c r="E580" i="2"/>
  <c r="C580" i="2"/>
  <c r="R576" i="2"/>
  <c r="N576" i="2"/>
  <c r="M576" i="2"/>
  <c r="L576" i="2"/>
  <c r="G576" i="2"/>
  <c r="F576" i="2"/>
  <c r="E576" i="2"/>
  <c r="C576" i="2"/>
  <c r="R575" i="2"/>
  <c r="N575" i="2"/>
  <c r="M575" i="2"/>
  <c r="L575" i="2"/>
  <c r="G575" i="2"/>
  <c r="F575" i="2"/>
  <c r="E575" i="2"/>
  <c r="C575" i="2"/>
  <c r="R574" i="2"/>
  <c r="N574" i="2"/>
  <c r="M574" i="2"/>
  <c r="L574" i="2"/>
  <c r="G574" i="2"/>
  <c r="F574" i="2"/>
  <c r="E574" i="2"/>
  <c r="C574" i="2"/>
  <c r="R570" i="2"/>
  <c r="N570" i="2"/>
  <c r="M570" i="2"/>
  <c r="L570" i="2"/>
  <c r="G570" i="2"/>
  <c r="F570" i="2"/>
  <c r="E570" i="2"/>
  <c r="C570" i="2"/>
  <c r="R569" i="2"/>
  <c r="N569" i="2"/>
  <c r="M569" i="2"/>
  <c r="L569" i="2"/>
  <c r="G569" i="2"/>
  <c r="F569" i="2"/>
  <c r="E569" i="2"/>
  <c r="C569" i="2"/>
  <c r="R568" i="2"/>
  <c r="N568" i="2"/>
  <c r="M568" i="2"/>
  <c r="L568" i="2"/>
  <c r="G568" i="2"/>
  <c r="F568" i="2"/>
  <c r="E568" i="2"/>
  <c r="C568" i="2"/>
  <c r="G562" i="2"/>
  <c r="R564" i="2"/>
  <c r="N564" i="2"/>
  <c r="M564" i="2"/>
  <c r="L564" i="2"/>
  <c r="G564" i="2"/>
  <c r="F564" i="2"/>
  <c r="E564" i="2"/>
  <c r="C564" i="2"/>
  <c r="R563" i="2"/>
  <c r="N563" i="2"/>
  <c r="M563" i="2"/>
  <c r="L563" i="2"/>
  <c r="G563" i="2"/>
  <c r="F563" i="2"/>
  <c r="E563" i="2"/>
  <c r="C563" i="2"/>
  <c r="R562" i="2"/>
  <c r="N562" i="2"/>
  <c r="M562" i="2"/>
  <c r="L562" i="2"/>
  <c r="F562" i="2"/>
  <c r="E562" i="2"/>
  <c r="C562" i="2"/>
  <c r="R558" i="2"/>
  <c r="N558" i="2"/>
  <c r="M558" i="2"/>
  <c r="L558" i="2"/>
  <c r="G558" i="2"/>
  <c r="F558" i="2"/>
  <c r="E558" i="2"/>
  <c r="C558" i="2"/>
  <c r="R557" i="2"/>
  <c r="N557" i="2"/>
  <c r="M557" i="2"/>
  <c r="L557" i="2"/>
  <c r="G557" i="2"/>
  <c r="F557" i="2"/>
  <c r="E557" i="2"/>
  <c r="C557" i="2"/>
  <c r="R556" i="2"/>
  <c r="N556" i="2"/>
  <c r="M556" i="2"/>
  <c r="L556" i="2"/>
  <c r="G556" i="2"/>
  <c r="F556" i="2"/>
  <c r="E556" i="2"/>
  <c r="C556" i="2"/>
  <c r="R552" i="2"/>
  <c r="N552" i="2"/>
  <c r="M552" i="2"/>
  <c r="L552" i="2"/>
  <c r="G552" i="2"/>
  <c r="F552" i="2"/>
  <c r="E552" i="2"/>
  <c r="C552" i="2"/>
  <c r="R551" i="2"/>
  <c r="N551" i="2"/>
  <c r="M551" i="2"/>
  <c r="L551" i="2"/>
  <c r="G551" i="2"/>
  <c r="F551" i="2"/>
  <c r="E551" i="2"/>
  <c r="C551" i="2"/>
  <c r="R550" i="2"/>
  <c r="N550" i="2"/>
  <c r="M550" i="2"/>
  <c r="L550" i="2"/>
  <c r="G550" i="2"/>
  <c r="F550" i="2"/>
  <c r="E550" i="2"/>
  <c r="C550" i="2"/>
  <c r="R546" i="2"/>
  <c r="N546" i="2"/>
  <c r="M546" i="2"/>
  <c r="L546" i="2"/>
  <c r="G546" i="2"/>
  <c r="F546" i="2"/>
  <c r="E546" i="2"/>
  <c r="C546" i="2"/>
  <c r="R545" i="2"/>
  <c r="N545" i="2"/>
  <c r="M545" i="2"/>
  <c r="L545" i="2"/>
  <c r="G545" i="2"/>
  <c r="F545" i="2"/>
  <c r="E545" i="2"/>
  <c r="C545" i="2"/>
  <c r="R544" i="2"/>
  <c r="N544" i="2"/>
  <c r="M544" i="2"/>
  <c r="L544" i="2"/>
  <c r="G544" i="2"/>
  <c r="F544" i="2"/>
  <c r="E544" i="2"/>
  <c r="C544" i="2"/>
  <c r="R540" i="2"/>
  <c r="N540" i="2"/>
  <c r="M540" i="2"/>
  <c r="L540" i="2"/>
  <c r="G540" i="2"/>
  <c r="F540" i="2"/>
  <c r="E540" i="2"/>
  <c r="C540" i="2"/>
  <c r="R539" i="2"/>
  <c r="N539" i="2"/>
  <c r="M539" i="2"/>
  <c r="L539" i="2"/>
  <c r="G539" i="2"/>
  <c r="F539" i="2"/>
  <c r="E539" i="2"/>
  <c r="C539" i="2"/>
  <c r="R538" i="2"/>
  <c r="N538" i="2"/>
  <c r="M538" i="2"/>
  <c r="L538" i="2"/>
  <c r="G538" i="2"/>
  <c r="F538" i="2"/>
  <c r="E538" i="2"/>
  <c r="C538" i="2"/>
  <c r="R534" i="2"/>
  <c r="N534" i="2"/>
  <c r="M534" i="2"/>
  <c r="L534" i="2"/>
  <c r="G534" i="2"/>
  <c r="F534" i="2"/>
  <c r="E534" i="2"/>
  <c r="C534" i="2"/>
  <c r="R533" i="2"/>
  <c r="N533" i="2"/>
  <c r="M533" i="2"/>
  <c r="L533" i="2"/>
  <c r="G533" i="2"/>
  <c r="F533" i="2"/>
  <c r="E533" i="2"/>
  <c r="C533" i="2"/>
  <c r="R532" i="2"/>
  <c r="N532" i="2"/>
  <c r="M532" i="2"/>
  <c r="L532" i="2"/>
  <c r="G532" i="2"/>
  <c r="F532" i="2"/>
  <c r="E532" i="2"/>
  <c r="C532" i="2"/>
  <c r="R528" i="2"/>
  <c r="N528" i="2"/>
  <c r="M528" i="2"/>
  <c r="L528" i="2"/>
  <c r="G528" i="2"/>
  <c r="F528" i="2"/>
  <c r="E528" i="2"/>
  <c r="C528" i="2"/>
  <c r="R527" i="2"/>
  <c r="N527" i="2"/>
  <c r="M527" i="2"/>
  <c r="L527" i="2"/>
  <c r="G527" i="2"/>
  <c r="F527" i="2"/>
  <c r="E527" i="2"/>
  <c r="C527" i="2"/>
  <c r="R526" i="2"/>
  <c r="N526" i="2"/>
  <c r="M526" i="2"/>
  <c r="L526" i="2"/>
  <c r="G526" i="2"/>
  <c r="F526" i="2"/>
  <c r="E526" i="2"/>
  <c r="C526" i="2"/>
  <c r="R522" i="2"/>
  <c r="N522" i="2"/>
  <c r="M522" i="2"/>
  <c r="L522" i="2"/>
  <c r="G522" i="2"/>
  <c r="F522" i="2"/>
  <c r="E522" i="2"/>
  <c r="C522" i="2"/>
  <c r="R521" i="2"/>
  <c r="N521" i="2"/>
  <c r="M521" i="2"/>
  <c r="L521" i="2"/>
  <c r="G521" i="2"/>
  <c r="F521" i="2"/>
  <c r="E521" i="2"/>
  <c r="C521" i="2"/>
  <c r="R520" i="2"/>
  <c r="N520" i="2"/>
  <c r="M520" i="2"/>
  <c r="L520" i="2"/>
  <c r="G520" i="2"/>
  <c r="F520" i="2"/>
  <c r="E520" i="2"/>
  <c r="C520" i="2"/>
  <c r="R516" i="2"/>
  <c r="N516" i="2"/>
  <c r="M516" i="2"/>
  <c r="L516" i="2"/>
  <c r="G516" i="2"/>
  <c r="F516" i="2"/>
  <c r="E516" i="2"/>
  <c r="C516" i="2"/>
  <c r="R515" i="2"/>
  <c r="N515" i="2"/>
  <c r="M515" i="2"/>
  <c r="L515" i="2"/>
  <c r="G515" i="2"/>
  <c r="F515" i="2"/>
  <c r="E515" i="2"/>
  <c r="C515" i="2"/>
  <c r="R514" i="2"/>
  <c r="N514" i="2"/>
  <c r="M514" i="2"/>
  <c r="L514" i="2"/>
  <c r="G514" i="2"/>
  <c r="F514" i="2"/>
  <c r="E514" i="2"/>
  <c r="C514" i="2"/>
  <c r="R510" i="2"/>
  <c r="N510" i="2"/>
  <c r="M510" i="2"/>
  <c r="L510" i="2"/>
  <c r="G510" i="2"/>
  <c r="F510" i="2"/>
  <c r="E510" i="2"/>
  <c r="C510" i="2"/>
  <c r="R509" i="2"/>
  <c r="N509" i="2"/>
  <c r="M509" i="2"/>
  <c r="L509" i="2"/>
  <c r="G509" i="2"/>
  <c r="F509" i="2"/>
  <c r="E509" i="2"/>
  <c r="C509" i="2"/>
  <c r="R508" i="2"/>
  <c r="N508" i="2"/>
  <c r="M508" i="2"/>
  <c r="L508" i="2"/>
  <c r="G508" i="2"/>
  <c r="F508" i="2"/>
  <c r="E508" i="2"/>
  <c r="C508" i="2"/>
  <c r="R504" i="2"/>
  <c r="N504" i="2"/>
  <c r="M504" i="2"/>
  <c r="L504" i="2"/>
  <c r="G504" i="2"/>
  <c r="F504" i="2"/>
  <c r="E504" i="2"/>
  <c r="C504" i="2"/>
  <c r="R503" i="2"/>
  <c r="N503" i="2"/>
  <c r="M503" i="2"/>
  <c r="L503" i="2"/>
  <c r="G503" i="2"/>
  <c r="F503" i="2"/>
  <c r="E503" i="2"/>
  <c r="C503" i="2"/>
  <c r="R502" i="2"/>
  <c r="N502" i="2"/>
  <c r="M502" i="2"/>
  <c r="L502" i="2"/>
  <c r="G502" i="2"/>
  <c r="F502" i="2"/>
  <c r="E502" i="2"/>
  <c r="C502" i="2"/>
  <c r="R498" i="2"/>
  <c r="N498" i="2"/>
  <c r="M498" i="2"/>
  <c r="L498" i="2"/>
  <c r="G498" i="2"/>
  <c r="F498" i="2"/>
  <c r="E498" i="2"/>
  <c r="C498" i="2"/>
  <c r="R497" i="2"/>
  <c r="N497" i="2"/>
  <c r="M497" i="2"/>
  <c r="L497" i="2"/>
  <c r="G497" i="2"/>
  <c r="F497" i="2"/>
  <c r="E497" i="2"/>
  <c r="C497" i="2"/>
  <c r="R496" i="2"/>
  <c r="N496" i="2"/>
  <c r="M496" i="2"/>
  <c r="L496" i="2"/>
  <c r="G496" i="2"/>
  <c r="F496" i="2"/>
  <c r="E496" i="2"/>
  <c r="C496" i="2"/>
  <c r="R492" i="2"/>
  <c r="N492" i="2"/>
  <c r="M492" i="2"/>
  <c r="L492" i="2"/>
  <c r="G492" i="2"/>
  <c r="F492" i="2"/>
  <c r="E492" i="2"/>
  <c r="C492" i="2"/>
  <c r="R491" i="2"/>
  <c r="N491" i="2"/>
  <c r="M491" i="2"/>
  <c r="L491" i="2"/>
  <c r="G491" i="2"/>
  <c r="F491" i="2"/>
  <c r="E491" i="2"/>
  <c r="C491" i="2"/>
  <c r="R490" i="2"/>
  <c r="N490" i="2"/>
  <c r="M490" i="2"/>
  <c r="L490" i="2"/>
  <c r="G490" i="2"/>
  <c r="F490" i="2"/>
  <c r="E490" i="2"/>
  <c r="C490" i="2"/>
  <c r="R486" i="2"/>
  <c r="N486" i="2"/>
  <c r="M486" i="2"/>
  <c r="L486" i="2"/>
  <c r="G486" i="2"/>
  <c r="F486" i="2"/>
  <c r="E486" i="2"/>
  <c r="C486" i="2"/>
  <c r="R485" i="2"/>
  <c r="N485" i="2"/>
  <c r="M485" i="2"/>
  <c r="L485" i="2"/>
  <c r="G485" i="2"/>
  <c r="F485" i="2"/>
  <c r="E485" i="2"/>
  <c r="C485" i="2"/>
  <c r="R484" i="2"/>
  <c r="N484" i="2"/>
  <c r="M484" i="2"/>
  <c r="L484" i="2"/>
  <c r="G484" i="2"/>
  <c r="F484" i="2"/>
  <c r="E484" i="2"/>
  <c r="C484" i="2"/>
  <c r="L479" i="2"/>
  <c r="L478" i="2"/>
  <c r="R480" i="2"/>
  <c r="N480" i="2"/>
  <c r="M480" i="2"/>
  <c r="G480" i="2"/>
  <c r="F480" i="2"/>
  <c r="E480" i="2"/>
  <c r="C480" i="2"/>
  <c r="R479" i="2"/>
  <c r="N479" i="2"/>
  <c r="M479" i="2"/>
  <c r="G479" i="2"/>
  <c r="F479" i="2"/>
  <c r="E479" i="2"/>
  <c r="C479" i="2"/>
  <c r="R478" i="2"/>
  <c r="N478" i="2"/>
  <c r="M478" i="2"/>
  <c r="G478" i="2"/>
  <c r="F478" i="2"/>
  <c r="E478" i="2"/>
  <c r="C478" i="2"/>
  <c r="R474" i="2"/>
  <c r="N474" i="2"/>
  <c r="M474" i="2"/>
  <c r="G474" i="2"/>
  <c r="F474" i="2"/>
  <c r="E474" i="2"/>
  <c r="C474" i="2"/>
  <c r="R473" i="2"/>
  <c r="N473" i="2"/>
  <c r="M473" i="2"/>
  <c r="G473" i="2"/>
  <c r="F473" i="2"/>
  <c r="E473" i="2"/>
  <c r="C473" i="2"/>
  <c r="R472" i="2"/>
  <c r="N472" i="2"/>
  <c r="M472" i="2"/>
  <c r="G472" i="2"/>
  <c r="F472" i="2"/>
  <c r="E472" i="2"/>
  <c r="C472" i="2"/>
  <c r="R468" i="2"/>
  <c r="N468" i="2"/>
  <c r="M468" i="2"/>
  <c r="G468" i="2"/>
  <c r="F468" i="2"/>
  <c r="E468" i="2"/>
  <c r="C468" i="2"/>
  <c r="R467" i="2"/>
  <c r="N467" i="2"/>
  <c r="M467" i="2"/>
  <c r="G467" i="2"/>
  <c r="F467" i="2"/>
  <c r="E467" i="2"/>
  <c r="C467" i="2"/>
  <c r="R466" i="2"/>
  <c r="N466" i="2"/>
  <c r="M466" i="2"/>
  <c r="G466" i="2"/>
  <c r="F466" i="2"/>
  <c r="E466" i="2"/>
  <c r="C466" i="2"/>
  <c r="R462" i="2"/>
  <c r="N462" i="2"/>
  <c r="M462" i="2"/>
  <c r="G462" i="2"/>
  <c r="F462" i="2"/>
  <c r="E462" i="2"/>
  <c r="C462" i="2"/>
  <c r="R461" i="2"/>
  <c r="N461" i="2"/>
  <c r="M461" i="2"/>
  <c r="G461" i="2"/>
  <c r="F461" i="2"/>
  <c r="E461" i="2"/>
  <c r="C461" i="2"/>
  <c r="R460" i="2"/>
  <c r="N460" i="2"/>
  <c r="M460" i="2"/>
  <c r="G460" i="2"/>
  <c r="F460" i="2"/>
  <c r="E460" i="2"/>
  <c r="C460" i="2"/>
  <c r="R456" i="2"/>
  <c r="N456" i="2"/>
  <c r="M456" i="2"/>
  <c r="G456" i="2"/>
  <c r="F456" i="2"/>
  <c r="E456" i="2"/>
  <c r="C456" i="2"/>
  <c r="R455" i="2"/>
  <c r="N455" i="2"/>
  <c r="M455" i="2"/>
  <c r="G455" i="2"/>
  <c r="F455" i="2"/>
  <c r="E455" i="2"/>
  <c r="C455" i="2"/>
  <c r="R454" i="2"/>
  <c r="N454" i="2"/>
  <c r="M454" i="2"/>
  <c r="G454" i="2"/>
  <c r="F454" i="2"/>
  <c r="E454" i="2"/>
  <c r="C454" i="2"/>
  <c r="AC3" i="2"/>
  <c r="R450" i="2"/>
  <c r="N450" i="2"/>
  <c r="M450" i="2"/>
  <c r="G450" i="2"/>
  <c r="F450" i="2"/>
  <c r="E450" i="2"/>
  <c r="C450" i="2"/>
  <c r="R449" i="2"/>
  <c r="N449" i="2"/>
  <c r="M449" i="2"/>
  <c r="G449" i="2"/>
  <c r="F449" i="2"/>
  <c r="E449" i="2"/>
  <c r="C449" i="2"/>
  <c r="R448" i="2"/>
  <c r="N448" i="2"/>
  <c r="M448" i="2"/>
  <c r="G448" i="2"/>
  <c r="F448" i="2"/>
  <c r="E448" i="2"/>
  <c r="C448" i="2"/>
  <c r="R444" i="2"/>
  <c r="N444" i="2"/>
  <c r="M444" i="2"/>
  <c r="G444" i="2"/>
  <c r="F444" i="2"/>
  <c r="E444" i="2"/>
  <c r="C444" i="2"/>
  <c r="R443" i="2"/>
  <c r="N443" i="2"/>
  <c r="M443" i="2"/>
  <c r="G443" i="2"/>
  <c r="F443" i="2"/>
  <c r="E443" i="2"/>
  <c r="C443" i="2"/>
  <c r="R442" i="2"/>
  <c r="N442" i="2"/>
  <c r="M442" i="2"/>
  <c r="G442" i="2"/>
  <c r="F442" i="2"/>
  <c r="E442" i="2"/>
  <c r="C442" i="2"/>
  <c r="R438" i="2"/>
  <c r="N438" i="2"/>
  <c r="M438" i="2"/>
  <c r="G438" i="2"/>
  <c r="F438" i="2"/>
  <c r="E438" i="2"/>
  <c r="C438" i="2"/>
  <c r="R437" i="2"/>
  <c r="N437" i="2"/>
  <c r="M437" i="2"/>
  <c r="G437" i="2"/>
  <c r="F437" i="2"/>
  <c r="E437" i="2"/>
  <c r="C437" i="2"/>
  <c r="R436" i="2"/>
  <c r="N436" i="2"/>
  <c r="M436" i="2"/>
  <c r="G436" i="2"/>
  <c r="F436" i="2"/>
  <c r="E436" i="2"/>
  <c r="C436" i="2"/>
  <c r="R432" i="2"/>
  <c r="N432" i="2"/>
  <c r="M432" i="2"/>
  <c r="G432" i="2"/>
  <c r="F432" i="2"/>
  <c r="E432" i="2"/>
  <c r="C432" i="2"/>
  <c r="R431" i="2"/>
  <c r="N431" i="2"/>
  <c r="M431" i="2"/>
  <c r="G431" i="2"/>
  <c r="F431" i="2"/>
  <c r="E431" i="2"/>
  <c r="C431" i="2"/>
  <c r="R430" i="2"/>
  <c r="N430" i="2"/>
  <c r="M430" i="2"/>
  <c r="G430" i="2"/>
  <c r="F430" i="2"/>
  <c r="E430" i="2"/>
  <c r="C430" i="2"/>
  <c r="R426" i="2"/>
  <c r="N426" i="2"/>
  <c r="M426" i="2"/>
  <c r="G426" i="2"/>
  <c r="F426" i="2"/>
  <c r="E426" i="2"/>
  <c r="C426" i="2"/>
  <c r="R425" i="2"/>
  <c r="N425" i="2"/>
  <c r="M425" i="2"/>
  <c r="G425" i="2"/>
  <c r="F425" i="2"/>
  <c r="E425" i="2"/>
  <c r="C425" i="2"/>
  <c r="R424" i="2"/>
  <c r="N424" i="2"/>
  <c r="M424" i="2"/>
  <c r="G424" i="2"/>
  <c r="F424" i="2"/>
  <c r="E424" i="2"/>
  <c r="C424" i="2"/>
  <c r="R420" i="2"/>
  <c r="N420" i="2"/>
  <c r="M420" i="2"/>
  <c r="G420" i="2"/>
  <c r="F420" i="2"/>
  <c r="E420" i="2"/>
  <c r="C420" i="2"/>
  <c r="R419" i="2"/>
  <c r="N419" i="2"/>
  <c r="M419" i="2"/>
  <c r="G419" i="2"/>
  <c r="F419" i="2"/>
  <c r="E419" i="2"/>
  <c r="C419" i="2"/>
  <c r="R418" i="2"/>
  <c r="N418" i="2"/>
  <c r="M418" i="2"/>
  <c r="G418" i="2"/>
  <c r="F418" i="2"/>
  <c r="E418" i="2"/>
  <c r="C418" i="2"/>
  <c r="R414" i="2"/>
  <c r="N414" i="2"/>
  <c r="M414" i="2"/>
  <c r="G414" i="2"/>
  <c r="F414" i="2"/>
  <c r="E414" i="2"/>
  <c r="C414" i="2"/>
  <c r="R413" i="2"/>
  <c r="N413" i="2"/>
  <c r="M413" i="2"/>
  <c r="G413" i="2"/>
  <c r="F413" i="2"/>
  <c r="E413" i="2"/>
  <c r="C413" i="2"/>
  <c r="R412" i="2"/>
  <c r="N412" i="2"/>
  <c r="M412" i="2"/>
  <c r="G412" i="2"/>
  <c r="F412" i="2"/>
  <c r="E412" i="2"/>
  <c r="C412" i="2"/>
  <c r="R408" i="2"/>
  <c r="N408" i="2"/>
  <c r="M408" i="2"/>
  <c r="G408" i="2"/>
  <c r="F408" i="2"/>
  <c r="E408" i="2"/>
  <c r="C408" i="2"/>
  <c r="R407" i="2"/>
  <c r="N407" i="2"/>
  <c r="M407" i="2"/>
  <c r="G407" i="2"/>
  <c r="F407" i="2"/>
  <c r="E407" i="2"/>
  <c r="C407" i="2"/>
  <c r="R406" i="2"/>
  <c r="N406" i="2"/>
  <c r="M406" i="2"/>
  <c r="G406" i="2"/>
  <c r="F406" i="2"/>
  <c r="E406" i="2"/>
  <c r="C406" i="2"/>
  <c r="R402" i="2"/>
  <c r="N402" i="2"/>
  <c r="M402" i="2"/>
  <c r="G402" i="2"/>
  <c r="F402" i="2"/>
  <c r="E402" i="2"/>
  <c r="C402" i="2"/>
  <c r="R401" i="2"/>
  <c r="N401" i="2"/>
  <c r="M401" i="2"/>
  <c r="G401" i="2"/>
  <c r="F401" i="2"/>
  <c r="E401" i="2"/>
  <c r="C401" i="2"/>
  <c r="R400" i="2"/>
  <c r="N400" i="2"/>
  <c r="M400" i="2"/>
  <c r="G400" i="2"/>
  <c r="F400" i="2"/>
  <c r="E400" i="2"/>
  <c r="C400" i="2"/>
  <c r="A2" i="3"/>
  <c r="R396" i="2"/>
  <c r="N396" i="2"/>
  <c r="M396" i="2"/>
  <c r="G396" i="2"/>
  <c r="F396" i="2"/>
  <c r="E396" i="2"/>
  <c r="C396" i="2"/>
  <c r="R395" i="2"/>
  <c r="N395" i="2"/>
  <c r="M395" i="2"/>
  <c r="G395" i="2"/>
  <c r="F395" i="2"/>
  <c r="E395" i="2"/>
  <c r="C395" i="2"/>
  <c r="R394" i="2"/>
  <c r="N394" i="2"/>
  <c r="M394" i="2"/>
  <c r="G394" i="2"/>
  <c r="F394" i="2"/>
  <c r="E394" i="2"/>
  <c r="C394" i="2"/>
  <c r="C388" i="2"/>
  <c r="E388" i="2"/>
  <c r="F388" i="2"/>
  <c r="G388" i="2"/>
  <c r="M388" i="2"/>
  <c r="N388" i="2"/>
  <c r="R388" i="2"/>
  <c r="C389" i="2"/>
  <c r="E389" i="2"/>
  <c r="F389" i="2"/>
  <c r="G389" i="2"/>
  <c r="M389" i="2"/>
  <c r="N389" i="2"/>
  <c r="R389" i="2"/>
  <c r="C390" i="2"/>
  <c r="E390" i="2"/>
  <c r="F390" i="2"/>
  <c r="G390" i="2"/>
  <c r="M390" i="2"/>
  <c r="N390" i="2"/>
  <c r="R390" i="2"/>
  <c r="C382" i="2"/>
  <c r="E382" i="2"/>
  <c r="F382" i="2"/>
  <c r="G382" i="2"/>
  <c r="M382" i="2"/>
  <c r="N382" i="2"/>
  <c r="R382" i="2"/>
  <c r="C383" i="2"/>
  <c r="E383" i="2"/>
  <c r="F383" i="2"/>
  <c r="G383" i="2"/>
  <c r="M383" i="2"/>
  <c r="N383" i="2"/>
  <c r="R383" i="2"/>
  <c r="C384" i="2"/>
  <c r="E384" i="2"/>
  <c r="F384" i="2"/>
  <c r="G384" i="2"/>
  <c r="M384" i="2"/>
  <c r="N384" i="2"/>
  <c r="R384" i="2"/>
  <c r="G362" i="2"/>
  <c r="G364" i="2"/>
  <c r="G371" i="2"/>
  <c r="C370" i="2"/>
  <c r="E370" i="2"/>
  <c r="F370" i="2"/>
  <c r="M370" i="2"/>
  <c r="N370" i="2"/>
  <c r="R370" i="2"/>
  <c r="C371" i="2"/>
  <c r="E371" i="2"/>
  <c r="F371" i="2"/>
  <c r="M371" i="2"/>
  <c r="N371" i="2"/>
  <c r="R371" i="2"/>
  <c r="C372" i="2"/>
  <c r="E372" i="2"/>
  <c r="F372" i="2"/>
  <c r="G372" i="2"/>
  <c r="M372" i="2"/>
  <c r="N372" i="2"/>
  <c r="R372" i="2"/>
  <c r="G377" i="2"/>
  <c r="C376" i="2"/>
  <c r="E376" i="2"/>
  <c r="F376" i="2"/>
  <c r="G376" i="2"/>
  <c r="M376" i="2"/>
  <c r="N376" i="2"/>
  <c r="R376" i="2"/>
  <c r="C377" i="2"/>
  <c r="E377" i="2"/>
  <c r="F377" i="2"/>
  <c r="M377" i="2"/>
  <c r="N377" i="2"/>
  <c r="R377" i="2"/>
  <c r="C378" i="2"/>
  <c r="E378" i="2"/>
  <c r="F378" i="2"/>
  <c r="G378" i="2"/>
  <c r="M378" i="2"/>
  <c r="N378" i="2"/>
  <c r="R378" i="2"/>
  <c r="C364" i="2"/>
  <c r="E364" i="2"/>
  <c r="F364" i="2"/>
  <c r="M364" i="2"/>
  <c r="N364" i="2"/>
  <c r="R364" i="2"/>
  <c r="C365" i="2"/>
  <c r="E365" i="2"/>
  <c r="F365" i="2"/>
  <c r="M365" i="2"/>
  <c r="N365" i="2"/>
  <c r="R365" i="2"/>
  <c r="C366" i="2"/>
  <c r="E366" i="2"/>
  <c r="F366" i="2"/>
  <c r="G366" i="2"/>
  <c r="M366" i="2"/>
  <c r="N366" i="2"/>
  <c r="R366" i="2"/>
  <c r="G370" i="2"/>
  <c r="R350" i="2"/>
  <c r="G356" i="2"/>
  <c r="G358" i="2" s="1"/>
  <c r="G350" i="2"/>
  <c r="G352" i="2"/>
  <c r="R353" i="2"/>
  <c r="C352" i="2"/>
  <c r="E352" i="2"/>
  <c r="F352" i="2"/>
  <c r="M352" i="2"/>
  <c r="N352" i="2"/>
  <c r="C353" i="2"/>
  <c r="E353" i="2"/>
  <c r="F353" i="2"/>
  <c r="M353" i="2"/>
  <c r="N353" i="2"/>
  <c r="C354" i="2"/>
  <c r="E354" i="2"/>
  <c r="F354" i="2"/>
  <c r="G354" i="2"/>
  <c r="M354" i="2"/>
  <c r="N354" i="2"/>
  <c r="R354" i="2"/>
  <c r="R359" i="2"/>
  <c r="C358" i="2"/>
  <c r="E358" i="2"/>
  <c r="F358" i="2"/>
  <c r="M358" i="2"/>
  <c r="N358" i="2"/>
  <c r="C359" i="2"/>
  <c r="E359" i="2"/>
  <c r="F359" i="2"/>
  <c r="M359" i="2"/>
  <c r="N359" i="2"/>
  <c r="C360" i="2"/>
  <c r="E360" i="2"/>
  <c r="F360" i="2"/>
  <c r="G360" i="2"/>
  <c r="M360" i="2"/>
  <c r="N360" i="2"/>
  <c r="R360" i="2"/>
  <c r="R344" i="2"/>
  <c r="R347" i="2"/>
  <c r="G344" i="2"/>
  <c r="G346" i="2"/>
  <c r="E344" i="2"/>
  <c r="R348" i="2"/>
  <c r="N348" i="2"/>
  <c r="M348" i="2"/>
  <c r="G348" i="2"/>
  <c r="F348" i="2"/>
  <c r="E348" i="2"/>
  <c r="C348" i="2"/>
  <c r="N347" i="2"/>
  <c r="M347" i="2"/>
  <c r="F347" i="2"/>
  <c r="C347" i="2"/>
  <c r="R346" i="2"/>
  <c r="N346" i="2"/>
  <c r="M346" i="2"/>
  <c r="F346" i="2"/>
  <c r="C346" i="2"/>
  <c r="E347" i="2"/>
  <c r="R342" i="2"/>
  <c r="N342" i="2"/>
  <c r="M342" i="2"/>
  <c r="G342" i="2"/>
  <c r="F342" i="2"/>
  <c r="E342" i="2"/>
  <c r="C342" i="2"/>
  <c r="N341" i="2"/>
  <c r="M341" i="2"/>
  <c r="F341" i="2"/>
  <c r="C341" i="2"/>
  <c r="N340" i="2"/>
  <c r="M340" i="2"/>
  <c r="F340" i="2"/>
  <c r="C340" i="2"/>
  <c r="R338" i="2"/>
  <c r="R340" i="2" s="1"/>
  <c r="G338" i="2"/>
  <c r="G340" i="2"/>
  <c r="E338" i="2"/>
  <c r="E341" i="2" s="1"/>
  <c r="R336" i="2"/>
  <c r="N336" i="2"/>
  <c r="M336" i="2"/>
  <c r="G336" i="2"/>
  <c r="F336" i="2"/>
  <c r="E336" i="2"/>
  <c r="C336" i="2"/>
  <c r="N335" i="2"/>
  <c r="M335" i="2"/>
  <c r="F335" i="2"/>
  <c r="C335" i="2"/>
  <c r="N334" i="2"/>
  <c r="M334" i="2"/>
  <c r="F334" i="2"/>
  <c r="C334" i="2"/>
  <c r="R332" i="2"/>
  <c r="R334" i="2" s="1"/>
  <c r="G332" i="2"/>
  <c r="G335" i="2" s="1"/>
  <c r="E332" i="2"/>
  <c r="E334" i="2" s="1"/>
  <c r="E335" i="2"/>
  <c r="R330" i="2"/>
  <c r="N330" i="2"/>
  <c r="M330" i="2"/>
  <c r="G330" i="2"/>
  <c r="F330" i="2"/>
  <c r="E330" i="2"/>
  <c r="C330" i="2"/>
  <c r="R329" i="2"/>
  <c r="N329" i="2"/>
  <c r="M329" i="2"/>
  <c r="G329" i="2"/>
  <c r="F329" i="2"/>
  <c r="C329" i="2"/>
  <c r="R328" i="2"/>
  <c r="N328" i="2"/>
  <c r="M328" i="2"/>
  <c r="G328" i="2"/>
  <c r="F328" i="2"/>
  <c r="C328" i="2"/>
  <c r="E326" i="2"/>
  <c r="E329" i="2" s="1"/>
  <c r="R324" i="2"/>
  <c r="N324" i="2"/>
  <c r="M324" i="2"/>
  <c r="G324" i="2"/>
  <c r="F324" i="2"/>
  <c r="E324" i="2"/>
  <c r="C324" i="2"/>
  <c r="R323" i="2"/>
  <c r="N323" i="2"/>
  <c r="M323" i="2"/>
  <c r="G323" i="2"/>
  <c r="F323" i="2"/>
  <c r="E323" i="2"/>
  <c r="C323" i="2"/>
  <c r="R322" i="2"/>
  <c r="N322" i="2"/>
  <c r="M322" i="2"/>
  <c r="G322" i="2"/>
  <c r="F322" i="2"/>
  <c r="E322" i="2"/>
  <c r="C322" i="2"/>
  <c r="R318" i="2"/>
  <c r="N318" i="2"/>
  <c r="M318" i="2"/>
  <c r="G318" i="2"/>
  <c r="F318" i="2"/>
  <c r="E318" i="2"/>
  <c r="C318" i="2"/>
  <c r="R317" i="2"/>
  <c r="N317" i="2"/>
  <c r="M317" i="2"/>
  <c r="G317" i="2"/>
  <c r="F317" i="2"/>
  <c r="E317" i="2"/>
  <c r="C317" i="2"/>
  <c r="R316" i="2"/>
  <c r="N316" i="2"/>
  <c r="M316" i="2"/>
  <c r="G316" i="2"/>
  <c r="F316" i="2"/>
  <c r="E316" i="2"/>
  <c r="C316" i="2"/>
  <c r="R312" i="2"/>
  <c r="N312" i="2"/>
  <c r="M312" i="2"/>
  <c r="G312" i="2"/>
  <c r="F312" i="2"/>
  <c r="E312" i="2"/>
  <c r="C312" i="2"/>
  <c r="R311" i="2"/>
  <c r="N311" i="2"/>
  <c r="M311" i="2"/>
  <c r="G311" i="2"/>
  <c r="F311" i="2"/>
  <c r="E311" i="2"/>
  <c r="C311" i="2"/>
  <c r="R310" i="2"/>
  <c r="N310" i="2"/>
  <c r="M310" i="2"/>
  <c r="G310" i="2"/>
  <c r="F310" i="2"/>
  <c r="E310" i="2"/>
  <c r="C310" i="2"/>
  <c r="R306" i="2"/>
  <c r="N306" i="2"/>
  <c r="M306" i="2"/>
  <c r="G306" i="2"/>
  <c r="F306" i="2"/>
  <c r="E306" i="2"/>
  <c r="C306" i="2"/>
  <c r="R305" i="2"/>
  <c r="N305" i="2"/>
  <c r="M305" i="2"/>
  <c r="G305" i="2"/>
  <c r="F305" i="2"/>
  <c r="E305" i="2"/>
  <c r="C305" i="2"/>
  <c r="R304" i="2"/>
  <c r="N304" i="2"/>
  <c r="M304" i="2"/>
  <c r="G304" i="2"/>
  <c r="F304" i="2"/>
  <c r="E304" i="2"/>
  <c r="C304" i="2"/>
  <c r="R300" i="2"/>
  <c r="N300" i="2"/>
  <c r="M300" i="2"/>
  <c r="G300" i="2"/>
  <c r="F300" i="2"/>
  <c r="E300" i="2"/>
  <c r="C300" i="2"/>
  <c r="R299" i="2"/>
  <c r="N299" i="2"/>
  <c r="M299" i="2"/>
  <c r="G299" i="2"/>
  <c r="F299" i="2"/>
  <c r="E299" i="2"/>
  <c r="C299" i="2"/>
  <c r="R298" i="2"/>
  <c r="N298" i="2"/>
  <c r="M298" i="2"/>
  <c r="G298" i="2"/>
  <c r="F298" i="2"/>
  <c r="E298" i="2"/>
  <c r="C298" i="2"/>
  <c r="C294" i="2"/>
  <c r="R294" i="2"/>
  <c r="N294" i="2"/>
  <c r="M294" i="2"/>
  <c r="G294" i="2"/>
  <c r="F294" i="2"/>
  <c r="E294" i="2"/>
  <c r="R293" i="2"/>
  <c r="N293" i="2"/>
  <c r="M293" i="2"/>
  <c r="G293" i="2"/>
  <c r="F293" i="2"/>
  <c r="E293" i="2"/>
  <c r="C293" i="2"/>
  <c r="R292" i="2"/>
  <c r="N292" i="2"/>
  <c r="M292" i="2"/>
  <c r="G292" i="2"/>
  <c r="F292" i="2"/>
  <c r="E292" i="2"/>
  <c r="C292" i="2"/>
  <c r="R288" i="2"/>
  <c r="N288" i="2"/>
  <c r="M288" i="2"/>
  <c r="G288" i="2"/>
  <c r="F288" i="2"/>
  <c r="E288" i="2"/>
  <c r="C288" i="2"/>
  <c r="R287" i="2"/>
  <c r="N287" i="2"/>
  <c r="M287" i="2"/>
  <c r="G287" i="2"/>
  <c r="F287" i="2"/>
  <c r="E287" i="2"/>
  <c r="C287" i="2"/>
  <c r="R286" i="2"/>
  <c r="N286" i="2"/>
  <c r="M286" i="2"/>
  <c r="G286" i="2"/>
  <c r="F286" i="2"/>
  <c r="E286" i="2"/>
  <c r="C286" i="2"/>
  <c r="R282" i="2"/>
  <c r="N282" i="2"/>
  <c r="M282" i="2"/>
  <c r="G282" i="2"/>
  <c r="F282" i="2"/>
  <c r="E282" i="2"/>
  <c r="C282" i="2"/>
  <c r="R281" i="2"/>
  <c r="N281" i="2"/>
  <c r="M281" i="2"/>
  <c r="G281" i="2"/>
  <c r="F281" i="2"/>
  <c r="E281" i="2"/>
  <c r="C281" i="2"/>
  <c r="R280" i="2"/>
  <c r="N280" i="2"/>
  <c r="M280" i="2"/>
  <c r="G280" i="2"/>
  <c r="F280" i="2"/>
  <c r="E280" i="2"/>
  <c r="C280" i="2"/>
  <c r="R276" i="2"/>
  <c r="N276" i="2"/>
  <c r="M276" i="2"/>
  <c r="G276" i="2"/>
  <c r="F276" i="2"/>
  <c r="E276" i="2"/>
  <c r="C276" i="2"/>
  <c r="R275" i="2"/>
  <c r="N275" i="2"/>
  <c r="M275" i="2"/>
  <c r="G275" i="2"/>
  <c r="F275" i="2"/>
  <c r="E275" i="2"/>
  <c r="C275" i="2"/>
  <c r="R274" i="2"/>
  <c r="N274" i="2"/>
  <c r="M274" i="2"/>
  <c r="G274" i="2"/>
  <c r="F274" i="2"/>
  <c r="E274" i="2"/>
  <c r="C274" i="2"/>
  <c r="R270" i="2"/>
  <c r="N270" i="2"/>
  <c r="M270" i="2"/>
  <c r="G270" i="2"/>
  <c r="F270" i="2"/>
  <c r="E270" i="2"/>
  <c r="C270" i="2"/>
  <c r="R269" i="2"/>
  <c r="N269" i="2"/>
  <c r="M269" i="2"/>
  <c r="G269" i="2"/>
  <c r="F269" i="2"/>
  <c r="E269" i="2"/>
  <c r="C269" i="2"/>
  <c r="R268" i="2"/>
  <c r="N268" i="2"/>
  <c r="M268" i="2"/>
  <c r="G268" i="2"/>
  <c r="F268" i="2"/>
  <c r="E268" i="2"/>
  <c r="C268" i="2"/>
  <c r="R264" i="2"/>
  <c r="N264" i="2"/>
  <c r="M264" i="2"/>
  <c r="G264" i="2"/>
  <c r="F264" i="2"/>
  <c r="E264" i="2"/>
  <c r="C264" i="2"/>
  <c r="R263" i="2"/>
  <c r="N263" i="2"/>
  <c r="M263" i="2"/>
  <c r="G263" i="2"/>
  <c r="F263" i="2"/>
  <c r="E263" i="2"/>
  <c r="C263" i="2"/>
  <c r="R262" i="2"/>
  <c r="N262" i="2"/>
  <c r="M262" i="2"/>
  <c r="G262" i="2"/>
  <c r="F262" i="2"/>
  <c r="E262" i="2"/>
  <c r="C262" i="2"/>
  <c r="R258" i="2"/>
  <c r="N258" i="2"/>
  <c r="M258" i="2"/>
  <c r="G258" i="2"/>
  <c r="F258" i="2"/>
  <c r="E258" i="2"/>
  <c r="C258" i="2"/>
  <c r="R257" i="2"/>
  <c r="N257" i="2"/>
  <c r="M257" i="2"/>
  <c r="G257" i="2"/>
  <c r="F257" i="2"/>
  <c r="E257" i="2"/>
  <c r="C257" i="2"/>
  <c r="R256" i="2"/>
  <c r="N256" i="2"/>
  <c r="M256" i="2"/>
  <c r="G256" i="2"/>
  <c r="F256" i="2"/>
  <c r="E256" i="2"/>
  <c r="C256" i="2"/>
  <c r="N252" i="2"/>
  <c r="M252" i="2"/>
  <c r="R252" i="2"/>
  <c r="G252" i="2"/>
  <c r="F252" i="2"/>
  <c r="E252" i="2"/>
  <c r="C252" i="2"/>
  <c r="N251" i="2"/>
  <c r="M251" i="2"/>
  <c r="R251" i="2"/>
  <c r="G251" i="2"/>
  <c r="F251" i="2"/>
  <c r="E251" i="2"/>
  <c r="C251" i="2"/>
  <c r="N250" i="2"/>
  <c r="M250" i="2"/>
  <c r="R250" i="2"/>
  <c r="G250" i="2"/>
  <c r="F250" i="2"/>
  <c r="E250" i="2"/>
  <c r="C250" i="2"/>
  <c r="N246" i="2"/>
  <c r="M246" i="2"/>
  <c r="R246" i="2"/>
  <c r="G246" i="2"/>
  <c r="F246" i="2"/>
  <c r="E246" i="2"/>
  <c r="C246" i="2"/>
  <c r="N245" i="2"/>
  <c r="M245" i="2"/>
  <c r="R245" i="2"/>
  <c r="G245" i="2"/>
  <c r="F245" i="2"/>
  <c r="E245" i="2"/>
  <c r="C245" i="2"/>
  <c r="N244" i="2"/>
  <c r="M244" i="2"/>
  <c r="R244" i="2"/>
  <c r="G244" i="2"/>
  <c r="F244" i="2"/>
  <c r="E244" i="2"/>
  <c r="C244" i="2"/>
  <c r="N240" i="2"/>
  <c r="M240" i="2"/>
  <c r="R240" i="2"/>
  <c r="G240" i="2"/>
  <c r="F240" i="2"/>
  <c r="E240" i="2"/>
  <c r="C240" i="2"/>
  <c r="N239" i="2"/>
  <c r="M239" i="2"/>
  <c r="R239" i="2"/>
  <c r="G239" i="2"/>
  <c r="F239" i="2"/>
  <c r="E239" i="2"/>
  <c r="C239" i="2"/>
  <c r="N238" i="2"/>
  <c r="M238" i="2"/>
  <c r="R238" i="2"/>
  <c r="G238" i="2"/>
  <c r="F238" i="2"/>
  <c r="E238" i="2"/>
  <c r="C238" i="2"/>
  <c r="N234" i="2"/>
  <c r="M234" i="2"/>
  <c r="R234" i="2"/>
  <c r="G234" i="2"/>
  <c r="F234" i="2"/>
  <c r="E234" i="2"/>
  <c r="C234" i="2"/>
  <c r="N233" i="2"/>
  <c r="M233" i="2"/>
  <c r="R233" i="2"/>
  <c r="G233" i="2"/>
  <c r="F233" i="2"/>
  <c r="E233" i="2"/>
  <c r="C233" i="2"/>
  <c r="N232" i="2"/>
  <c r="M232" i="2"/>
  <c r="R232" i="2"/>
  <c r="G232" i="2"/>
  <c r="F232" i="2"/>
  <c r="E232" i="2"/>
  <c r="C232" i="2"/>
  <c r="N228" i="2"/>
  <c r="M228" i="2"/>
  <c r="R228" i="2"/>
  <c r="G228" i="2"/>
  <c r="F228" i="2"/>
  <c r="E228" i="2"/>
  <c r="C228" i="2"/>
  <c r="N227" i="2"/>
  <c r="M227" i="2"/>
  <c r="R227" i="2"/>
  <c r="G227" i="2"/>
  <c r="F227" i="2"/>
  <c r="E227" i="2"/>
  <c r="C227" i="2"/>
  <c r="N226" i="2"/>
  <c r="M226" i="2"/>
  <c r="R226" i="2"/>
  <c r="G226" i="2"/>
  <c r="F226" i="2"/>
  <c r="E226" i="2"/>
  <c r="C226" i="2"/>
  <c r="N222" i="2"/>
  <c r="M222" i="2"/>
  <c r="R222" i="2"/>
  <c r="G222" i="2"/>
  <c r="F222" i="2"/>
  <c r="E222" i="2"/>
  <c r="C222" i="2"/>
  <c r="N221" i="2"/>
  <c r="M221" i="2"/>
  <c r="R221" i="2"/>
  <c r="G221" i="2"/>
  <c r="F221" i="2"/>
  <c r="E221" i="2"/>
  <c r="C221" i="2"/>
  <c r="N220" i="2"/>
  <c r="M220" i="2"/>
  <c r="R220" i="2"/>
  <c r="G220" i="2"/>
  <c r="F220" i="2"/>
  <c r="E220" i="2"/>
  <c r="C220" i="2"/>
  <c r="N216" i="2"/>
  <c r="M216" i="2"/>
  <c r="R216" i="2"/>
  <c r="G216" i="2"/>
  <c r="F216" i="2"/>
  <c r="E216" i="2"/>
  <c r="C216" i="2"/>
  <c r="N215" i="2"/>
  <c r="M215" i="2"/>
  <c r="R215" i="2"/>
  <c r="G215" i="2"/>
  <c r="F215" i="2"/>
  <c r="E215" i="2"/>
  <c r="C215" i="2"/>
  <c r="N214" i="2"/>
  <c r="M214" i="2"/>
  <c r="R214" i="2"/>
  <c r="G214" i="2"/>
  <c r="F214" i="2"/>
  <c r="E214" i="2"/>
  <c r="C214" i="2"/>
  <c r="N210" i="2"/>
  <c r="M210" i="2"/>
  <c r="R210" i="2"/>
  <c r="G210" i="2"/>
  <c r="F210" i="2"/>
  <c r="E210" i="2"/>
  <c r="C210" i="2"/>
  <c r="N209" i="2"/>
  <c r="M209" i="2"/>
  <c r="R209" i="2"/>
  <c r="G209" i="2"/>
  <c r="F209" i="2"/>
  <c r="E209" i="2"/>
  <c r="C209" i="2"/>
  <c r="N208" i="2"/>
  <c r="M208" i="2"/>
  <c r="R208" i="2"/>
  <c r="G208" i="2"/>
  <c r="F208" i="2"/>
  <c r="E208" i="2"/>
  <c r="C208" i="2"/>
  <c r="N204" i="2"/>
  <c r="M204" i="2"/>
  <c r="R204" i="2"/>
  <c r="G204" i="2"/>
  <c r="F204" i="2"/>
  <c r="E204" i="2"/>
  <c r="C204" i="2"/>
  <c r="N203" i="2"/>
  <c r="M203" i="2"/>
  <c r="R203" i="2"/>
  <c r="G203" i="2"/>
  <c r="F203" i="2"/>
  <c r="E203" i="2"/>
  <c r="C203" i="2"/>
  <c r="N202" i="2"/>
  <c r="M202" i="2"/>
  <c r="R202" i="2"/>
  <c r="G202" i="2"/>
  <c r="F202" i="2"/>
  <c r="E202" i="2"/>
  <c r="C202" i="2"/>
  <c r="N198" i="2"/>
  <c r="M198" i="2"/>
  <c r="R198" i="2"/>
  <c r="G198" i="2"/>
  <c r="F198" i="2"/>
  <c r="E198" i="2"/>
  <c r="C198" i="2"/>
  <c r="N197" i="2"/>
  <c r="M197" i="2"/>
  <c r="R197" i="2"/>
  <c r="G197" i="2"/>
  <c r="F197" i="2"/>
  <c r="E197" i="2"/>
  <c r="C197" i="2"/>
  <c r="N196" i="2"/>
  <c r="M196" i="2"/>
  <c r="R196" i="2"/>
  <c r="G196" i="2"/>
  <c r="F196" i="2"/>
  <c r="E196" i="2"/>
  <c r="C196" i="2"/>
  <c r="N192" i="2"/>
  <c r="M192" i="2"/>
  <c r="R192" i="2"/>
  <c r="G192" i="2"/>
  <c r="F192" i="2"/>
  <c r="E192" i="2"/>
  <c r="C192" i="2"/>
  <c r="N191" i="2"/>
  <c r="M191" i="2"/>
  <c r="R191" i="2"/>
  <c r="G191" i="2"/>
  <c r="F191" i="2"/>
  <c r="E191" i="2"/>
  <c r="C191" i="2"/>
  <c r="N190" i="2"/>
  <c r="M190" i="2"/>
  <c r="R190" i="2"/>
  <c r="G190" i="2"/>
  <c r="F190" i="2"/>
  <c r="E190" i="2"/>
  <c r="C190" i="2"/>
  <c r="N186" i="2"/>
  <c r="M186" i="2"/>
  <c r="R186" i="2"/>
  <c r="G186" i="2"/>
  <c r="F186" i="2"/>
  <c r="E186" i="2"/>
  <c r="C186" i="2"/>
  <c r="N185" i="2"/>
  <c r="M185" i="2"/>
  <c r="R185" i="2"/>
  <c r="G185" i="2"/>
  <c r="F185" i="2"/>
  <c r="E185" i="2"/>
  <c r="C185" i="2"/>
  <c r="N184" i="2"/>
  <c r="M184" i="2"/>
  <c r="R184" i="2"/>
  <c r="G184" i="2"/>
  <c r="F184" i="2"/>
  <c r="E184" i="2"/>
  <c r="C184" i="2"/>
  <c r="N180" i="2"/>
  <c r="M180" i="2"/>
  <c r="K180" i="2"/>
  <c r="J180" i="2"/>
  <c r="R180" i="2"/>
  <c r="F180" i="2"/>
  <c r="E180" i="2"/>
  <c r="D180" i="2"/>
  <c r="C180" i="2"/>
  <c r="N179" i="2"/>
  <c r="M179" i="2"/>
  <c r="K179" i="2"/>
  <c r="J179" i="2"/>
  <c r="R179" i="2"/>
  <c r="F179" i="2"/>
  <c r="E179" i="2"/>
  <c r="D179" i="2"/>
  <c r="C179" i="2"/>
  <c r="N178" i="2"/>
  <c r="M178" i="2"/>
  <c r="K178" i="2"/>
  <c r="J178" i="2"/>
  <c r="R178" i="2"/>
  <c r="F178" i="2"/>
  <c r="E178" i="2"/>
  <c r="D178" i="2"/>
  <c r="C178" i="2"/>
  <c r="N174" i="2"/>
  <c r="M174" i="2"/>
  <c r="K174" i="2"/>
  <c r="J174" i="2"/>
  <c r="R174" i="2"/>
  <c r="F174" i="2"/>
  <c r="E174" i="2"/>
  <c r="D174" i="2"/>
  <c r="C174" i="2"/>
  <c r="Q173" i="2"/>
  <c r="P173" i="2"/>
  <c r="O173" i="2"/>
  <c r="N173" i="2"/>
  <c r="M173" i="2"/>
  <c r="K173" i="2"/>
  <c r="J173" i="2"/>
  <c r="R173" i="2"/>
  <c r="F173" i="2"/>
  <c r="E173" i="2"/>
  <c r="D173" i="2"/>
  <c r="C173" i="2"/>
  <c r="Q172" i="2"/>
  <c r="P172" i="2"/>
  <c r="O172" i="2"/>
  <c r="N172" i="2"/>
  <c r="M172" i="2"/>
  <c r="K172" i="2"/>
  <c r="J172" i="2"/>
  <c r="R172" i="2"/>
  <c r="F172" i="2"/>
  <c r="E172" i="2"/>
  <c r="D172" i="2"/>
  <c r="C172" i="2"/>
  <c r="N168" i="2"/>
  <c r="M168" i="2"/>
  <c r="K168" i="2"/>
  <c r="J168" i="2"/>
  <c r="R168" i="2"/>
  <c r="F168" i="2"/>
  <c r="E168" i="2"/>
  <c r="D168" i="2"/>
  <c r="C168" i="2"/>
  <c r="N167" i="2"/>
  <c r="M167" i="2"/>
  <c r="K167" i="2"/>
  <c r="J167" i="2"/>
  <c r="R167" i="2"/>
  <c r="F167" i="2"/>
  <c r="E167" i="2"/>
  <c r="D167" i="2"/>
  <c r="C167" i="2"/>
  <c r="N166" i="2"/>
  <c r="M166" i="2"/>
  <c r="K166" i="2"/>
  <c r="J166" i="2"/>
  <c r="R166" i="2"/>
  <c r="F166" i="2"/>
  <c r="E166" i="2"/>
  <c r="D166" i="2"/>
  <c r="C166" i="2"/>
  <c r="N162" i="2"/>
  <c r="M162" i="2"/>
  <c r="K162" i="2"/>
  <c r="J162" i="2"/>
  <c r="R162" i="2"/>
  <c r="F162" i="2"/>
  <c r="E162" i="2"/>
  <c r="D162" i="2"/>
  <c r="C162" i="2"/>
  <c r="N161" i="2"/>
  <c r="M161" i="2"/>
  <c r="K161" i="2"/>
  <c r="J161" i="2"/>
  <c r="R161" i="2"/>
  <c r="F161" i="2"/>
  <c r="E161" i="2"/>
  <c r="D161" i="2"/>
  <c r="C161" i="2"/>
  <c r="N160" i="2"/>
  <c r="M160" i="2"/>
  <c r="K160" i="2"/>
  <c r="J160" i="2"/>
  <c r="R160" i="2"/>
  <c r="F160" i="2"/>
  <c r="E160" i="2"/>
  <c r="D160" i="2"/>
  <c r="C160" i="2"/>
  <c r="U156" i="2"/>
  <c r="T156" i="2"/>
  <c r="S156" i="2"/>
  <c r="P156" i="2"/>
  <c r="O156" i="2"/>
  <c r="N156" i="2"/>
  <c r="M156" i="2"/>
  <c r="K156" i="2"/>
  <c r="J156" i="2"/>
  <c r="R156" i="2"/>
  <c r="F156" i="2"/>
  <c r="E156" i="2"/>
  <c r="D156" i="2"/>
  <c r="C156" i="2"/>
  <c r="W155" i="2"/>
  <c r="U155" i="2"/>
  <c r="T155" i="2"/>
  <c r="S155" i="2"/>
  <c r="Q155" i="2"/>
  <c r="P155" i="2"/>
  <c r="O155" i="2"/>
  <c r="N155" i="2"/>
  <c r="M155" i="2"/>
  <c r="K155" i="2"/>
  <c r="J155" i="2"/>
  <c r="R155" i="2"/>
  <c r="F155" i="2"/>
  <c r="E155" i="2"/>
  <c r="D155" i="2"/>
  <c r="C155" i="2"/>
  <c r="W154" i="2"/>
  <c r="U154" i="2"/>
  <c r="T154" i="2"/>
  <c r="S154" i="2"/>
  <c r="Q154" i="2"/>
  <c r="P154" i="2"/>
  <c r="O154" i="2"/>
  <c r="N154" i="2"/>
  <c r="M154" i="2"/>
  <c r="K154" i="2"/>
  <c r="J154" i="2"/>
  <c r="R154" i="2"/>
  <c r="F154" i="2"/>
  <c r="E154" i="2"/>
  <c r="D154" i="2"/>
  <c r="C154" i="2"/>
  <c r="U150" i="2"/>
  <c r="T150" i="2"/>
  <c r="S150" i="2"/>
  <c r="P150" i="2"/>
  <c r="O150" i="2"/>
  <c r="N150" i="2"/>
  <c r="M150" i="2"/>
  <c r="K150" i="2"/>
  <c r="J150" i="2"/>
  <c r="R150" i="2"/>
  <c r="F150" i="2"/>
  <c r="E150" i="2"/>
  <c r="D150" i="2"/>
  <c r="C150" i="2"/>
  <c r="X149" i="2"/>
  <c r="W149" i="2"/>
  <c r="U149" i="2"/>
  <c r="T149" i="2"/>
  <c r="S149" i="2"/>
  <c r="Q149" i="2"/>
  <c r="P149" i="2"/>
  <c r="O149" i="2"/>
  <c r="N149" i="2"/>
  <c r="M149" i="2"/>
  <c r="K149" i="2"/>
  <c r="J149" i="2"/>
  <c r="R149" i="2"/>
  <c r="F149" i="2"/>
  <c r="E149" i="2"/>
  <c r="D149" i="2"/>
  <c r="C149" i="2"/>
  <c r="X148" i="2"/>
  <c r="W148" i="2"/>
  <c r="U148" i="2"/>
  <c r="T148" i="2"/>
  <c r="S148" i="2"/>
  <c r="Q148" i="2"/>
  <c r="P148" i="2"/>
  <c r="O148" i="2"/>
  <c r="N148" i="2"/>
  <c r="M148" i="2"/>
  <c r="K148" i="2"/>
  <c r="J148" i="2"/>
  <c r="R148" i="2"/>
  <c r="F148" i="2"/>
  <c r="E148" i="2"/>
  <c r="D148" i="2"/>
  <c r="C148" i="2"/>
  <c r="U144" i="2"/>
  <c r="T144" i="2"/>
  <c r="S144" i="2"/>
  <c r="P144" i="2"/>
  <c r="O144" i="2"/>
  <c r="N144" i="2"/>
  <c r="M144" i="2"/>
  <c r="K144" i="2"/>
  <c r="J144" i="2"/>
  <c r="R144" i="2"/>
  <c r="F144" i="2"/>
  <c r="E144" i="2"/>
  <c r="D144" i="2"/>
  <c r="C144" i="2"/>
  <c r="X143" i="2"/>
  <c r="W143" i="2"/>
  <c r="U143" i="2"/>
  <c r="T143" i="2"/>
  <c r="S143" i="2"/>
  <c r="Q143" i="2"/>
  <c r="P143" i="2"/>
  <c r="O143" i="2"/>
  <c r="N143" i="2"/>
  <c r="M143" i="2"/>
  <c r="K143" i="2"/>
  <c r="J143" i="2"/>
  <c r="R143" i="2"/>
  <c r="F143" i="2"/>
  <c r="E143" i="2"/>
  <c r="D143" i="2"/>
  <c r="C143" i="2"/>
  <c r="X142" i="2"/>
  <c r="W142" i="2"/>
  <c r="U142" i="2"/>
  <c r="T142" i="2"/>
  <c r="S142" i="2"/>
  <c r="Q142" i="2"/>
  <c r="P142" i="2"/>
  <c r="O142" i="2"/>
  <c r="N142" i="2"/>
  <c r="M142" i="2"/>
  <c r="K142" i="2"/>
  <c r="J142" i="2"/>
  <c r="R142" i="2"/>
  <c r="F142" i="2"/>
  <c r="E142" i="2"/>
  <c r="D142" i="2"/>
  <c r="C142" i="2"/>
  <c r="U138" i="2"/>
  <c r="T138" i="2"/>
  <c r="S138" i="2"/>
  <c r="P138" i="2"/>
  <c r="O138" i="2"/>
  <c r="N138" i="2"/>
  <c r="M138" i="2"/>
  <c r="K138" i="2"/>
  <c r="J138" i="2"/>
  <c r="R138" i="2"/>
  <c r="F138" i="2"/>
  <c r="E138" i="2"/>
  <c r="D138" i="2"/>
  <c r="C138" i="2"/>
  <c r="X137" i="2"/>
  <c r="W137" i="2"/>
  <c r="U137" i="2"/>
  <c r="T137" i="2"/>
  <c r="S137" i="2"/>
  <c r="Q137" i="2"/>
  <c r="P137" i="2"/>
  <c r="O137" i="2"/>
  <c r="N137" i="2"/>
  <c r="M137" i="2"/>
  <c r="K137" i="2"/>
  <c r="J137" i="2"/>
  <c r="R137" i="2"/>
  <c r="F137" i="2"/>
  <c r="E137" i="2"/>
  <c r="D137" i="2"/>
  <c r="C137" i="2"/>
  <c r="X136" i="2"/>
  <c r="W136" i="2"/>
  <c r="U136" i="2"/>
  <c r="T136" i="2"/>
  <c r="S136" i="2"/>
  <c r="Q136" i="2"/>
  <c r="P136" i="2"/>
  <c r="O136" i="2"/>
  <c r="N136" i="2"/>
  <c r="M136" i="2"/>
  <c r="K136" i="2"/>
  <c r="J136" i="2"/>
  <c r="R136" i="2"/>
  <c r="F136" i="2"/>
  <c r="E136" i="2"/>
  <c r="D136" i="2"/>
  <c r="C136" i="2"/>
  <c r="U132" i="2"/>
  <c r="T132" i="2"/>
  <c r="S132" i="2"/>
  <c r="P132" i="2"/>
  <c r="O132" i="2"/>
  <c r="N132" i="2"/>
  <c r="M132" i="2"/>
  <c r="K132" i="2"/>
  <c r="J132" i="2"/>
  <c r="R132" i="2"/>
  <c r="F132" i="2"/>
  <c r="E132" i="2"/>
  <c r="D132" i="2"/>
  <c r="C132" i="2"/>
  <c r="W131" i="2"/>
  <c r="U131" i="2"/>
  <c r="T131" i="2"/>
  <c r="S131" i="2"/>
  <c r="Q131" i="2"/>
  <c r="P131" i="2"/>
  <c r="O131" i="2"/>
  <c r="N131" i="2"/>
  <c r="M131" i="2"/>
  <c r="K131" i="2"/>
  <c r="J131" i="2"/>
  <c r="R131" i="2"/>
  <c r="F131" i="2"/>
  <c r="E131" i="2"/>
  <c r="D131" i="2"/>
  <c r="C131" i="2"/>
  <c r="W130" i="2"/>
  <c r="U130" i="2"/>
  <c r="T130" i="2"/>
  <c r="S130" i="2"/>
  <c r="Q130" i="2"/>
  <c r="P130" i="2"/>
  <c r="O130" i="2"/>
  <c r="N130" i="2"/>
  <c r="M130" i="2"/>
  <c r="K130" i="2"/>
  <c r="J130" i="2"/>
  <c r="R130" i="2"/>
  <c r="F130" i="2"/>
  <c r="E130" i="2"/>
  <c r="D130" i="2"/>
  <c r="C130" i="2"/>
  <c r="U126" i="2"/>
  <c r="T126" i="2"/>
  <c r="S126" i="2"/>
  <c r="P126" i="2"/>
  <c r="O126" i="2"/>
  <c r="N126" i="2"/>
  <c r="M126" i="2"/>
  <c r="K126" i="2"/>
  <c r="J126" i="2"/>
  <c r="R126" i="2"/>
  <c r="F126" i="2"/>
  <c r="E126" i="2"/>
  <c r="D126" i="2"/>
  <c r="C126" i="2"/>
  <c r="W125" i="2"/>
  <c r="U125" i="2"/>
  <c r="T125" i="2"/>
  <c r="S125" i="2"/>
  <c r="Q125" i="2"/>
  <c r="P125" i="2"/>
  <c r="O125" i="2"/>
  <c r="N125" i="2"/>
  <c r="M125" i="2"/>
  <c r="K125" i="2"/>
  <c r="J125" i="2"/>
  <c r="R125" i="2"/>
  <c r="F125" i="2"/>
  <c r="E125" i="2"/>
  <c r="D125" i="2"/>
  <c r="C125" i="2"/>
  <c r="W124" i="2"/>
  <c r="U124" i="2"/>
  <c r="T124" i="2"/>
  <c r="S124" i="2"/>
  <c r="Q124" i="2"/>
  <c r="P124" i="2"/>
  <c r="O124" i="2"/>
  <c r="N124" i="2"/>
  <c r="M124" i="2"/>
  <c r="K124" i="2"/>
  <c r="J124" i="2"/>
  <c r="R124" i="2"/>
  <c r="F124" i="2"/>
  <c r="E124" i="2"/>
  <c r="D124" i="2"/>
  <c r="C124" i="2"/>
  <c r="U120" i="2"/>
  <c r="T120" i="2"/>
  <c r="S120" i="2"/>
  <c r="P120" i="2"/>
  <c r="O120" i="2"/>
  <c r="N120" i="2"/>
  <c r="M120" i="2"/>
  <c r="K120" i="2"/>
  <c r="J120" i="2"/>
  <c r="R120" i="2"/>
  <c r="F120" i="2"/>
  <c r="D120" i="2"/>
  <c r="C120" i="2"/>
  <c r="U119" i="2"/>
  <c r="T119" i="2"/>
  <c r="S119" i="2"/>
  <c r="P119" i="2"/>
  <c r="O119" i="2"/>
  <c r="N119" i="2"/>
  <c r="M119" i="2"/>
  <c r="K119" i="2"/>
  <c r="J119" i="2"/>
  <c r="R119" i="2"/>
  <c r="F119" i="2"/>
  <c r="D119" i="2"/>
  <c r="C119" i="2"/>
  <c r="U118" i="2"/>
  <c r="T118" i="2"/>
  <c r="S118" i="2"/>
  <c r="P118" i="2"/>
  <c r="O118" i="2"/>
  <c r="N118" i="2"/>
  <c r="M118" i="2"/>
  <c r="K118" i="2"/>
  <c r="J118" i="2"/>
  <c r="R118" i="2"/>
  <c r="F118" i="2"/>
  <c r="D118" i="2"/>
  <c r="C118" i="2"/>
  <c r="S114" i="2"/>
  <c r="O114" i="2"/>
  <c r="M114" i="2"/>
  <c r="R114" i="2"/>
  <c r="H114" i="2"/>
  <c r="F114" i="2"/>
  <c r="D114" i="2"/>
  <c r="C114" i="2"/>
  <c r="U113" i="2"/>
  <c r="S113" i="2"/>
  <c r="P113" i="2"/>
  <c r="O113" i="2"/>
  <c r="M113" i="2"/>
  <c r="K113" i="2"/>
  <c r="J113" i="2"/>
  <c r="R113" i="2"/>
  <c r="H113" i="2"/>
  <c r="F113" i="2"/>
  <c r="D113" i="2"/>
  <c r="C113" i="2"/>
  <c r="U112" i="2"/>
  <c r="S112" i="2"/>
  <c r="P112" i="2"/>
  <c r="O112" i="2"/>
  <c r="M112" i="2"/>
  <c r="K112" i="2"/>
  <c r="J112" i="2"/>
  <c r="R112" i="2"/>
  <c r="H112" i="2"/>
  <c r="F112" i="2"/>
  <c r="D112" i="2"/>
  <c r="C112" i="2"/>
  <c r="R108" i="2"/>
  <c r="H108" i="2"/>
  <c r="F108" i="2"/>
  <c r="D108" i="2"/>
  <c r="C108" i="2"/>
  <c r="U107" i="2"/>
  <c r="S107" i="2"/>
  <c r="O107" i="2"/>
  <c r="M107" i="2"/>
  <c r="R107" i="2"/>
  <c r="H107" i="2"/>
  <c r="F107" i="2"/>
  <c r="D107" i="2"/>
  <c r="C107" i="2"/>
  <c r="U106" i="2"/>
  <c r="S106" i="2"/>
  <c r="O106" i="2"/>
  <c r="M106" i="2"/>
  <c r="R106" i="2"/>
  <c r="H106" i="2"/>
  <c r="F106" i="2"/>
  <c r="D106" i="2"/>
  <c r="C106" i="2"/>
  <c r="R102" i="2"/>
  <c r="H102" i="2"/>
  <c r="F102" i="2"/>
  <c r="D102" i="2"/>
  <c r="C102" i="2"/>
  <c r="R101" i="2"/>
  <c r="H101" i="2"/>
  <c r="F101" i="2"/>
  <c r="D101" i="2"/>
  <c r="C101" i="2"/>
  <c r="R100" i="2"/>
  <c r="H100" i="2"/>
  <c r="F100" i="2"/>
  <c r="D100" i="2"/>
  <c r="C100" i="2"/>
  <c r="R96" i="2"/>
  <c r="H96" i="2"/>
  <c r="F96" i="2"/>
  <c r="D96" i="2"/>
  <c r="C96" i="2"/>
  <c r="R95" i="2"/>
  <c r="H95" i="2"/>
  <c r="F95" i="2"/>
  <c r="D95" i="2"/>
  <c r="C95" i="2"/>
  <c r="R91" i="2"/>
  <c r="H91" i="2"/>
  <c r="F91" i="2"/>
  <c r="D91" i="2"/>
  <c r="C91" i="2"/>
  <c r="R90" i="2"/>
  <c r="H90" i="2"/>
  <c r="F90" i="2"/>
  <c r="D90" i="2"/>
  <c r="C90" i="2"/>
  <c r="R86" i="2"/>
  <c r="H86" i="2"/>
  <c r="F86" i="2"/>
  <c r="D86" i="2"/>
  <c r="C86" i="2"/>
  <c r="R85" i="2"/>
  <c r="H85" i="2"/>
  <c r="F85" i="2"/>
  <c r="D85" i="2"/>
  <c r="C85" i="2"/>
  <c r="IQ14" i="1"/>
  <c r="IP14" i="1"/>
  <c r="IO14" i="1"/>
  <c r="IQ13" i="1"/>
  <c r="IP13" i="1"/>
  <c r="IO13" i="1"/>
  <c r="IQ10" i="1"/>
  <c r="IP10" i="1"/>
  <c r="IO10" i="1"/>
  <c r="IQ7" i="1"/>
  <c r="IP7" i="1"/>
  <c r="IO7" i="1"/>
  <c r="IQ6" i="1"/>
  <c r="IP6" i="1"/>
  <c r="IO6" i="1"/>
  <c r="IQ5" i="1"/>
  <c r="IP5" i="1"/>
  <c r="IO5" i="1"/>
  <c r="IQ3" i="1"/>
  <c r="IP3" i="1"/>
  <c r="IO3" i="1"/>
  <c r="IK14" i="1"/>
  <c r="IJ14" i="1"/>
  <c r="II14" i="1"/>
  <c r="IK13" i="1"/>
  <c r="IJ13" i="1"/>
  <c r="II13" i="1"/>
  <c r="IK10" i="1"/>
  <c r="IJ10" i="1"/>
  <c r="II10" i="1"/>
  <c r="IK7" i="1"/>
  <c r="IJ7" i="1"/>
  <c r="II7" i="1"/>
  <c r="IK6" i="1"/>
  <c r="IJ6" i="1"/>
  <c r="II6" i="1"/>
  <c r="IK5" i="1"/>
  <c r="IJ5" i="1"/>
  <c r="II5" i="1"/>
  <c r="IK3" i="1"/>
  <c r="IJ3" i="1"/>
  <c r="II3" i="1"/>
  <c r="IE14" i="1"/>
  <c r="ID14" i="1"/>
  <c r="IC14" i="1"/>
  <c r="IE13" i="1"/>
  <c r="ID13" i="1"/>
  <c r="IC13" i="1"/>
  <c r="IE10" i="1"/>
  <c r="ID10" i="1"/>
  <c r="IC10" i="1"/>
  <c r="IE7" i="1"/>
  <c r="ID7" i="1"/>
  <c r="IC7" i="1"/>
  <c r="IE6" i="1"/>
  <c r="ID6" i="1"/>
  <c r="IC6" i="1"/>
  <c r="IE5" i="1"/>
  <c r="ID5" i="1"/>
  <c r="IC5" i="1"/>
  <c r="IE3" i="1"/>
  <c r="ID3" i="1"/>
  <c r="IC3" i="1"/>
  <c r="HY14" i="1"/>
  <c r="HX14" i="1"/>
  <c r="HW14" i="1"/>
  <c r="HY13" i="1"/>
  <c r="HX13" i="1"/>
  <c r="HW13" i="1"/>
  <c r="HY10" i="1"/>
  <c r="HX10" i="1"/>
  <c r="HW10" i="1"/>
  <c r="HY7" i="1"/>
  <c r="HX7" i="1"/>
  <c r="HW7" i="1"/>
  <c r="HY6" i="1"/>
  <c r="HX6" i="1"/>
  <c r="HW6" i="1"/>
  <c r="HY5" i="1"/>
  <c r="HX5" i="1"/>
  <c r="HW5" i="1"/>
  <c r="HY3" i="1"/>
  <c r="HX3" i="1"/>
  <c r="HW3" i="1"/>
  <c r="HS14" i="1"/>
  <c r="HR14" i="1"/>
  <c r="HQ14" i="1"/>
  <c r="HS13" i="1"/>
  <c r="HR13" i="1"/>
  <c r="HQ13" i="1"/>
  <c r="HS10" i="1"/>
  <c r="HR10" i="1"/>
  <c r="HQ10" i="1"/>
  <c r="HS7" i="1"/>
  <c r="HR7" i="1"/>
  <c r="HQ7" i="1"/>
  <c r="HS6" i="1"/>
  <c r="HR6" i="1"/>
  <c r="HQ6" i="1"/>
  <c r="HS5" i="1"/>
  <c r="HR5" i="1"/>
  <c r="HQ5" i="1"/>
  <c r="HS3" i="1"/>
  <c r="HR3" i="1"/>
  <c r="HQ3" i="1"/>
  <c r="HM14" i="1"/>
  <c r="HL14" i="1"/>
  <c r="HK14" i="1"/>
  <c r="HM13" i="1"/>
  <c r="HL13" i="1"/>
  <c r="HK13" i="1"/>
  <c r="HM10" i="1"/>
  <c r="HL10" i="1"/>
  <c r="HK10" i="1"/>
  <c r="HM7" i="1"/>
  <c r="HL7" i="1"/>
  <c r="HK7" i="1"/>
  <c r="HM6" i="1"/>
  <c r="HL6" i="1"/>
  <c r="HK6" i="1"/>
  <c r="HM5" i="1"/>
  <c r="HL5" i="1"/>
  <c r="HK5" i="1"/>
  <c r="HM3" i="1"/>
  <c r="HL3" i="1"/>
  <c r="HK3" i="1"/>
  <c r="HA14" i="1"/>
  <c r="GZ14" i="1"/>
  <c r="GY14" i="1"/>
  <c r="HA13" i="1"/>
  <c r="GZ13" i="1"/>
  <c r="GY13" i="1"/>
  <c r="HA10" i="1"/>
  <c r="GZ10" i="1"/>
  <c r="GY10" i="1"/>
  <c r="HA7" i="1"/>
  <c r="GZ7" i="1"/>
  <c r="GY7" i="1"/>
  <c r="HA6" i="1"/>
  <c r="GZ6" i="1"/>
  <c r="GY6" i="1"/>
  <c r="HA5" i="1"/>
  <c r="GZ5" i="1"/>
  <c r="GY5" i="1"/>
  <c r="HA3" i="1"/>
  <c r="GZ3" i="1"/>
  <c r="GY3" i="1"/>
  <c r="HG14" i="1"/>
  <c r="HF14" i="1"/>
  <c r="HE14" i="1"/>
  <c r="HG13" i="1"/>
  <c r="HF13" i="1"/>
  <c r="HE13" i="1"/>
  <c r="HG10" i="1"/>
  <c r="HF10" i="1"/>
  <c r="HE10" i="1"/>
  <c r="HG7" i="1"/>
  <c r="HF7" i="1"/>
  <c r="HE7" i="1"/>
  <c r="HG6" i="1"/>
  <c r="HF6" i="1"/>
  <c r="HE6" i="1"/>
  <c r="HG5" i="1"/>
  <c r="HF5" i="1"/>
  <c r="HE5" i="1"/>
  <c r="HG3" i="1"/>
  <c r="HF3" i="1"/>
  <c r="HE3" i="1"/>
  <c r="GU14" i="1"/>
  <c r="GT14" i="1"/>
  <c r="GS14" i="1"/>
  <c r="GU13" i="1"/>
  <c r="GT13" i="1"/>
  <c r="GS13" i="1"/>
  <c r="GU10" i="1"/>
  <c r="GT10" i="1"/>
  <c r="GS10" i="1"/>
  <c r="GU7" i="1"/>
  <c r="GT7" i="1"/>
  <c r="GS7" i="1"/>
  <c r="GU6" i="1"/>
  <c r="GT6" i="1"/>
  <c r="GS6" i="1"/>
  <c r="GU5" i="1"/>
  <c r="GT5" i="1"/>
  <c r="GS5" i="1"/>
  <c r="GU3" i="1"/>
  <c r="GT3" i="1"/>
  <c r="GS3" i="1"/>
  <c r="GO14" i="1"/>
  <c r="GN14" i="1"/>
  <c r="GM14" i="1"/>
  <c r="GO13" i="1"/>
  <c r="GN13" i="1"/>
  <c r="GM13" i="1"/>
  <c r="GO10" i="1"/>
  <c r="GN10" i="1"/>
  <c r="GM10" i="1"/>
  <c r="GO7" i="1"/>
  <c r="GN7" i="1"/>
  <c r="GM7" i="1"/>
  <c r="GO6" i="1"/>
  <c r="GN6" i="1"/>
  <c r="GM6" i="1"/>
  <c r="GO5" i="1"/>
  <c r="GN5" i="1"/>
  <c r="GM5" i="1"/>
  <c r="GO3" i="1"/>
  <c r="GN3" i="1"/>
  <c r="GM3" i="1"/>
  <c r="GI14" i="1"/>
  <c r="GH14" i="1"/>
  <c r="GG14" i="1"/>
  <c r="GI13" i="1"/>
  <c r="GH13" i="1"/>
  <c r="GG13" i="1"/>
  <c r="GI10" i="1"/>
  <c r="GH10" i="1"/>
  <c r="GG10" i="1"/>
  <c r="GI7" i="1"/>
  <c r="GH7" i="1"/>
  <c r="GG7" i="1"/>
  <c r="GI6" i="1"/>
  <c r="GH6" i="1"/>
  <c r="GG6" i="1"/>
  <c r="GI5" i="1"/>
  <c r="GH5" i="1"/>
  <c r="GG5" i="1"/>
  <c r="GI3" i="1"/>
  <c r="GH3" i="1"/>
  <c r="GG3" i="1"/>
  <c r="GC7" i="1"/>
  <c r="GB7" i="1"/>
  <c r="GA7" i="1"/>
  <c r="GC14" i="1"/>
  <c r="GB14" i="1"/>
  <c r="GA14" i="1"/>
  <c r="GC13" i="1"/>
  <c r="GB13" i="1"/>
  <c r="GA13" i="1"/>
  <c r="GC10" i="1"/>
  <c r="GB10" i="1"/>
  <c r="GA10" i="1"/>
  <c r="GC6" i="1"/>
  <c r="GB6" i="1"/>
  <c r="GA6" i="1"/>
  <c r="GC5" i="1"/>
  <c r="GB5" i="1"/>
  <c r="GA5" i="1"/>
  <c r="GC3" i="1"/>
  <c r="GB3" i="1"/>
  <c r="GA3" i="1"/>
  <c r="FW14" i="1"/>
  <c r="FV14" i="1"/>
  <c r="FU14" i="1"/>
  <c r="FW13" i="1"/>
  <c r="FV13" i="1"/>
  <c r="FU13" i="1"/>
  <c r="FW12" i="1"/>
  <c r="FV12" i="1"/>
  <c r="FU12" i="1"/>
  <c r="FW11" i="1"/>
  <c r="FV11" i="1"/>
  <c r="FU11" i="1"/>
  <c r="FW10" i="1"/>
  <c r="FV10" i="1"/>
  <c r="FU10" i="1"/>
  <c r="FW6" i="1"/>
  <c r="FV6" i="1"/>
  <c r="FU6" i="1"/>
  <c r="FW5" i="1"/>
  <c r="FV5" i="1"/>
  <c r="FU5" i="1"/>
  <c r="FW4" i="1"/>
  <c r="FV4" i="1"/>
  <c r="FU4" i="1"/>
  <c r="FW3" i="1"/>
  <c r="FV3" i="1"/>
  <c r="FU3" i="1"/>
  <c r="FO17" i="1"/>
  <c r="FP17" i="1"/>
  <c r="FO16" i="1"/>
  <c r="FP16" i="1"/>
  <c r="FO15" i="1"/>
  <c r="FP15" i="1"/>
  <c r="FQ14" i="1"/>
  <c r="FP14" i="1"/>
  <c r="FO14" i="1"/>
  <c r="FQ13" i="1"/>
  <c r="FP13" i="1"/>
  <c r="FO13" i="1"/>
  <c r="FQ12" i="1"/>
  <c r="FP12" i="1"/>
  <c r="FO12" i="1"/>
  <c r="FQ11" i="1"/>
  <c r="FP11" i="1"/>
  <c r="FO11" i="1"/>
  <c r="FQ10" i="1"/>
  <c r="FP10" i="1"/>
  <c r="FO10" i="1"/>
  <c r="FQ6" i="1"/>
  <c r="FP6" i="1"/>
  <c r="FO6" i="1"/>
  <c r="FQ5" i="1"/>
  <c r="FP5" i="1"/>
  <c r="FO5" i="1"/>
  <c r="FQ4" i="1"/>
  <c r="FP4" i="1"/>
  <c r="FO4" i="1"/>
  <c r="FQ3" i="1"/>
  <c r="FP3" i="1"/>
  <c r="FO3" i="1"/>
  <c r="FK14" i="1"/>
  <c r="FJ14" i="1"/>
  <c r="FI14" i="1"/>
  <c r="FK13" i="1"/>
  <c r="FJ13" i="1"/>
  <c r="FI13" i="1"/>
  <c r="FK12" i="1"/>
  <c r="FJ12" i="1"/>
  <c r="FI12" i="1"/>
  <c r="FK11" i="1"/>
  <c r="FJ11" i="1"/>
  <c r="FI11" i="1"/>
  <c r="FK10" i="1"/>
  <c r="FJ10" i="1"/>
  <c r="FI10" i="1"/>
  <c r="FK6" i="1"/>
  <c r="FJ6" i="1"/>
  <c r="FI6" i="1"/>
  <c r="FK5" i="1"/>
  <c r="FJ5" i="1"/>
  <c r="FI5" i="1"/>
  <c r="FK4" i="1"/>
  <c r="FJ4" i="1"/>
  <c r="FI4" i="1"/>
  <c r="FK3" i="1"/>
  <c r="FJ3" i="1"/>
  <c r="FI3" i="1"/>
  <c r="FE14" i="1"/>
  <c r="FD14" i="1"/>
  <c r="FC14" i="1"/>
  <c r="FE13" i="1"/>
  <c r="FD13" i="1"/>
  <c r="FC13" i="1"/>
  <c r="FE12" i="1"/>
  <c r="FD12" i="1"/>
  <c r="FC12" i="1"/>
  <c r="FE11" i="1"/>
  <c r="FD11" i="1"/>
  <c r="FC11" i="1"/>
  <c r="FE10" i="1"/>
  <c r="FD10" i="1"/>
  <c r="FC10" i="1"/>
  <c r="FE6" i="1"/>
  <c r="FD6" i="1"/>
  <c r="FC6" i="1"/>
  <c r="FE5" i="1"/>
  <c r="FD5" i="1"/>
  <c r="FC5" i="1"/>
  <c r="FE4" i="1"/>
  <c r="FD4" i="1"/>
  <c r="FC4" i="1"/>
  <c r="FE3" i="1"/>
  <c r="FD3" i="1"/>
  <c r="FC3" i="1"/>
  <c r="EX21" i="1"/>
  <c r="EW21" i="1"/>
  <c r="EY20" i="1"/>
  <c r="EX20" i="1"/>
  <c r="EW20" i="1"/>
  <c r="EY19" i="1"/>
  <c r="EX19" i="1"/>
  <c r="EW19" i="1"/>
  <c r="EY18" i="1"/>
  <c r="EX18" i="1"/>
  <c r="EW18" i="1"/>
  <c r="EX17" i="1"/>
  <c r="EW17" i="1"/>
  <c r="EY16" i="1"/>
  <c r="EX16" i="1"/>
  <c r="EW16" i="1"/>
  <c r="EY15" i="1"/>
  <c r="EX15" i="1"/>
  <c r="EW15" i="1"/>
  <c r="EY14" i="1"/>
  <c r="EX14" i="1"/>
  <c r="EW14" i="1"/>
  <c r="EY13" i="1"/>
  <c r="EX13" i="1"/>
  <c r="EW13" i="1"/>
  <c r="EY12" i="1"/>
  <c r="EX12" i="1"/>
  <c r="EW12" i="1"/>
  <c r="EY11" i="1"/>
  <c r="EX11" i="1"/>
  <c r="EW11" i="1"/>
  <c r="EY10" i="1"/>
  <c r="EX10" i="1"/>
  <c r="EW10" i="1"/>
  <c r="EY6" i="1"/>
  <c r="EX6" i="1"/>
  <c r="EW6" i="1"/>
  <c r="EY5" i="1"/>
  <c r="EX5" i="1"/>
  <c r="EW5" i="1"/>
  <c r="EY4" i="1"/>
  <c r="EX4" i="1"/>
  <c r="EW4" i="1"/>
  <c r="EY3" i="1"/>
  <c r="EX3" i="1"/>
  <c r="EW3" i="1"/>
  <c r="ER22" i="1"/>
  <c r="EQ22" i="1"/>
  <c r="ER21" i="1"/>
  <c r="EQ21" i="1"/>
  <c r="ES20" i="1"/>
  <c r="ER20" i="1"/>
  <c r="EQ20" i="1"/>
  <c r="ES19" i="1"/>
  <c r="ER19" i="1"/>
  <c r="EQ19" i="1"/>
  <c r="ES18" i="1"/>
  <c r="ER18" i="1"/>
  <c r="EQ18" i="1"/>
  <c r="ER17" i="1"/>
  <c r="EQ17" i="1"/>
  <c r="ES16" i="1"/>
  <c r="ER16" i="1"/>
  <c r="EQ16" i="1"/>
  <c r="ES15" i="1"/>
  <c r="ER15" i="1"/>
  <c r="EQ15" i="1"/>
  <c r="ES14" i="1"/>
  <c r="ER14" i="1"/>
  <c r="EQ14" i="1"/>
  <c r="ES13" i="1"/>
  <c r="ER13" i="1"/>
  <c r="EQ13" i="1"/>
  <c r="ES12" i="1"/>
  <c r="ER12" i="1"/>
  <c r="EQ12" i="1"/>
  <c r="ES11" i="1"/>
  <c r="ER11" i="1"/>
  <c r="EQ11" i="1"/>
  <c r="ES10" i="1"/>
  <c r="ER10" i="1"/>
  <c r="EQ10" i="1"/>
  <c r="ES6" i="1"/>
  <c r="ER6" i="1"/>
  <c r="EQ6" i="1"/>
  <c r="ES5" i="1"/>
  <c r="ER5" i="1"/>
  <c r="EQ5" i="1"/>
  <c r="ES4" i="1"/>
  <c r="ER4" i="1"/>
  <c r="EQ4" i="1"/>
  <c r="ES3" i="1"/>
  <c r="ER3" i="1"/>
  <c r="EQ3" i="1"/>
  <c r="EL22" i="1"/>
  <c r="EK22" i="1"/>
  <c r="EL21" i="1"/>
  <c r="EK21" i="1"/>
  <c r="EM20" i="1"/>
  <c r="EL20" i="1"/>
  <c r="EK20" i="1"/>
  <c r="EM19" i="1"/>
  <c r="EL19" i="1"/>
  <c r="EK19" i="1"/>
  <c r="EM18" i="1"/>
  <c r="EL18" i="1"/>
  <c r="EK18" i="1"/>
  <c r="EL17" i="1"/>
  <c r="EK17" i="1"/>
  <c r="EM16" i="1"/>
  <c r="EL16" i="1"/>
  <c r="EK16" i="1"/>
  <c r="EM15" i="1"/>
  <c r="EL15" i="1"/>
  <c r="EK15" i="1"/>
  <c r="EM14" i="1"/>
  <c r="EL14" i="1"/>
  <c r="EK14" i="1"/>
  <c r="EM13" i="1"/>
  <c r="EL13" i="1"/>
  <c r="EK13" i="1"/>
  <c r="EM12" i="1"/>
  <c r="EL12" i="1"/>
  <c r="EK12" i="1"/>
  <c r="EM11" i="1"/>
  <c r="EL11" i="1"/>
  <c r="EK11" i="1"/>
  <c r="EM10" i="1"/>
  <c r="EL10" i="1"/>
  <c r="EK10" i="1"/>
  <c r="EM6" i="1"/>
  <c r="EL6" i="1"/>
  <c r="EK6" i="1"/>
  <c r="EM5" i="1"/>
  <c r="EL5" i="1"/>
  <c r="EK5" i="1"/>
  <c r="EM4" i="1"/>
  <c r="EL4" i="1"/>
  <c r="EK4" i="1"/>
  <c r="EM3" i="1"/>
  <c r="EL3" i="1"/>
  <c r="EK3" i="1"/>
  <c r="EE22" i="1"/>
  <c r="EF22" i="1"/>
  <c r="EF21" i="1"/>
  <c r="EE21" i="1"/>
  <c r="EG20" i="1"/>
  <c r="EF20" i="1"/>
  <c r="EE20" i="1"/>
  <c r="EG19" i="1"/>
  <c r="EF19" i="1"/>
  <c r="EE19" i="1"/>
  <c r="EG18" i="1"/>
  <c r="EF18" i="1"/>
  <c r="EE18" i="1"/>
  <c r="EF17" i="1"/>
  <c r="EE17" i="1"/>
  <c r="EG16" i="1"/>
  <c r="EF16" i="1"/>
  <c r="EE16" i="1"/>
  <c r="EG15" i="1"/>
  <c r="EF15" i="1"/>
  <c r="EE15" i="1"/>
  <c r="EG14" i="1"/>
  <c r="EF14" i="1"/>
  <c r="EE14" i="1"/>
  <c r="EG13" i="1"/>
  <c r="EF13" i="1"/>
  <c r="EE13" i="1"/>
  <c r="EG12" i="1"/>
  <c r="EF12" i="1"/>
  <c r="EE12" i="1"/>
  <c r="EG11" i="1"/>
  <c r="EF11" i="1"/>
  <c r="EE11" i="1"/>
  <c r="EG10" i="1"/>
  <c r="EF10" i="1"/>
  <c r="EE10" i="1"/>
  <c r="EG6" i="1"/>
  <c r="EF6" i="1"/>
  <c r="EE6" i="1"/>
  <c r="EG5" i="1"/>
  <c r="EF5" i="1"/>
  <c r="EE5" i="1"/>
  <c r="EG4" i="1"/>
  <c r="EF4" i="1"/>
  <c r="EE4" i="1"/>
  <c r="EG3" i="1"/>
  <c r="EF3" i="1"/>
  <c r="EE3" i="1"/>
  <c r="DZ21" i="1"/>
  <c r="DY21" i="1"/>
  <c r="EA20" i="1"/>
  <c r="DZ20" i="1"/>
  <c r="DY20" i="1"/>
  <c r="EA19" i="1"/>
  <c r="DZ19" i="1"/>
  <c r="DY19" i="1"/>
  <c r="EA18" i="1"/>
  <c r="DZ18" i="1"/>
  <c r="DY18" i="1"/>
  <c r="DZ17" i="1"/>
  <c r="DY17" i="1"/>
  <c r="EA16" i="1"/>
  <c r="DZ16" i="1"/>
  <c r="DY16" i="1"/>
  <c r="EA15" i="1"/>
  <c r="DZ15" i="1"/>
  <c r="DY15" i="1"/>
  <c r="EA14" i="1"/>
  <c r="DZ14" i="1"/>
  <c r="DY14" i="1"/>
  <c r="EA13" i="1"/>
  <c r="DZ13" i="1"/>
  <c r="DY13" i="1"/>
  <c r="EA12" i="1"/>
  <c r="DZ12" i="1"/>
  <c r="DY12" i="1"/>
  <c r="EA11" i="1"/>
  <c r="DZ11" i="1"/>
  <c r="DY11" i="1"/>
  <c r="EA10" i="1"/>
  <c r="DZ10" i="1"/>
  <c r="DY10" i="1"/>
  <c r="EA6" i="1"/>
  <c r="DZ6" i="1"/>
  <c r="DY6" i="1"/>
  <c r="EA5" i="1"/>
  <c r="DZ5" i="1"/>
  <c r="DY5" i="1"/>
  <c r="EA4" i="1"/>
  <c r="DZ4" i="1"/>
  <c r="DY4" i="1"/>
  <c r="EA3" i="1"/>
  <c r="DZ3" i="1"/>
  <c r="DY3" i="1"/>
  <c r="AB32" i="1"/>
  <c r="AD32" i="1"/>
  <c r="AE32" i="1"/>
  <c r="AG32" i="1"/>
  <c r="AH32" i="1"/>
  <c r="AJ32" i="1"/>
  <c r="AK32" i="1"/>
  <c r="AM32" i="1"/>
  <c r="AN32" i="1"/>
  <c r="AP32" i="1"/>
  <c r="AQ32" i="1"/>
  <c r="AS32" i="1"/>
  <c r="AT32" i="1"/>
  <c r="AV32" i="1"/>
  <c r="AW32" i="1"/>
  <c r="BB32" i="1"/>
  <c r="BC32" i="1"/>
  <c r="BE32" i="1"/>
  <c r="BF32" i="1"/>
  <c r="BH32" i="1"/>
  <c r="BI32" i="1"/>
  <c r="BK32" i="1"/>
  <c r="BL32" i="1"/>
  <c r="BN32" i="1"/>
  <c r="BO32" i="1"/>
  <c r="BQ32" i="1"/>
  <c r="BR32" i="1"/>
  <c r="BT32" i="1"/>
  <c r="BU32" i="1"/>
  <c r="BW32" i="1"/>
  <c r="BX32" i="1"/>
  <c r="BZ32" i="1"/>
  <c r="CA32" i="1"/>
  <c r="AB33" i="1"/>
  <c r="AD33" i="1"/>
  <c r="AE33" i="1"/>
  <c r="AG33" i="1"/>
  <c r="AH33" i="1"/>
  <c r="AJ33" i="1"/>
  <c r="AK33" i="1"/>
  <c r="AM33" i="1"/>
  <c r="AN33" i="1"/>
  <c r="AP33" i="1"/>
  <c r="AQ33" i="1"/>
  <c r="AS33" i="1"/>
  <c r="AT33" i="1"/>
  <c r="AV33" i="1"/>
  <c r="AW33" i="1"/>
  <c r="BB33" i="1"/>
  <c r="BC33" i="1"/>
  <c r="BE33" i="1"/>
  <c r="BF33" i="1"/>
  <c r="BH33" i="1"/>
  <c r="BI33" i="1"/>
  <c r="BK33" i="1"/>
  <c r="BL33" i="1"/>
  <c r="BN33" i="1"/>
  <c r="BO33" i="1"/>
  <c r="BQ33" i="1"/>
  <c r="BR33" i="1"/>
  <c r="BT33" i="1"/>
  <c r="BU33" i="1"/>
  <c r="BW33" i="1"/>
  <c r="BX33" i="1"/>
  <c r="BZ33" i="1"/>
  <c r="CA33" i="1"/>
  <c r="AB34" i="1"/>
  <c r="AD34" i="1"/>
  <c r="AE34" i="1"/>
  <c r="AG34" i="1"/>
  <c r="AH34" i="1"/>
  <c r="AJ34" i="1"/>
  <c r="AK34" i="1"/>
  <c r="AM34" i="1"/>
  <c r="AN34" i="1"/>
  <c r="AP34" i="1"/>
  <c r="AQ34" i="1"/>
  <c r="AS34" i="1"/>
  <c r="AT34" i="1"/>
  <c r="AV34" i="1"/>
  <c r="AW34" i="1"/>
  <c r="BB34" i="1"/>
  <c r="BC34" i="1"/>
  <c r="BE34" i="1"/>
  <c r="BF34" i="1"/>
  <c r="BH34" i="1"/>
  <c r="BI34" i="1"/>
  <c r="BK34" i="1"/>
  <c r="BL34" i="1"/>
  <c r="BN34" i="1"/>
  <c r="BO34" i="1"/>
  <c r="BQ34" i="1"/>
  <c r="BR34" i="1"/>
  <c r="BT34" i="1"/>
  <c r="BU34" i="1"/>
  <c r="BW34" i="1"/>
  <c r="BX34" i="1"/>
  <c r="BZ34" i="1"/>
  <c r="CA34" i="1"/>
  <c r="AB35" i="1"/>
  <c r="AD35" i="1"/>
  <c r="AE35" i="1"/>
  <c r="AG35" i="1"/>
  <c r="AH35" i="1"/>
  <c r="AJ35" i="1"/>
  <c r="AK35" i="1"/>
  <c r="AM35" i="1"/>
  <c r="AN35" i="1"/>
  <c r="AP35" i="1"/>
  <c r="AQ35" i="1"/>
  <c r="AS35" i="1"/>
  <c r="AT35" i="1"/>
  <c r="AV35" i="1"/>
  <c r="AW35" i="1"/>
  <c r="BB35" i="1"/>
  <c r="BC35" i="1"/>
  <c r="BE35" i="1"/>
  <c r="BF35" i="1"/>
  <c r="BH35" i="1"/>
  <c r="BI35" i="1"/>
  <c r="BK35" i="1"/>
  <c r="BL35" i="1"/>
  <c r="BN35" i="1"/>
  <c r="BO35" i="1"/>
  <c r="BQ35" i="1"/>
  <c r="BR35" i="1"/>
  <c r="BT35" i="1"/>
  <c r="BU35" i="1"/>
  <c r="BW35" i="1"/>
  <c r="BX35" i="1"/>
  <c r="BZ35" i="1"/>
  <c r="CA35" i="1"/>
  <c r="AB36" i="1"/>
  <c r="AD36" i="1"/>
  <c r="AE36" i="1"/>
  <c r="AG36" i="1"/>
  <c r="AH36" i="1"/>
  <c r="AJ36" i="1"/>
  <c r="AK36" i="1"/>
  <c r="AM36" i="1"/>
  <c r="AN36" i="1"/>
  <c r="AP36" i="1"/>
  <c r="AQ36" i="1"/>
  <c r="AS36" i="1"/>
  <c r="AT36" i="1"/>
  <c r="AV36" i="1"/>
  <c r="AW36" i="1"/>
  <c r="BC36" i="1"/>
  <c r="BF36" i="1"/>
  <c r="BI36" i="1"/>
  <c r="BL36" i="1"/>
  <c r="BO36" i="1"/>
  <c r="BR36" i="1"/>
  <c r="BU36" i="1"/>
  <c r="BX36" i="1"/>
  <c r="BZ36" i="1"/>
  <c r="CA36" i="1"/>
  <c r="AR38" i="1"/>
  <c r="AR39" i="1"/>
  <c r="DU5" i="1"/>
  <c r="DT5" i="1"/>
  <c r="DS5" i="1"/>
  <c r="DS21" i="1"/>
  <c r="DT21" i="1"/>
  <c r="DS17" i="1"/>
  <c r="DT17" i="1"/>
  <c r="DU20" i="1"/>
  <c r="DT20" i="1"/>
  <c r="DS20" i="1"/>
  <c r="DU19" i="1"/>
  <c r="DT19" i="1"/>
  <c r="DS19" i="1"/>
  <c r="DU18" i="1"/>
  <c r="DT18" i="1"/>
  <c r="DS18" i="1"/>
  <c r="DU16" i="1"/>
  <c r="DT16" i="1"/>
  <c r="DS16" i="1"/>
  <c r="DU15" i="1"/>
  <c r="DT15" i="1"/>
  <c r="DS15" i="1"/>
  <c r="DU14" i="1"/>
  <c r="DT14" i="1"/>
  <c r="DS14" i="1"/>
  <c r="DU13" i="1"/>
  <c r="DT13" i="1"/>
  <c r="DS13" i="1"/>
  <c r="DU12" i="1"/>
  <c r="DT12" i="1"/>
  <c r="DS12" i="1"/>
  <c r="DU11" i="1"/>
  <c r="DT11" i="1"/>
  <c r="DS11" i="1"/>
  <c r="DU10" i="1"/>
  <c r="DT10" i="1"/>
  <c r="DS10" i="1"/>
  <c r="DU6" i="1"/>
  <c r="DT6" i="1"/>
  <c r="DS6" i="1"/>
  <c r="DU4" i="1"/>
  <c r="DT4" i="1"/>
  <c r="DS4" i="1"/>
  <c r="DU3" i="1"/>
  <c r="DT3" i="1"/>
  <c r="DS3" i="1"/>
  <c r="DO14" i="1"/>
  <c r="DN14" i="1"/>
  <c r="DM14" i="1"/>
  <c r="DO12" i="1"/>
  <c r="DO16" i="1"/>
  <c r="DO20" i="1"/>
  <c r="DO19" i="1"/>
  <c r="DO11" i="1"/>
  <c r="DM19" i="1"/>
  <c r="DN19" i="1"/>
  <c r="DN20" i="1"/>
  <c r="DM20" i="1"/>
  <c r="DO18" i="1"/>
  <c r="DN18" i="1"/>
  <c r="DM18" i="1"/>
  <c r="DN16" i="1"/>
  <c r="DM16" i="1"/>
  <c r="DO15" i="1"/>
  <c r="DN15" i="1"/>
  <c r="DM15" i="1"/>
  <c r="DO13" i="1"/>
  <c r="DN13" i="1"/>
  <c r="DM13" i="1"/>
  <c r="DN12" i="1"/>
  <c r="DM12" i="1"/>
  <c r="DN11" i="1"/>
  <c r="DM11" i="1"/>
  <c r="DO10" i="1"/>
  <c r="DN10" i="1"/>
  <c r="DM10" i="1"/>
  <c r="DO6" i="1"/>
  <c r="DN6" i="1"/>
  <c r="DM6" i="1"/>
  <c r="DO4" i="1"/>
  <c r="DN4" i="1"/>
  <c r="DM4" i="1"/>
  <c r="DO3" i="1"/>
  <c r="DN3" i="1"/>
  <c r="DM3" i="1"/>
  <c r="DI18" i="1"/>
  <c r="DI15" i="1"/>
  <c r="DI13" i="1"/>
  <c r="DG16" i="1"/>
  <c r="DH16" i="1"/>
  <c r="DG12" i="1"/>
  <c r="DH12" i="1"/>
  <c r="DG11" i="1"/>
  <c r="DH11" i="1"/>
  <c r="DH20" i="1"/>
  <c r="DG20" i="1"/>
  <c r="DH18" i="1"/>
  <c r="DG18" i="1"/>
  <c r="DH15" i="1"/>
  <c r="DG15" i="1"/>
  <c r="DH13" i="1"/>
  <c r="DG13" i="1"/>
  <c r="DI10" i="1"/>
  <c r="DH10" i="1"/>
  <c r="DG10" i="1"/>
  <c r="DI8" i="1"/>
  <c r="DH8" i="1"/>
  <c r="DG8" i="1"/>
  <c r="DI6" i="1"/>
  <c r="DH6" i="1"/>
  <c r="DG6" i="1"/>
  <c r="DI4" i="1"/>
  <c r="DH4" i="1"/>
  <c r="DG4" i="1"/>
  <c r="DI3" i="1"/>
  <c r="DH3" i="1"/>
  <c r="DG3" i="1"/>
  <c r="DB13" i="1"/>
  <c r="DA13" i="1"/>
  <c r="DB20" i="1"/>
  <c r="DA20" i="1"/>
  <c r="DB18" i="1"/>
  <c r="DA18" i="1"/>
  <c r="DB15" i="1"/>
  <c r="DA15" i="1"/>
  <c r="DC10" i="1"/>
  <c r="DC8" i="1"/>
  <c r="DC6" i="1"/>
  <c r="DC4" i="1"/>
  <c r="DC3" i="1"/>
  <c r="DB10" i="1"/>
  <c r="DA10" i="1"/>
  <c r="DB8" i="1"/>
  <c r="DA8" i="1"/>
  <c r="DB6" i="1"/>
  <c r="DA6" i="1"/>
  <c r="DB4" i="1"/>
  <c r="DA4" i="1"/>
  <c r="DB3" i="1"/>
  <c r="DA3" i="1"/>
  <c r="CV10" i="1"/>
  <c r="CV8" i="1"/>
  <c r="CV6" i="1"/>
  <c r="CV4" i="1"/>
  <c r="CV3" i="1"/>
  <c r="CW10" i="1"/>
  <c r="CU10" i="1"/>
  <c r="CW8" i="1"/>
  <c r="CU8" i="1"/>
  <c r="CW6" i="1"/>
  <c r="CU6" i="1"/>
  <c r="CW4" i="1"/>
  <c r="CU4" i="1"/>
  <c r="CW3" i="1"/>
  <c r="CU3" i="1"/>
  <c r="CQ10" i="1"/>
  <c r="CP10" i="1"/>
  <c r="CQ8" i="1"/>
  <c r="CP8" i="1"/>
  <c r="CQ6" i="1"/>
  <c r="CP6" i="1"/>
  <c r="CQ4" i="1"/>
  <c r="CP4" i="1"/>
  <c r="CQ3" i="1"/>
  <c r="CP3" i="1"/>
  <c r="CK10" i="1"/>
  <c r="CK8" i="1"/>
  <c r="CK6" i="1"/>
  <c r="CK4" i="1"/>
  <c r="CK3" i="1"/>
  <c r="CF10" i="1"/>
  <c r="CF8" i="1"/>
  <c r="CF6" i="1"/>
  <c r="CF4" i="1"/>
  <c r="CF3" i="1"/>
  <c r="CL10" i="1"/>
  <c r="CL8" i="1"/>
  <c r="CL6" i="1"/>
  <c r="CL4" i="1"/>
  <c r="CL3" i="1"/>
  <c r="CG10" i="1"/>
  <c r="CG8" i="1"/>
  <c r="CG6" i="1"/>
  <c r="CG4" i="1"/>
  <c r="CG3" i="1"/>
  <c r="G341" i="2"/>
  <c r="E340" i="2"/>
  <c r="E346" i="2"/>
  <c r="G347" i="2"/>
  <c r="R358" i="2"/>
  <c r="R352" i="2"/>
  <c r="G353" i="2"/>
  <c r="G365" i="2"/>
  <c r="E344" i="6"/>
  <c r="E333" i="6"/>
  <c r="G362" i="6"/>
  <c r="R350" i="6" l="1"/>
  <c r="R332" i="6"/>
  <c r="E338" i="6"/>
  <c r="G356" i="6"/>
  <c r="G339" i="6"/>
  <c r="G351" i="6"/>
  <c r="R338" i="6"/>
  <c r="G345" i="6"/>
  <c r="R344" i="6"/>
  <c r="G334" i="2"/>
  <c r="E326" i="6"/>
  <c r="E328" i="2"/>
  <c r="R341" i="2"/>
  <c r="G359" i="2"/>
  <c r="R335" i="2"/>
</calcChain>
</file>

<file path=xl/sharedStrings.xml><?xml version="1.0" encoding="utf-8"?>
<sst xmlns="http://schemas.openxmlformats.org/spreadsheetml/2006/main" count="2081" uniqueCount="69">
  <si>
    <t>оптовые, руб за тонну без НДС</t>
  </si>
  <si>
    <t>розничные за тонну без НДС</t>
  </si>
  <si>
    <t>розничные за литр с НДС</t>
  </si>
  <si>
    <t>ДТ</t>
  </si>
  <si>
    <t>ДТ-Б5</t>
  </si>
  <si>
    <t>рост</t>
  </si>
  <si>
    <t>95-евро</t>
  </si>
  <si>
    <t>ДТ (S до 0,005 %)</t>
  </si>
  <si>
    <t>ДТ-Б5/Арктика</t>
  </si>
  <si>
    <t>ДТ Арктика</t>
  </si>
  <si>
    <t>рост розн. цены</t>
  </si>
  <si>
    <t>розн. за литр с НДС</t>
  </si>
  <si>
    <t>розн. за тонну без НДС</t>
  </si>
  <si>
    <t>опт.,  за тонну без НДС</t>
  </si>
  <si>
    <t>рост розн.цены</t>
  </si>
  <si>
    <t>маржа</t>
  </si>
  <si>
    <t>надбавка</t>
  </si>
  <si>
    <t>ДТ-Б5 фп</t>
  </si>
  <si>
    <t>ДТ Аркт. фп</t>
  </si>
  <si>
    <t>ДТл</t>
  </si>
  <si>
    <t>ДТз</t>
  </si>
  <si>
    <t>ДТл фп</t>
  </si>
  <si>
    <t>ДТз фп</t>
  </si>
  <si>
    <t>ДТл Евро</t>
  </si>
  <si>
    <t>ДТз Евро</t>
  </si>
  <si>
    <t>ДТл Евро фп</t>
  </si>
  <si>
    <t>ДТз Евро фп</t>
  </si>
  <si>
    <t>Керосин</t>
  </si>
  <si>
    <t>ДТ-З-К4</t>
  </si>
  <si>
    <t>ДТ-З-К5</t>
  </si>
  <si>
    <t>ДТ-З-К4 фп</t>
  </si>
  <si>
    <t>ДТ-З-К5 фп</t>
  </si>
  <si>
    <t>Топливо</t>
  </si>
  <si>
    <t>зимний</t>
  </si>
  <si>
    <t>летний</t>
  </si>
  <si>
    <t>макс надбавка клиентам франко отпр</t>
  </si>
  <si>
    <t>макс надбавка клиентам франко назн</t>
  </si>
  <si>
    <t>макс надбавка конкур с АЗС через ПОН</t>
  </si>
  <si>
    <t>макс надбавка конкур с АЗС через РУП ДТ</t>
  </si>
  <si>
    <t>макс надбавка конкур с АЗС через РУП бенз</t>
  </si>
  <si>
    <t>ДТ-Л-К4</t>
  </si>
  <si>
    <t>ДТ-Л-К5</t>
  </si>
  <si>
    <t>ДТ-Л-К4 фп</t>
  </si>
  <si>
    <t>ДТ-Л-К5 фп</t>
  </si>
  <si>
    <t>92-К3</t>
  </si>
  <si>
    <t>92-К5</t>
  </si>
  <si>
    <t>ДТ-З-К5 Арк класс 2</t>
  </si>
  <si>
    <t>ДТ-З-К5 арк фп класс 2</t>
  </si>
  <si>
    <t>98-евро</t>
  </si>
  <si>
    <t>ДТ-З-К5 Класс 2</t>
  </si>
  <si>
    <t>ДТ-З-К5 Класс 2 ФП</t>
  </si>
  <si>
    <t>Характеристика</t>
  </si>
  <si>
    <t>Цены на топливо на АЗС Белоруснефть</t>
  </si>
  <si>
    <t>опт.,  за тонну без НДС, руб.</t>
  </si>
  <si>
    <t>розн. за тонну без НДС, руб.</t>
  </si>
  <si>
    <t>розн. за литр с НДС, руб.</t>
  </si>
  <si>
    <t>маржа, %</t>
  </si>
  <si>
    <t>надбавка, %</t>
  </si>
  <si>
    <t>рост розн. цены, %</t>
  </si>
  <si>
    <t>Дата ввода цены</t>
  </si>
  <si>
    <t>Газ ПБА*</t>
  </si>
  <si>
    <t>ДТ-Л-К5 (летний)</t>
  </si>
  <si>
    <t>ДТ-З-К5 (зимний)</t>
  </si>
  <si>
    <t>кол-во заполненных строк</t>
  </si>
  <si>
    <t>100-евро</t>
  </si>
  <si>
    <t>Дата</t>
  </si>
  <si>
    <t>(пусто)</t>
  </si>
  <si>
    <t>Общий итог</t>
  </si>
  <si>
    <t>2 132,00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</si>
</sst>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[$-419]d\ mmm\ yy;@"/>
    <numFmt numFmtId="166" formatCode="#,##0.0"/>
    <numFmt numFmtId="167" formatCode="#,##0.000"/>
  </numFmts>
  <fonts count="13" x14ac:knownFonts="1">
    <font>
      <sz val="10"/>
      <name val="Arial Cyr"/>
      <charset val="204"/>
    </font>
    <font>
      <sz val="8"/>
      <name val="Arial Cyr"/>
      <family val="2"/>
      <charset val="204"/>
    </font>
    <font>
      <sz val="10"/>
      <name val="Times New Roman Cyr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Arial"/>
      <family val="2"/>
      <charset val="204"/>
    </font>
    <font>
      <sz val="10"/>
      <color rgb="FFFF0000"/>
      <name val="Arial Cyr"/>
      <family val="2"/>
      <charset val="204"/>
    </font>
    <font>
      <b/>
      <sz val="10"/>
      <color theme="0" tint="-0.34998626667073579"/>
      <name val="Arial Cyr"/>
      <family val="2"/>
      <charset val="204"/>
    </font>
    <font>
      <sz val="10"/>
      <color rgb="FFFF0000"/>
      <name val="Arial Cyr"/>
      <charset val="204"/>
    </font>
    <font>
      <sz val="10"/>
      <name val="Arial"/>
    </font>
    <font>
      <sz val="10"/>
      <name val="Times New Roman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ont="0" applyFill="0" applyBorder="0" applyAlignment="0" applyProtection="0">
      <alignment vertical="top"/>
    </xf>
  </cellStyleXfs>
  <cellXfs count="627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 applyAlignment="1">
      <alignment vertical="center" wrapText="1"/>
    </xf>
    <xf numFmtId="3" fontId="0" fillId="2" borderId="9" xfId="0" applyNumberFormat="1" applyFill="1" applyBorder="1" applyAlignment="1">
      <alignment horizontal="center" vertical="center"/>
    </xf>
    <xf numFmtId="3" fontId="0" fillId="3" borderId="9" xfId="0" applyNumberFormat="1" applyFill="1" applyBorder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vertical="center" wrapText="1"/>
    </xf>
    <xf numFmtId="0" fontId="3" fillId="0" borderId="12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3" fontId="0" fillId="4" borderId="14" xfId="0" applyNumberForma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5" xfId="0" applyFont="1" applyFill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3" fontId="0" fillId="0" borderId="26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3" fillId="0" borderId="29" xfId="0" applyFont="1" applyBorder="1" applyAlignment="1">
      <alignment horizontal="center" vertical="center" wrapText="1"/>
    </xf>
    <xf numFmtId="3" fontId="0" fillId="0" borderId="3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3" fontId="6" fillId="5" borderId="9" xfId="0" applyNumberFormat="1" applyFont="1" applyFill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3" fontId="0" fillId="5" borderId="1" xfId="0" applyNumberForma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/>
    </xf>
    <xf numFmtId="164" fontId="0" fillId="5" borderId="28" xfId="0" applyNumberFormat="1" applyFill="1" applyBorder="1" applyAlignment="1">
      <alignment horizontal="center"/>
    </xf>
    <xf numFmtId="3" fontId="0" fillId="5" borderId="30" xfId="0" applyNumberFormat="1" applyFill="1" applyBorder="1" applyAlignment="1">
      <alignment horizontal="center" vertical="center"/>
    </xf>
    <xf numFmtId="3" fontId="0" fillId="5" borderId="26" xfId="0" applyNumberFormat="1" applyFill="1" applyBorder="1" applyAlignment="1">
      <alignment horizontal="center" vertical="center"/>
    </xf>
    <xf numFmtId="3" fontId="0" fillId="2" borderId="32" xfId="0" applyNumberFormat="1" applyFill="1" applyBorder="1" applyAlignment="1">
      <alignment horizontal="center" vertical="center"/>
    </xf>
    <xf numFmtId="3" fontId="0" fillId="2" borderId="33" xfId="0" applyNumberFormat="1" applyFill="1" applyBorder="1" applyAlignment="1">
      <alignment horizontal="center" vertical="center"/>
    </xf>
    <xf numFmtId="164" fontId="0" fillId="2" borderId="34" xfId="0" applyNumberFormat="1" applyFill="1" applyBorder="1" applyAlignment="1">
      <alignment horizontal="center"/>
    </xf>
    <xf numFmtId="3" fontId="0" fillId="2" borderId="35" xfId="0" applyNumberFormat="1" applyFill="1" applyBorder="1" applyAlignment="1">
      <alignment horizontal="center" vertical="center"/>
    </xf>
    <xf numFmtId="3" fontId="0" fillId="2" borderId="36" xfId="0" applyNumberFormat="1" applyFill="1" applyBorder="1" applyAlignment="1">
      <alignment horizontal="center" vertical="center"/>
    </xf>
    <xf numFmtId="164" fontId="0" fillId="0" borderId="37" xfId="0" applyNumberFormat="1" applyBorder="1" applyAlignment="1">
      <alignment horizontal="center"/>
    </xf>
    <xf numFmtId="0" fontId="3" fillId="0" borderId="25" xfId="0" applyFont="1" applyBorder="1" applyAlignment="1">
      <alignment horizontal="center" vertical="center" wrapText="1"/>
    </xf>
    <xf numFmtId="3" fontId="6" fillId="0" borderId="21" xfId="0" applyNumberFormat="1" applyFont="1" applyBorder="1" applyAlignment="1">
      <alignment horizontal="center" vertical="center"/>
    </xf>
    <xf numFmtId="3" fontId="0" fillId="5" borderId="27" xfId="0" applyNumberFormat="1" applyFill="1" applyBorder="1" applyAlignment="1">
      <alignment horizontal="center" vertical="center"/>
    </xf>
    <xf numFmtId="3" fontId="0" fillId="2" borderId="38" xfId="0" applyNumberFormat="1" applyFill="1" applyBorder="1" applyAlignment="1">
      <alignment horizontal="center" vertical="center"/>
    </xf>
    <xf numFmtId="3" fontId="0" fillId="5" borderId="19" xfId="0" applyNumberFormat="1" applyFill="1" applyBorder="1" applyAlignment="1">
      <alignment horizontal="center" vertical="center"/>
    </xf>
    <xf numFmtId="3" fontId="0" fillId="2" borderId="39" xfId="0" applyNumberForma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 wrapText="1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6" fillId="0" borderId="42" xfId="0" applyNumberFormat="1" applyFont="1" applyBorder="1" applyAlignment="1">
      <alignment horizontal="center"/>
    </xf>
    <xf numFmtId="164" fontId="0" fillId="5" borderId="43" xfId="0" applyNumberFormat="1" applyFill="1" applyBorder="1" applyAlignment="1">
      <alignment horizontal="center"/>
    </xf>
    <xf numFmtId="164" fontId="0" fillId="2" borderId="44" xfId="0" applyNumberFormat="1" applyFill="1" applyBorder="1" applyAlignment="1">
      <alignment horizontal="center"/>
    </xf>
    <xf numFmtId="164" fontId="0" fillId="5" borderId="45" xfId="0" applyNumberFormat="1" applyFill="1" applyBorder="1" applyAlignment="1">
      <alignment horizontal="center"/>
    </xf>
    <xf numFmtId="164" fontId="0" fillId="5" borderId="15" xfId="0" applyNumberFormat="1" applyFill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3" fillId="0" borderId="46" xfId="0" applyFont="1" applyFill="1" applyBorder="1" applyAlignment="1">
      <alignment horizontal="center" vertical="center" wrapText="1"/>
    </xf>
    <xf numFmtId="164" fontId="0" fillId="0" borderId="4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164" fontId="0" fillId="5" borderId="18" xfId="0" applyNumberFormat="1" applyFill="1" applyBorder="1" applyAlignment="1">
      <alignment horizontal="center"/>
    </xf>
    <xf numFmtId="164" fontId="0" fillId="2" borderId="48" xfId="0" applyNumberFormat="1" applyFill="1" applyBorder="1" applyAlignment="1">
      <alignment horizontal="center"/>
    </xf>
    <xf numFmtId="164" fontId="0" fillId="5" borderId="31" xfId="0" applyNumberFormat="1" applyFill="1" applyBorder="1" applyAlignment="1">
      <alignment horizontal="center"/>
    </xf>
    <xf numFmtId="3" fontId="0" fillId="5" borderId="0" xfId="0" applyNumberFormat="1" applyFill="1" applyBorder="1" applyAlignment="1">
      <alignment horizontal="center" vertical="center"/>
    </xf>
    <xf numFmtId="164" fontId="0" fillId="5" borderId="0" xfId="0" applyNumberForma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3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0" borderId="0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51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17" fontId="0" fillId="0" borderId="5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49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35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3" fontId="4" fillId="0" borderId="51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3" fontId="4" fillId="0" borderId="1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3" fontId="4" fillId="0" borderId="3" xfId="0" applyNumberFormat="1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4" fillId="0" borderId="51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0" fillId="0" borderId="41" xfId="0" applyNumberForma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0" fontId="0" fillId="0" borderId="45" xfId="0" applyBorder="1" applyAlignment="1">
      <alignment horizontal="center"/>
    </xf>
    <xf numFmtId="3" fontId="0" fillId="0" borderId="35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3" fontId="0" fillId="0" borderId="5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9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 applyBorder="1"/>
    <xf numFmtId="10" fontId="0" fillId="0" borderId="0" xfId="0" applyNumberFormat="1" applyFill="1" applyBorder="1"/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3" fontId="4" fillId="0" borderId="28" xfId="0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26" xfId="0" applyFont="1" applyBorder="1" applyAlignment="1">
      <alignment horizontal="center"/>
    </xf>
    <xf numFmtId="3" fontId="4" fillId="0" borderId="28" xfId="0" applyNumberFormat="1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 vertical="center" wrapText="1"/>
    </xf>
    <xf numFmtId="164" fontId="0" fillId="0" borderId="47" xfId="0" applyNumberFormat="1" applyFill="1" applyBorder="1" applyAlignment="1">
      <alignment horizontal="center"/>
    </xf>
    <xf numFmtId="164" fontId="0" fillId="0" borderId="41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3" fontId="0" fillId="0" borderId="9" xfId="0" applyNumberFormat="1" applyFill="1" applyBorder="1" applyAlignment="1">
      <alignment horizontal="center" vertical="center"/>
    </xf>
    <xf numFmtId="3" fontId="0" fillId="0" borderId="10" xfId="0" applyNumberFormat="1" applyFill="1" applyBorder="1" applyAlignment="1">
      <alignment horizontal="center" vertical="center"/>
    </xf>
    <xf numFmtId="3" fontId="0" fillId="0" borderId="21" xfId="0" applyNumberFormat="1" applyFill="1" applyBorder="1" applyAlignment="1">
      <alignment horizontal="center" vertical="center"/>
    </xf>
    <xf numFmtId="164" fontId="0" fillId="0" borderId="17" xfId="0" applyNumberFormat="1" applyFill="1" applyBorder="1" applyAlignment="1">
      <alignment horizontal="center"/>
    </xf>
    <xf numFmtId="164" fontId="0" fillId="0" borderId="42" xfId="0" applyNumberFormat="1" applyFill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3" fontId="6" fillId="0" borderId="9" xfId="0" applyNumberFormat="1" applyFont="1" applyFill="1" applyBorder="1" applyAlignment="1">
      <alignment horizontal="center" vertical="center"/>
    </xf>
    <xf numFmtId="3" fontId="6" fillId="0" borderId="10" xfId="0" applyNumberFormat="1" applyFont="1" applyFill="1" applyBorder="1" applyAlignment="1">
      <alignment horizontal="center" vertical="center"/>
    </xf>
    <xf numFmtId="3" fontId="6" fillId="0" borderId="21" xfId="0" applyNumberFormat="1" applyFont="1" applyFill="1" applyBorder="1" applyAlignment="1">
      <alignment horizontal="center" vertical="center"/>
    </xf>
    <xf numFmtId="164" fontId="6" fillId="0" borderId="17" xfId="0" applyNumberFormat="1" applyFont="1" applyFill="1" applyBorder="1" applyAlignment="1">
      <alignment horizontal="center"/>
    </xf>
    <xf numFmtId="164" fontId="6" fillId="0" borderId="42" xfId="0" applyNumberFormat="1" applyFont="1" applyFill="1" applyBorder="1" applyAlignment="1">
      <alignment horizontal="center"/>
    </xf>
    <xf numFmtId="164" fontId="6" fillId="0" borderId="11" xfId="0" applyNumberFormat="1" applyFont="1" applyFill="1" applyBorder="1" applyAlignment="1">
      <alignment horizontal="center"/>
    </xf>
    <xf numFmtId="4" fontId="0" fillId="0" borderId="6" xfId="0" applyNumberFormat="1" applyFill="1" applyBorder="1" applyAlignment="1">
      <alignment horizontal="center" vertical="center"/>
    </xf>
    <xf numFmtId="4" fontId="0" fillId="0" borderId="9" xfId="0" applyNumberFormat="1" applyFill="1" applyBorder="1" applyAlignment="1">
      <alignment horizontal="center" vertical="center"/>
    </xf>
    <xf numFmtId="4" fontId="0" fillId="0" borderId="7" xfId="0" applyNumberFormat="1" applyFill="1" applyBorder="1" applyAlignment="1">
      <alignment horizontal="center" vertical="center"/>
    </xf>
    <xf numFmtId="4" fontId="0" fillId="0" borderId="20" xfId="0" applyNumberFormat="1" applyFill="1" applyBorder="1" applyAlignment="1">
      <alignment horizontal="center" vertical="center"/>
    </xf>
    <xf numFmtId="4" fontId="0" fillId="0" borderId="10" xfId="0" applyNumberFormat="1" applyFill="1" applyBorder="1" applyAlignment="1">
      <alignment horizontal="center" vertical="center"/>
    </xf>
    <xf numFmtId="4" fontId="0" fillId="0" borderId="21" xfId="0" applyNumberFormat="1" applyFill="1" applyBorder="1" applyAlignment="1">
      <alignment horizontal="center" vertical="center"/>
    </xf>
    <xf numFmtId="4" fontId="0" fillId="5" borderId="30" xfId="0" applyNumberFormat="1" applyFill="1" applyBorder="1" applyAlignment="1">
      <alignment horizontal="center" vertical="center"/>
    </xf>
    <xf numFmtId="4" fontId="0" fillId="5" borderId="26" xfId="0" applyNumberFormat="1" applyFill="1" applyBorder="1" applyAlignment="1">
      <alignment horizontal="center" vertical="center"/>
    </xf>
    <xf numFmtId="4" fontId="0" fillId="5" borderId="27" xfId="0" applyNumberFormat="1" applyFill="1" applyBorder="1" applyAlignment="1">
      <alignment horizontal="center" vertical="center"/>
    </xf>
    <xf numFmtId="4" fontId="0" fillId="2" borderId="35" xfId="0" applyNumberFormat="1" applyFill="1" applyBorder="1" applyAlignment="1">
      <alignment horizontal="center" vertical="center"/>
    </xf>
    <xf numFmtId="4" fontId="0" fillId="2" borderId="36" xfId="0" applyNumberFormat="1" applyFill="1" applyBorder="1" applyAlignment="1">
      <alignment horizontal="center" vertical="center"/>
    </xf>
    <xf numFmtId="4" fontId="0" fillId="2" borderId="39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4" fontId="0" fillId="5" borderId="2" xfId="0" applyNumberFormat="1" applyFill="1" applyBorder="1" applyAlignment="1">
      <alignment horizontal="center" vertical="center"/>
    </xf>
    <xf numFmtId="4" fontId="0" fillId="5" borderId="19" xfId="0" applyNumberFormat="1" applyFill="1" applyBorder="1" applyAlignment="1">
      <alignment horizontal="center" vertical="center"/>
    </xf>
    <xf numFmtId="4" fontId="0" fillId="5" borderId="0" xfId="0" applyNumberFormat="1" applyFill="1" applyBorder="1" applyAlignment="1">
      <alignment horizontal="center" vertical="center"/>
    </xf>
    <xf numFmtId="4" fontId="0" fillId="2" borderId="32" xfId="0" applyNumberFormat="1" applyFill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/>
    </xf>
    <xf numFmtId="164" fontId="8" fillId="5" borderId="43" xfId="0" applyNumberFormat="1" applyFont="1" applyFill="1" applyBorder="1" applyAlignment="1">
      <alignment horizontal="center"/>
    </xf>
    <xf numFmtId="164" fontId="8" fillId="5" borderId="28" xfId="0" applyNumberFormat="1" applyFont="1" applyFill="1" applyBorder="1" applyAlignment="1">
      <alignment horizontal="center"/>
    </xf>
    <xf numFmtId="3" fontId="8" fillId="2" borderId="38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center"/>
    </xf>
    <xf numFmtId="164" fontId="8" fillId="2" borderId="44" xfId="0" applyNumberFormat="1" applyFont="1" applyFill="1" applyBorder="1" applyAlignment="1">
      <alignment horizontal="center"/>
    </xf>
    <xf numFmtId="164" fontId="8" fillId="2" borderId="34" xfId="0" applyNumberFormat="1" applyFont="1" applyFill="1" applyBorder="1" applyAlignment="1">
      <alignment horizontal="center"/>
    </xf>
    <xf numFmtId="3" fontId="8" fillId="5" borderId="2" xfId="0" applyNumberFormat="1" applyFont="1" applyFill="1" applyBorder="1" applyAlignment="1">
      <alignment horizontal="center" vertical="center"/>
    </xf>
    <xf numFmtId="3" fontId="8" fillId="5" borderId="19" xfId="0" applyNumberFormat="1" applyFont="1" applyFill="1" applyBorder="1" applyAlignment="1">
      <alignment horizontal="center" vertical="center"/>
    </xf>
    <xf numFmtId="164" fontId="8" fillId="5" borderId="31" xfId="0" applyNumberFormat="1" applyFont="1" applyFill="1" applyBorder="1" applyAlignment="1">
      <alignment horizontal="center"/>
    </xf>
    <xf numFmtId="164" fontId="8" fillId="5" borderId="45" xfId="0" applyNumberFormat="1" applyFont="1" applyFill="1" applyBorder="1" applyAlignment="1">
      <alignment horizontal="center"/>
    </xf>
    <xf numFmtId="3" fontId="8" fillId="2" borderId="39" xfId="0" applyNumberFormat="1" applyFont="1" applyFill="1" applyBorder="1" applyAlignment="1">
      <alignment horizontal="center" vertical="center"/>
    </xf>
    <xf numFmtId="164" fontId="8" fillId="5" borderId="15" xfId="0" applyNumberFormat="1" applyFont="1" applyFill="1" applyBorder="1" applyAlignment="1">
      <alignment horizontal="center"/>
    </xf>
    <xf numFmtId="164" fontId="8" fillId="5" borderId="3" xfId="0" applyNumberFormat="1" applyFont="1" applyFill="1" applyBorder="1" applyAlignment="1">
      <alignment horizontal="center"/>
    </xf>
    <xf numFmtId="3" fontId="8" fillId="0" borderId="20" xfId="0" applyNumberFormat="1" applyFont="1" applyBorder="1" applyAlignment="1">
      <alignment horizontal="center" vertical="center"/>
    </xf>
    <xf numFmtId="164" fontId="8" fillId="0" borderId="47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164" fontId="8" fillId="0" borderId="37" xfId="0" applyNumberFormat="1" applyFont="1" applyBorder="1" applyAlignment="1">
      <alignment horizontal="center"/>
    </xf>
    <xf numFmtId="3" fontId="8" fillId="5" borderId="27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0" fillId="5" borderId="0" xfId="0" applyFill="1"/>
    <xf numFmtId="4" fontId="0" fillId="5" borderId="0" xfId="0" applyNumberFormat="1" applyFont="1" applyFill="1" applyBorder="1" applyAlignment="1">
      <alignment horizontal="center" vertical="center"/>
    </xf>
    <xf numFmtId="4" fontId="0" fillId="5" borderId="30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9" xfId="0" applyNumberFormat="1" applyFont="1" applyFill="1" applyBorder="1" applyAlignment="1">
      <alignment horizontal="center" vertical="center"/>
    </xf>
    <xf numFmtId="4" fontId="0" fillId="0" borderId="9" xfId="0" applyNumberFormat="1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4" fontId="0" fillId="0" borderId="7" xfId="0" applyNumberFormat="1" applyFont="1" applyFill="1" applyBorder="1" applyAlignment="1">
      <alignment horizontal="center" vertical="center"/>
    </xf>
    <xf numFmtId="3" fontId="0" fillId="0" borderId="10" xfId="0" applyNumberFormat="1" applyFont="1" applyFill="1" applyBorder="1" applyAlignment="1">
      <alignment horizontal="center" vertical="center"/>
    </xf>
    <xf numFmtId="4" fontId="0" fillId="0" borderId="10" xfId="0" applyNumberFormat="1" applyFont="1" applyFill="1" applyBorder="1" applyAlignment="1">
      <alignment horizontal="center" vertical="center"/>
    </xf>
    <xf numFmtId="4" fontId="0" fillId="5" borderId="26" xfId="0" applyNumberFormat="1" applyFont="1" applyFill="1" applyBorder="1" applyAlignment="1">
      <alignment horizontal="center" vertical="center"/>
    </xf>
    <xf numFmtId="3" fontId="0" fillId="2" borderId="32" xfId="0" applyNumberFormat="1" applyFont="1" applyFill="1" applyBorder="1" applyAlignment="1">
      <alignment horizontal="center" vertical="center"/>
    </xf>
    <xf numFmtId="3" fontId="0" fillId="2" borderId="33" xfId="0" applyNumberFormat="1" applyFont="1" applyFill="1" applyBorder="1" applyAlignment="1">
      <alignment horizontal="center" vertical="center"/>
    </xf>
    <xf numFmtId="3" fontId="0" fillId="5" borderId="1" xfId="0" applyNumberFormat="1" applyFont="1" applyFill="1" applyBorder="1" applyAlignment="1">
      <alignment horizontal="center" vertical="center"/>
    </xf>
    <xf numFmtId="3" fontId="0" fillId="5" borderId="2" xfId="0" applyNumberFormat="1" applyFont="1" applyFill="1" applyBorder="1" applyAlignment="1">
      <alignment horizontal="center" vertical="center"/>
    </xf>
    <xf numFmtId="4" fontId="0" fillId="2" borderId="35" xfId="0" applyNumberFormat="1" applyFont="1" applyFill="1" applyBorder="1" applyAlignment="1">
      <alignment horizontal="center" vertical="center"/>
    </xf>
    <xf numFmtId="4" fontId="0" fillId="2" borderId="36" xfId="0" applyNumberFormat="1" applyFont="1" applyFill="1" applyBorder="1" applyAlignment="1">
      <alignment horizontal="center" vertical="center"/>
    </xf>
    <xf numFmtId="4" fontId="0" fillId="5" borderId="1" xfId="0" applyNumberFormat="1" applyFont="1" applyFill="1" applyBorder="1" applyAlignment="1">
      <alignment horizontal="center" vertical="center"/>
    </xf>
    <xf numFmtId="4" fontId="0" fillId="5" borderId="2" xfId="0" applyNumberFormat="1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 wrapText="1"/>
    </xf>
    <xf numFmtId="4" fontId="0" fillId="0" borderId="20" xfId="0" applyNumberFormat="1" applyFont="1" applyFill="1" applyBorder="1" applyAlignment="1">
      <alignment horizontal="center" vertical="center"/>
    </xf>
    <xf numFmtId="3" fontId="0" fillId="0" borderId="21" xfId="0" applyNumberFormat="1" applyFont="1" applyFill="1" applyBorder="1" applyAlignment="1">
      <alignment horizontal="center" vertical="center"/>
    </xf>
    <xf numFmtId="4" fontId="0" fillId="0" borderId="21" xfId="0" applyNumberFormat="1" applyFont="1" applyFill="1" applyBorder="1" applyAlignment="1">
      <alignment horizontal="center" vertical="center"/>
    </xf>
    <xf numFmtId="4" fontId="0" fillId="5" borderId="27" xfId="0" applyNumberFormat="1" applyFont="1" applyFill="1" applyBorder="1" applyAlignment="1">
      <alignment horizontal="center" vertical="center"/>
    </xf>
    <xf numFmtId="3" fontId="0" fillId="2" borderId="38" xfId="0" applyNumberFormat="1" applyFont="1" applyFill="1" applyBorder="1" applyAlignment="1">
      <alignment horizontal="center" vertical="center"/>
    </xf>
    <xf numFmtId="3" fontId="0" fillId="5" borderId="19" xfId="0" applyNumberFormat="1" applyFont="1" applyFill="1" applyBorder="1" applyAlignment="1">
      <alignment horizontal="center" vertical="center"/>
    </xf>
    <xf numFmtId="4" fontId="0" fillId="2" borderId="39" xfId="0" applyNumberFormat="1" applyFont="1" applyFill="1" applyBorder="1" applyAlignment="1">
      <alignment horizontal="center" vertical="center"/>
    </xf>
    <xf numFmtId="4" fontId="0" fillId="5" borderId="19" xfId="0" applyNumberFormat="1" applyFont="1" applyFill="1" applyBorder="1" applyAlignment="1">
      <alignment horizontal="center" vertical="center"/>
    </xf>
    <xf numFmtId="3" fontId="0" fillId="2" borderId="39" xfId="0" applyNumberFormat="1" applyFont="1" applyFill="1" applyBorder="1" applyAlignment="1">
      <alignment horizontal="center" vertical="center"/>
    </xf>
    <xf numFmtId="3" fontId="0" fillId="0" borderId="20" xfId="0" applyNumberFormat="1" applyFont="1" applyBorder="1" applyAlignment="1">
      <alignment horizontal="center" vertical="center"/>
    </xf>
    <xf numFmtId="3" fontId="0" fillId="5" borderId="27" xfId="0" applyNumberFormat="1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164" fontId="0" fillId="0" borderId="47" xfId="0" applyNumberFormat="1" applyFont="1" applyFill="1" applyBorder="1" applyAlignment="1">
      <alignment horizontal="center"/>
    </xf>
    <xf numFmtId="164" fontId="0" fillId="0" borderId="41" xfId="0" applyNumberFormat="1" applyFont="1" applyFill="1" applyBorder="1" applyAlignment="1">
      <alignment horizontal="center"/>
    </xf>
    <xf numFmtId="164" fontId="0" fillId="0" borderId="8" xfId="0" applyNumberFormat="1" applyFont="1" applyFill="1" applyBorder="1" applyAlignment="1">
      <alignment horizontal="center"/>
    </xf>
    <xf numFmtId="164" fontId="0" fillId="0" borderId="17" xfId="0" applyNumberFormat="1" applyFont="1" applyFill="1" applyBorder="1" applyAlignment="1">
      <alignment horizontal="center"/>
    </xf>
    <xf numFmtId="164" fontId="0" fillId="0" borderId="42" xfId="0" applyNumberFormat="1" applyFont="1" applyFill="1" applyBorder="1" applyAlignment="1">
      <alignment horizontal="center"/>
    </xf>
    <xf numFmtId="164" fontId="0" fillId="0" borderId="11" xfId="0" applyNumberFormat="1" applyFont="1" applyFill="1" applyBorder="1" applyAlignment="1">
      <alignment horizontal="center"/>
    </xf>
    <xf numFmtId="164" fontId="0" fillId="5" borderId="18" xfId="0" applyNumberFormat="1" applyFont="1" applyFill="1" applyBorder="1" applyAlignment="1">
      <alignment horizontal="center"/>
    </xf>
    <xf numFmtId="164" fontId="0" fillId="5" borderId="43" xfId="0" applyNumberFormat="1" applyFont="1" applyFill="1" applyBorder="1" applyAlignment="1">
      <alignment horizontal="center"/>
    </xf>
    <xf numFmtId="164" fontId="0" fillId="5" borderId="28" xfId="0" applyNumberFormat="1" applyFont="1" applyFill="1" applyBorder="1" applyAlignment="1">
      <alignment horizontal="center"/>
    </xf>
    <xf numFmtId="164" fontId="0" fillId="2" borderId="48" xfId="0" applyNumberFormat="1" applyFont="1" applyFill="1" applyBorder="1" applyAlignment="1">
      <alignment horizontal="center"/>
    </xf>
    <xf numFmtId="164" fontId="0" fillId="2" borderId="44" xfId="0" applyNumberFormat="1" applyFont="1" applyFill="1" applyBorder="1" applyAlignment="1">
      <alignment horizontal="center"/>
    </xf>
    <xf numFmtId="164" fontId="0" fillId="2" borderId="34" xfId="0" applyNumberFormat="1" applyFont="1" applyFill="1" applyBorder="1" applyAlignment="1">
      <alignment horizontal="center"/>
    </xf>
    <xf numFmtId="164" fontId="0" fillId="5" borderId="31" xfId="0" applyNumberFormat="1" applyFont="1" applyFill="1" applyBorder="1" applyAlignment="1">
      <alignment horizontal="center"/>
    </xf>
    <xf numFmtId="164" fontId="0" fillId="5" borderId="45" xfId="0" applyNumberFormat="1" applyFont="1" applyFill="1" applyBorder="1" applyAlignment="1">
      <alignment horizontal="center"/>
    </xf>
    <xf numFmtId="3" fontId="0" fillId="2" borderId="35" xfId="0" applyNumberFormat="1" applyFont="1" applyFill="1" applyBorder="1" applyAlignment="1">
      <alignment horizontal="center" vertical="center"/>
    </xf>
    <xf numFmtId="3" fontId="0" fillId="2" borderId="36" xfId="0" applyNumberFormat="1" applyFont="1" applyFill="1" applyBorder="1" applyAlignment="1">
      <alignment horizontal="center" vertical="center"/>
    </xf>
    <xf numFmtId="164" fontId="0" fillId="5" borderId="15" xfId="0" applyNumberFormat="1" applyFont="1" applyFill="1" applyBorder="1" applyAlignment="1">
      <alignment horizontal="center"/>
    </xf>
    <xf numFmtId="164" fontId="0" fillId="5" borderId="3" xfId="0" applyNumberFormat="1" applyFont="1" applyFill="1" applyBorder="1" applyAlignment="1">
      <alignment horizontal="center"/>
    </xf>
    <xf numFmtId="3" fontId="0" fillId="0" borderId="6" xfId="0" applyNumberFormat="1" applyFont="1" applyBorder="1" applyAlignment="1">
      <alignment horizontal="center" vertical="center"/>
    </xf>
    <xf numFmtId="3" fontId="0" fillId="0" borderId="7" xfId="0" applyNumberFormat="1" applyFont="1" applyBorder="1" applyAlignment="1">
      <alignment horizontal="center" vertical="center"/>
    </xf>
    <xf numFmtId="164" fontId="0" fillId="0" borderId="47" xfId="0" applyNumberFormat="1" applyFont="1" applyBorder="1" applyAlignment="1">
      <alignment horizontal="center"/>
    </xf>
    <xf numFmtId="164" fontId="0" fillId="0" borderId="13" xfId="0" applyNumberFormat="1" applyFont="1" applyBorder="1" applyAlignment="1">
      <alignment horizontal="center"/>
    </xf>
    <xf numFmtId="164" fontId="0" fillId="0" borderId="37" xfId="0" applyNumberFormat="1" applyFont="1" applyBorder="1" applyAlignment="1">
      <alignment horizontal="center"/>
    </xf>
    <xf numFmtId="3" fontId="0" fillId="5" borderId="26" xfId="0" applyNumberFormat="1" applyFont="1" applyFill="1" applyBorder="1" applyAlignment="1">
      <alignment horizontal="center" vertical="center"/>
    </xf>
    <xf numFmtId="0" fontId="0" fillId="6" borderId="0" xfId="0" applyFill="1"/>
    <xf numFmtId="3" fontId="8" fillId="2" borderId="33" xfId="0" applyNumberFormat="1" applyFont="1" applyFill="1" applyBorder="1" applyAlignment="1">
      <alignment horizontal="center" vertical="center"/>
    </xf>
    <xf numFmtId="3" fontId="8" fillId="2" borderId="36" xfId="0" applyNumberFormat="1" applyFont="1" applyFill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3" fontId="8" fillId="5" borderId="26" xfId="0" applyNumberFormat="1" applyFont="1" applyFill="1" applyBorder="1" applyAlignment="1">
      <alignment horizontal="center" vertical="center"/>
    </xf>
    <xf numFmtId="0" fontId="8" fillId="5" borderId="0" xfId="0" applyFont="1" applyFill="1"/>
    <xf numFmtId="4" fontId="3" fillId="2" borderId="36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0" fontId="0" fillId="0" borderId="10" xfId="0" applyBorder="1"/>
    <xf numFmtId="0" fontId="7" fillId="0" borderId="10" xfId="0" applyFont="1" applyBorder="1" applyAlignment="1">
      <alignment horizontal="center"/>
    </xf>
    <xf numFmtId="3" fontId="4" fillId="0" borderId="10" xfId="0" applyNumberFormat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0" fillId="0" borderId="10" xfId="0" applyFill="1" applyBorder="1"/>
    <xf numFmtId="3" fontId="0" fillId="5" borderId="10" xfId="0" applyNumberFormat="1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3" fontId="3" fillId="3" borderId="10" xfId="0" applyNumberFormat="1" applyFont="1" applyFill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3" fontId="6" fillId="5" borderId="10" xfId="0" applyNumberFormat="1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 vertical="center"/>
    </xf>
    <xf numFmtId="10" fontId="0" fillId="0" borderId="10" xfId="0" applyNumberFormat="1" applyFill="1" applyBorder="1"/>
    <xf numFmtId="9" fontId="0" fillId="0" borderId="10" xfId="0" applyNumberFormat="1" applyFill="1" applyBorder="1"/>
    <xf numFmtId="164" fontId="6" fillId="0" borderId="10" xfId="0" applyNumberFormat="1" applyFont="1" applyFill="1" applyBorder="1" applyAlignment="1">
      <alignment horizontal="center"/>
    </xf>
    <xf numFmtId="3" fontId="0" fillId="2" borderId="10" xfId="0" applyNumberFormat="1" applyFont="1" applyFill="1" applyBorder="1" applyAlignment="1">
      <alignment horizontal="center" vertical="center"/>
    </xf>
    <xf numFmtId="3" fontId="0" fillId="5" borderId="10" xfId="0" applyNumberFormat="1" applyFont="1" applyFill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3" fontId="8" fillId="2" borderId="10" xfId="0" applyNumberFormat="1" applyFont="1" applyFill="1" applyBorder="1" applyAlignment="1">
      <alignment horizontal="center" vertical="center"/>
    </xf>
    <xf numFmtId="3" fontId="8" fillId="5" borderId="10" xfId="0" applyNumberFormat="1" applyFont="1" applyFill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/>
    </xf>
    <xf numFmtId="164" fontId="0" fillId="0" borderId="10" xfId="0" applyNumberFormat="1" applyFont="1" applyFill="1" applyBorder="1" applyAlignment="1">
      <alignment horizontal="center"/>
    </xf>
    <xf numFmtId="164" fontId="0" fillId="5" borderId="10" xfId="0" applyNumberFormat="1" applyFont="1" applyFill="1" applyBorder="1" applyAlignment="1">
      <alignment horizontal="center"/>
    </xf>
    <xf numFmtId="164" fontId="0" fillId="2" borderId="10" xfId="0" applyNumberFormat="1" applyFont="1" applyFill="1" applyBorder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164" fontId="8" fillId="5" borderId="10" xfId="0" applyNumberFormat="1" applyFon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26" xfId="0" applyFill="1" applyBorder="1"/>
    <xf numFmtId="4" fontId="0" fillId="0" borderId="36" xfId="0" applyNumberFormat="1" applyFont="1" applyFill="1" applyBorder="1" applyAlignment="1">
      <alignment horizontal="center" vertical="center"/>
    </xf>
    <xf numFmtId="3" fontId="0" fillId="0" borderId="36" xfId="0" applyNumberFormat="1" applyFont="1" applyFill="1" applyBorder="1" applyAlignment="1">
      <alignment horizontal="center" vertical="center"/>
    </xf>
    <xf numFmtId="3" fontId="0" fillId="5" borderId="36" xfId="0" applyNumberFormat="1" applyFont="1" applyFill="1" applyBorder="1" applyAlignment="1">
      <alignment horizontal="center" vertical="center"/>
    </xf>
    <xf numFmtId="3" fontId="0" fillId="0" borderId="36" xfId="0" applyNumberFormat="1" applyFont="1" applyBorder="1" applyAlignment="1">
      <alignment horizontal="center" vertical="center"/>
    </xf>
    <xf numFmtId="0" fontId="0" fillId="0" borderId="36" xfId="0" applyFill="1" applyBorder="1"/>
    <xf numFmtId="0" fontId="0" fillId="0" borderId="51" xfId="0" applyFill="1" applyBorder="1"/>
    <xf numFmtId="0" fontId="0" fillId="0" borderId="11" xfId="0" applyFill="1" applyBorder="1"/>
    <xf numFmtId="164" fontId="0" fillId="0" borderId="2" xfId="0" applyNumberFormat="1" applyFont="1" applyFill="1" applyBorder="1" applyAlignment="1">
      <alignment horizontal="center"/>
    </xf>
    <xf numFmtId="164" fontId="0" fillId="5" borderId="2" xfId="0" applyNumberFormat="1" applyFont="1" applyFill="1" applyBorder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164" fontId="0" fillId="0" borderId="2" xfId="0" applyNumberFormat="1" applyFont="1" applyBorder="1" applyAlignment="1">
      <alignment horizontal="center"/>
    </xf>
    <xf numFmtId="164" fontId="0" fillId="0" borderId="26" xfId="0" applyNumberFormat="1" applyFill="1" applyBorder="1" applyAlignment="1">
      <alignment horizontal="center"/>
    </xf>
    <xf numFmtId="164" fontId="0" fillId="5" borderId="26" xfId="0" applyNumberFormat="1" applyFill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4" fontId="0" fillId="0" borderId="36" xfId="0" applyNumberFormat="1" applyFill="1" applyBorder="1" applyAlignment="1">
      <alignment horizontal="center" vertical="center"/>
    </xf>
    <xf numFmtId="3" fontId="0" fillId="0" borderId="36" xfId="0" applyNumberFormat="1" applyFill="1" applyBorder="1" applyAlignment="1">
      <alignment horizontal="center" vertical="center"/>
    </xf>
    <xf numFmtId="3" fontId="6" fillId="0" borderId="36" xfId="0" applyNumberFormat="1" applyFont="1" applyFill="1" applyBorder="1" applyAlignment="1">
      <alignment horizontal="center" vertical="center"/>
    </xf>
    <xf numFmtId="4" fontId="0" fillId="5" borderId="36" xfId="0" applyNumberFormat="1" applyFill="1" applyBorder="1" applyAlignment="1">
      <alignment horizontal="center" vertical="center"/>
    </xf>
    <xf numFmtId="3" fontId="0" fillId="5" borderId="36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6" fillId="0" borderId="26" xfId="0" applyNumberFormat="1" applyFont="1" applyBorder="1" applyAlignment="1">
      <alignment horizontal="center"/>
    </xf>
    <xf numFmtId="4" fontId="0" fillId="0" borderId="36" xfId="0" applyNumberFormat="1" applyBorder="1" applyAlignment="1">
      <alignment horizontal="center" vertical="center"/>
    </xf>
    <xf numFmtId="3" fontId="6" fillId="5" borderId="36" xfId="0" applyNumberFormat="1" applyFont="1" applyFill="1" applyBorder="1" applyAlignment="1">
      <alignment horizontal="center" vertical="center"/>
    </xf>
    <xf numFmtId="10" fontId="0" fillId="0" borderId="11" xfId="0" applyNumberFormat="1" applyFill="1" applyBorder="1"/>
    <xf numFmtId="164" fontId="6" fillId="0" borderId="2" xfId="0" applyNumberFormat="1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53" xfId="0" applyBorder="1" applyAlignment="1">
      <alignment vertical="center"/>
    </xf>
    <xf numFmtId="0" fontId="8" fillId="0" borderId="10" xfId="0" applyFont="1" applyFill="1" applyBorder="1"/>
    <xf numFmtId="0" fontId="8" fillId="0" borderId="2" xfId="0" applyFont="1" applyFill="1" applyBorder="1"/>
    <xf numFmtId="0" fontId="3" fillId="0" borderId="26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 wrapText="1"/>
    </xf>
    <xf numFmtId="0" fontId="3" fillId="0" borderId="2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3" fontId="4" fillId="0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3" fontId="3" fillId="0" borderId="14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164" fontId="0" fillId="0" borderId="53" xfId="0" applyNumberFormat="1" applyBorder="1" applyAlignment="1">
      <alignment horizontal="center"/>
    </xf>
    <xf numFmtId="3" fontId="0" fillId="0" borderId="5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4" fontId="0" fillId="0" borderId="54" xfId="0" applyNumberFormat="1" applyFill="1" applyBorder="1" applyAlignment="1">
      <alignment horizontal="center" vertical="center"/>
    </xf>
    <xf numFmtId="4" fontId="0" fillId="0" borderId="14" xfId="0" applyNumberFormat="1" applyFill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/>
    </xf>
    <xf numFmtId="164" fontId="0" fillId="0" borderId="15" xfId="0" applyNumberFormat="1" applyFill="1" applyBorder="1" applyAlignment="1">
      <alignment horizontal="center"/>
    </xf>
    <xf numFmtId="4" fontId="0" fillId="0" borderId="54" xfId="0" applyNumberFormat="1" applyFont="1" applyFill="1" applyBorder="1" applyAlignment="1">
      <alignment horizontal="center" vertical="center"/>
    </xf>
    <xf numFmtId="4" fontId="0" fillId="0" borderId="14" xfId="0" applyNumberFormat="1" applyFont="1" applyFill="1" applyBorder="1" applyAlignment="1">
      <alignment horizontal="center" vertical="center"/>
    </xf>
    <xf numFmtId="164" fontId="0" fillId="0" borderId="14" xfId="0" applyNumberFormat="1" applyFont="1" applyFill="1" applyBorder="1" applyAlignment="1">
      <alignment horizontal="center"/>
    </xf>
    <xf numFmtId="164" fontId="0" fillId="0" borderId="15" xfId="0" applyNumberFormat="1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horizontal="left" vertical="center" wrapText="1"/>
    </xf>
    <xf numFmtId="0" fontId="0" fillId="0" borderId="51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3" fontId="0" fillId="5" borderId="21" xfId="0" applyNumberFormat="1" applyFill="1" applyBorder="1" applyAlignment="1">
      <alignment horizontal="center" vertical="center"/>
    </xf>
    <xf numFmtId="164" fontId="0" fillId="5" borderId="21" xfId="0" applyNumberFormat="1" applyFill="1" applyBorder="1" applyAlignment="1">
      <alignment horizontal="center"/>
    </xf>
    <xf numFmtId="164" fontId="0" fillId="5" borderId="27" xfId="0" applyNumberFormat="1" applyFill="1" applyBorder="1" applyAlignment="1">
      <alignment horizontal="center"/>
    </xf>
    <xf numFmtId="3" fontId="0" fillId="5" borderId="39" xfId="0" applyNumberFormat="1" applyFill="1" applyBorder="1" applyAlignment="1">
      <alignment horizontal="center" vertical="center"/>
    </xf>
    <xf numFmtId="164" fontId="0" fillId="5" borderId="19" xfId="0" applyNumberFormat="1" applyFill="1" applyBorder="1" applyAlignment="1">
      <alignment horizontal="center"/>
    </xf>
    <xf numFmtId="4" fontId="0" fillId="5" borderId="39" xfId="0" applyNumberFormat="1" applyFill="1" applyBorder="1" applyAlignment="1">
      <alignment horizontal="center" vertical="center"/>
    </xf>
    <xf numFmtId="3" fontId="0" fillId="5" borderId="39" xfId="0" applyNumberFormat="1" applyFont="1" applyFill="1" applyBorder="1" applyAlignment="1">
      <alignment horizontal="center" vertical="center"/>
    </xf>
    <xf numFmtId="3" fontId="0" fillId="5" borderId="21" xfId="0" applyNumberFormat="1" applyFont="1" applyFill="1" applyBorder="1" applyAlignment="1">
      <alignment horizontal="center" vertical="center"/>
    </xf>
    <xf numFmtId="164" fontId="0" fillId="5" borderId="21" xfId="0" applyNumberFormat="1" applyFont="1" applyFill="1" applyBorder="1" applyAlignment="1">
      <alignment horizontal="center"/>
    </xf>
    <xf numFmtId="164" fontId="0" fillId="5" borderId="19" xfId="0" applyNumberFormat="1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3" fontId="0" fillId="2" borderId="14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/>
    </xf>
    <xf numFmtId="164" fontId="0" fillId="2" borderId="53" xfId="0" applyNumberFormat="1" applyFill="1" applyBorder="1" applyAlignment="1">
      <alignment horizontal="center"/>
    </xf>
    <xf numFmtId="3" fontId="0" fillId="2" borderId="54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/>
    </xf>
    <xf numFmtId="3" fontId="0" fillId="2" borderId="54" xfId="0" applyNumberFormat="1" applyFont="1" applyFill="1" applyBorder="1" applyAlignment="1">
      <alignment horizontal="center" vertical="center"/>
    </xf>
    <xf numFmtId="3" fontId="8" fillId="2" borderId="14" xfId="0" applyNumberFormat="1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/>
    </xf>
    <xf numFmtId="164" fontId="8" fillId="2" borderId="15" xfId="0" applyNumberFormat="1" applyFont="1" applyFill="1" applyBorder="1" applyAlignment="1">
      <alignment horizontal="center"/>
    </xf>
    <xf numFmtId="3" fontId="0" fillId="2" borderId="14" xfId="0" applyNumberFormat="1" applyFont="1" applyFill="1" applyBorder="1" applyAlignment="1">
      <alignment horizontal="center" vertical="center"/>
    </xf>
    <xf numFmtId="164" fontId="0" fillId="2" borderId="14" xfId="0" applyNumberFormat="1" applyFont="1" applyFill="1" applyBorder="1" applyAlignment="1">
      <alignment horizontal="center"/>
    </xf>
    <xf numFmtId="164" fontId="0" fillId="2" borderId="15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3" fontId="0" fillId="5" borderId="11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/>
    </xf>
    <xf numFmtId="164" fontId="0" fillId="2" borderId="30" xfId="0" applyNumberFormat="1" applyFill="1" applyBorder="1" applyAlignment="1">
      <alignment horizontal="center"/>
    </xf>
    <xf numFmtId="3" fontId="0" fillId="5" borderId="5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4" fontId="0" fillId="5" borderId="51" xfId="0" applyNumberFormat="1" applyFill="1" applyBorder="1" applyAlignment="1">
      <alignment horizontal="center" vertical="center"/>
    </xf>
    <xf numFmtId="4" fontId="0" fillId="2" borderId="9" xfId="0" applyNumberFormat="1" applyFill="1" applyBorder="1" applyAlignment="1">
      <alignment horizontal="center" vertical="center"/>
    </xf>
    <xf numFmtId="4" fontId="0" fillId="5" borderId="11" xfId="0" applyNumberFormat="1" applyFill="1" applyBorder="1" applyAlignment="1">
      <alignment horizontal="center" vertical="center"/>
    </xf>
    <xf numFmtId="4" fontId="0" fillId="5" borderId="51" xfId="0" applyNumberFormat="1" applyFont="1" applyFill="1" applyBorder="1" applyAlignment="1">
      <alignment horizontal="center" vertical="center"/>
    </xf>
    <xf numFmtId="4" fontId="0" fillId="2" borderId="9" xfId="0" applyNumberFormat="1" applyFont="1" applyFill="1" applyBorder="1" applyAlignment="1">
      <alignment horizontal="center" vertical="center"/>
    </xf>
    <xf numFmtId="4" fontId="0" fillId="5" borderId="11" xfId="0" applyNumberFormat="1" applyFont="1" applyFill="1" applyBorder="1" applyAlignment="1">
      <alignment horizontal="center" vertical="center"/>
    </xf>
    <xf numFmtId="164" fontId="0" fillId="2" borderId="9" xfId="0" applyNumberFormat="1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 vertical="center"/>
    </xf>
    <xf numFmtId="3" fontId="8" fillId="0" borderId="10" xfId="0" applyNumberFormat="1" applyFont="1" applyFill="1" applyBorder="1" applyAlignment="1">
      <alignment horizontal="center" vertical="center"/>
    </xf>
    <xf numFmtId="164" fontId="8" fillId="0" borderId="10" xfId="0" applyNumberFormat="1" applyFont="1" applyFill="1" applyBorder="1" applyAlignment="1">
      <alignment horizontal="center"/>
    </xf>
    <xf numFmtId="164" fontId="8" fillId="0" borderId="2" xfId="0" applyNumberFormat="1" applyFont="1" applyFill="1" applyBorder="1" applyAlignment="1">
      <alignment horizontal="center"/>
    </xf>
    <xf numFmtId="0" fontId="0" fillId="0" borderId="14" xfId="0" applyFill="1" applyBorder="1"/>
    <xf numFmtId="10" fontId="0" fillId="0" borderId="14" xfId="0" applyNumberFormat="1" applyFill="1" applyBorder="1"/>
    <xf numFmtId="0" fontId="0" fillId="0" borderId="53" xfId="0" applyFill="1" applyBorder="1"/>
    <xf numFmtId="3" fontId="0" fillId="0" borderId="51" xfId="0" applyNumberFormat="1" applyFill="1" applyBorder="1" applyAlignment="1">
      <alignment horizontal="center" vertical="center"/>
    </xf>
    <xf numFmtId="3" fontId="0" fillId="0" borderId="11" xfId="0" applyNumberForma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/>
    </xf>
    <xf numFmtId="164" fontId="0" fillId="0" borderId="14" xfId="0" applyNumberFormat="1" applyFill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/>
    </xf>
    <xf numFmtId="3" fontId="0" fillId="0" borderId="39" xfId="0" applyNumberFormat="1" applyFill="1" applyBorder="1" applyAlignment="1">
      <alignment horizontal="center" vertical="center"/>
    </xf>
    <xf numFmtId="164" fontId="0" fillId="0" borderId="21" xfId="0" applyNumberFormat="1" applyFill="1" applyBorder="1" applyAlignment="1">
      <alignment horizontal="center"/>
    </xf>
    <xf numFmtId="164" fontId="0" fillId="0" borderId="19" xfId="0" applyNumberFormat="1" applyFill="1" applyBorder="1" applyAlignment="1">
      <alignment horizontal="center"/>
    </xf>
    <xf numFmtId="0" fontId="5" fillId="2" borderId="29" xfId="0" applyFont="1" applyFill="1" applyBorder="1" applyAlignment="1">
      <alignment horizontal="center" wrapText="1"/>
    </xf>
    <xf numFmtId="0" fontId="5" fillId="5" borderId="23" xfId="0" applyFont="1" applyFill="1" applyBorder="1" applyAlignment="1">
      <alignment horizontal="center" wrapText="1"/>
    </xf>
    <xf numFmtId="166" fontId="0" fillId="0" borderId="10" xfId="0" applyNumberFormat="1" applyFont="1" applyFill="1" applyBorder="1" applyAlignment="1">
      <alignment horizontal="center" vertical="center"/>
    </xf>
    <xf numFmtId="167" fontId="8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wrapText="1" shrinkToFit="1"/>
    </xf>
    <xf numFmtId="0" fontId="3" fillId="0" borderId="41" xfId="0" applyFont="1" applyFill="1" applyBorder="1" applyAlignment="1">
      <alignment horizontal="center"/>
    </xf>
    <xf numFmtId="0" fontId="3" fillId="0" borderId="42" xfId="0" applyFont="1" applyFill="1" applyBorder="1" applyAlignment="1">
      <alignment horizontal="center"/>
    </xf>
    <xf numFmtId="0" fontId="5" fillId="0" borderId="40" xfId="0" applyFont="1" applyFill="1" applyBorder="1" applyAlignment="1">
      <alignment horizontal="center"/>
    </xf>
    <xf numFmtId="3" fontId="0" fillId="0" borderId="42" xfId="0" applyNumberFormat="1" applyFill="1" applyBorder="1" applyAlignment="1">
      <alignment horizontal="center" vertical="center"/>
    </xf>
    <xf numFmtId="164" fontId="0" fillId="0" borderId="43" xfId="0" applyNumberFormat="1" applyFill="1" applyBorder="1" applyAlignment="1">
      <alignment horizontal="center"/>
    </xf>
    <xf numFmtId="3" fontId="0" fillId="0" borderId="52" xfId="0" applyNumberFormat="1" applyFill="1" applyBorder="1" applyAlignment="1">
      <alignment horizontal="center" vertical="center"/>
    </xf>
    <xf numFmtId="164" fontId="0" fillId="0" borderId="45" xfId="0" applyNumberFormat="1" applyFill="1" applyBorder="1" applyAlignment="1">
      <alignment horizontal="center"/>
    </xf>
    <xf numFmtId="4" fontId="0" fillId="0" borderId="52" xfId="0" applyNumberFormat="1" applyFill="1" applyBorder="1" applyAlignment="1">
      <alignment horizontal="center" vertical="center"/>
    </xf>
    <xf numFmtId="3" fontId="0" fillId="0" borderId="52" xfId="0" applyNumberFormat="1" applyFont="1" applyFill="1" applyBorder="1" applyAlignment="1">
      <alignment horizontal="center" vertical="center"/>
    </xf>
    <xf numFmtId="3" fontId="0" fillId="0" borderId="42" xfId="0" applyNumberFormat="1" applyFont="1" applyFill="1" applyBorder="1" applyAlignment="1">
      <alignment horizontal="center" vertical="center"/>
    </xf>
    <xf numFmtId="164" fontId="0" fillId="0" borderId="45" xfId="0" applyNumberFormat="1" applyFont="1" applyFill="1" applyBorder="1" applyAlignment="1">
      <alignment horizontal="center"/>
    </xf>
    <xf numFmtId="165" fontId="0" fillId="0" borderId="32" xfId="0" applyNumberFormat="1" applyFont="1" applyFill="1" applyBorder="1" applyAlignment="1">
      <alignment vertical="center"/>
    </xf>
    <xf numFmtId="165" fontId="0" fillId="0" borderId="33" xfId="0" applyNumberFormat="1" applyFont="1" applyFill="1" applyBorder="1" applyAlignment="1">
      <alignment vertical="center"/>
    </xf>
    <xf numFmtId="165" fontId="0" fillId="0" borderId="26" xfId="0" applyNumberFormat="1" applyFont="1" applyFill="1" applyBorder="1" applyAlignment="1">
      <alignment vertical="center"/>
    </xf>
    <xf numFmtId="165" fontId="0" fillId="0" borderId="10" xfId="0" applyNumberFormat="1" applyFont="1" applyFill="1" applyBorder="1" applyAlignment="1">
      <alignment vertical="center"/>
    </xf>
    <xf numFmtId="4" fontId="0" fillId="7" borderId="10" xfId="0" applyNumberFormat="1" applyFont="1" applyFill="1" applyBorder="1" applyAlignment="1">
      <alignment horizontal="center" vertical="center"/>
    </xf>
    <xf numFmtId="4" fontId="0" fillId="7" borderId="9" xfId="0" applyNumberFormat="1" applyFont="1" applyFill="1" applyBorder="1" applyAlignment="1">
      <alignment horizontal="center" vertical="center"/>
    </xf>
    <xf numFmtId="4" fontId="0" fillId="7" borderId="11" xfId="0" applyNumberFormat="1" applyFont="1" applyFill="1" applyBorder="1" applyAlignment="1">
      <alignment horizontal="center" vertical="center"/>
    </xf>
    <xf numFmtId="4" fontId="0" fillId="7" borderId="14" xfId="0" applyNumberFormat="1" applyFont="1" applyFill="1" applyBorder="1" applyAlignment="1">
      <alignment horizontal="center" vertical="center"/>
    </xf>
    <xf numFmtId="3" fontId="0" fillId="7" borderId="10" xfId="0" applyNumberFormat="1" applyFont="1" applyFill="1" applyBorder="1" applyAlignment="1">
      <alignment horizontal="center" vertical="center"/>
    </xf>
    <xf numFmtId="3" fontId="0" fillId="7" borderId="21" xfId="0" applyNumberFormat="1" applyFont="1" applyFill="1" applyBorder="1" applyAlignment="1">
      <alignment horizontal="center" vertical="center"/>
    </xf>
    <xf numFmtId="4" fontId="0" fillId="0" borderId="11" xfId="0" applyNumberFormat="1" applyFont="1" applyFill="1" applyBorder="1" applyAlignment="1">
      <alignment horizontal="center" vertical="center"/>
    </xf>
    <xf numFmtId="3" fontId="10" fillId="0" borderId="36" xfId="0" applyNumberFormat="1" applyFont="1" applyFill="1" applyBorder="1" applyAlignment="1">
      <alignment horizontal="center" vertical="center"/>
    </xf>
    <xf numFmtId="3" fontId="10" fillId="2" borderId="36" xfId="0" applyNumberFormat="1" applyFont="1" applyFill="1" applyBorder="1" applyAlignment="1">
      <alignment horizontal="center" vertical="center"/>
    </xf>
    <xf numFmtId="3" fontId="10" fillId="5" borderId="39" xfId="0" applyNumberFormat="1" applyFont="1" applyFill="1" applyBorder="1" applyAlignment="1">
      <alignment horizontal="center" vertical="center"/>
    </xf>
    <xf numFmtId="3" fontId="10" fillId="2" borderId="54" xfId="0" applyNumberFormat="1" applyFont="1" applyFill="1" applyBorder="1" applyAlignment="1">
      <alignment horizontal="center" vertical="center"/>
    </xf>
    <xf numFmtId="3" fontId="10" fillId="5" borderId="36" xfId="0" applyNumberFormat="1" applyFont="1" applyFill="1" applyBorder="1" applyAlignment="1">
      <alignment horizontal="center" vertical="center"/>
    </xf>
    <xf numFmtId="3" fontId="10" fillId="0" borderId="36" xfId="0" applyNumberFormat="1" applyFont="1" applyBorder="1" applyAlignment="1">
      <alignment horizontal="center" vertical="center"/>
    </xf>
    <xf numFmtId="3" fontId="10" fillId="0" borderId="10" xfId="0" applyNumberFormat="1" applyFont="1" applyFill="1" applyBorder="1" applyAlignment="1">
      <alignment horizontal="center" vertical="center"/>
    </xf>
    <xf numFmtId="3" fontId="10" fillId="2" borderId="10" xfId="0" applyNumberFormat="1" applyFont="1" applyFill="1" applyBorder="1" applyAlignment="1">
      <alignment horizontal="center" vertical="center"/>
    </xf>
    <xf numFmtId="3" fontId="10" fillId="5" borderId="21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5" borderId="10" xfId="0" applyNumberFormat="1" applyFont="1" applyFill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5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5" borderId="38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wrapText="1"/>
    </xf>
    <xf numFmtId="0" fontId="5" fillId="5" borderId="44" xfId="0" applyFont="1" applyFill="1" applyBorder="1" applyAlignment="1">
      <alignment horizontal="center" wrapText="1"/>
    </xf>
    <xf numFmtId="0" fontId="5" fillId="2" borderId="44" xfId="0" applyFont="1" applyFill="1" applyBorder="1" applyAlignment="1">
      <alignment horizontal="center"/>
    </xf>
    <xf numFmtId="0" fontId="5" fillId="5" borderId="55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56" xfId="0" pivotButton="1" applyBorder="1"/>
    <xf numFmtId="14" fontId="0" fillId="0" borderId="56" xfId="0" applyNumberFormat="1" applyBorder="1"/>
    <xf numFmtId="14" fontId="0" fillId="0" borderId="65" xfId="0" applyNumberFormat="1" applyBorder="1"/>
    <xf numFmtId="0" fontId="0" fillId="0" borderId="65" xfId="0" applyBorder="1"/>
    <xf numFmtId="0" fontId="0" fillId="0" borderId="66" xfId="0" applyBorder="1"/>
    <xf numFmtId="165" fontId="0" fillId="0" borderId="67" xfId="0" applyNumberFormat="1" applyFont="1" applyFill="1" applyBorder="1" applyAlignment="1">
      <alignment vertical="center"/>
    </xf>
    <xf numFmtId="165" fontId="0" fillId="0" borderId="7" xfId="0" applyNumberFormat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3" fillId="0" borderId="14" xfId="0" applyFont="1" applyFill="1" applyBorder="1" applyAlignment="1">
      <alignment horizontal="center" wrapText="1"/>
    </xf>
    <xf numFmtId="165" fontId="0" fillId="0" borderId="32" xfId="0" applyNumberFormat="1" applyFill="1" applyBorder="1" applyAlignment="1">
      <alignment vertical="center"/>
    </xf>
    <xf numFmtId="165" fontId="0" fillId="0" borderId="32" xfId="0" applyNumberFormat="1" applyBorder="1" applyAlignment="1">
      <alignment vertical="center"/>
    </xf>
    <xf numFmtId="165" fontId="0" fillId="0" borderId="30" xfId="0" applyNumberFormat="1" applyBorder="1" applyAlignment="1">
      <alignment vertical="center"/>
    </xf>
    <xf numFmtId="165" fontId="3" fillId="0" borderId="30" xfId="0" applyNumberFormat="1" applyFont="1" applyBorder="1" applyAlignment="1">
      <alignment vertical="center"/>
    </xf>
    <xf numFmtId="0" fontId="3" fillId="2" borderId="51" xfId="0" applyFont="1" applyFill="1" applyBorder="1" applyAlignment="1">
      <alignment horizontal="left" vertical="center" wrapText="1"/>
    </xf>
    <xf numFmtId="4" fontId="0" fillId="2" borderId="54" xfId="0" applyNumberFormat="1" applyFont="1" applyFill="1" applyBorder="1" applyAlignment="1">
      <alignment horizontal="center" vertical="center"/>
    </xf>
    <xf numFmtId="3" fontId="10" fillId="2" borderId="39" xfId="0" applyNumberFormat="1" applyFont="1" applyFill="1" applyBorder="1" applyAlignment="1">
      <alignment horizontal="center" vertical="center"/>
    </xf>
    <xf numFmtId="4" fontId="0" fillId="2" borderId="51" xfId="0" applyNumberFormat="1" applyFont="1" applyFill="1" applyBorder="1" applyAlignment="1">
      <alignment horizontal="center" vertical="center"/>
    </xf>
    <xf numFmtId="0" fontId="0" fillId="2" borderId="0" xfId="0" applyFill="1"/>
    <xf numFmtId="3" fontId="10" fillId="0" borderId="39" xfId="0" applyNumberFormat="1" applyFont="1" applyFill="1" applyBorder="1" applyAlignment="1">
      <alignment horizontal="center" vertical="center"/>
    </xf>
    <xf numFmtId="4" fontId="0" fillId="0" borderId="35" xfId="0" applyNumberFormat="1" applyFont="1" applyFill="1" applyBorder="1" applyAlignment="1">
      <alignment horizontal="center" vertical="center"/>
    </xf>
    <xf numFmtId="4" fontId="0" fillId="0" borderId="51" xfId="0" applyNumberFormat="1" applyFont="1" applyFill="1" applyBorder="1" applyAlignment="1">
      <alignment horizontal="center" vertical="center"/>
    </xf>
    <xf numFmtId="3" fontId="0" fillId="0" borderId="54" xfId="0" applyNumberFormat="1" applyFont="1" applyFill="1" applyBorder="1" applyAlignment="1">
      <alignment horizontal="center" vertical="center"/>
    </xf>
    <xf numFmtId="0" fontId="12" fillId="0" borderId="42" xfId="1" applyNumberFormat="1" applyFont="1" applyFill="1" applyBorder="1" applyAlignment="1" applyProtection="1">
      <alignment horizontal="center" vertical="top"/>
    </xf>
    <xf numFmtId="3" fontId="12" fillId="0" borderId="42" xfId="1" applyNumberFormat="1" applyFont="1" applyFill="1" applyBorder="1" applyAlignment="1" applyProtection="1">
      <alignment horizontal="center" vertical="top"/>
    </xf>
    <xf numFmtId="165" fontId="0" fillId="0" borderId="10" xfId="0" applyNumberFormat="1" applyFont="1" applyFill="1" applyBorder="1" applyAlignment="1">
      <alignment horizontal="center" vertical="center"/>
    </xf>
    <xf numFmtId="165" fontId="0" fillId="0" borderId="49" xfId="0" applyNumberFormat="1" applyFont="1" applyFill="1" applyBorder="1" applyAlignment="1">
      <alignment horizontal="center"/>
    </xf>
    <xf numFmtId="165" fontId="0" fillId="0" borderId="44" xfId="0" applyNumberFormat="1" applyFont="1" applyFill="1" applyBorder="1" applyAlignment="1">
      <alignment horizontal="center"/>
    </xf>
    <xf numFmtId="165" fontId="0" fillId="0" borderId="68" xfId="0" applyNumberFormat="1" applyFont="1" applyFill="1" applyBorder="1" applyAlignment="1">
      <alignment horizontal="center"/>
    </xf>
    <xf numFmtId="165" fontId="0" fillId="0" borderId="49" xfId="0" applyNumberFormat="1" applyFill="1" applyBorder="1" applyAlignment="1">
      <alignment horizontal="center"/>
    </xf>
    <xf numFmtId="165" fontId="0" fillId="0" borderId="44" xfId="0" applyNumberFormat="1" applyFill="1" applyBorder="1" applyAlignment="1">
      <alignment horizontal="center"/>
    </xf>
    <xf numFmtId="165" fontId="0" fillId="0" borderId="68" xfId="0" applyNumberFormat="1" applyFill="1" applyBorder="1" applyAlignment="1">
      <alignment horizontal="center"/>
    </xf>
    <xf numFmtId="165" fontId="0" fillId="0" borderId="49" xfId="0" applyNumberFormat="1" applyBorder="1" applyAlignment="1">
      <alignment horizontal="center"/>
    </xf>
    <xf numFmtId="165" fontId="0" fillId="0" borderId="44" xfId="0" applyNumberFormat="1" applyBorder="1" applyAlignment="1">
      <alignment horizontal="center"/>
    </xf>
    <xf numFmtId="165" fontId="0" fillId="0" borderId="68" xfId="0" applyNumberFormat="1" applyBorder="1" applyAlignment="1">
      <alignment horizontal="center"/>
    </xf>
    <xf numFmtId="17" fontId="0" fillId="0" borderId="69" xfId="0" applyNumberFormat="1" applyBorder="1" applyAlignment="1">
      <alignment horizontal="center"/>
    </xf>
    <xf numFmtId="17" fontId="0" fillId="0" borderId="52" xfId="0" applyNumberFormat="1" applyBorder="1" applyAlignment="1">
      <alignment horizontal="center"/>
    </xf>
    <xf numFmtId="17" fontId="0" fillId="0" borderId="70" xfId="0" applyNumberFormat="1" applyBorder="1" applyAlignment="1">
      <alignment horizontal="center"/>
    </xf>
    <xf numFmtId="165" fontId="0" fillId="0" borderId="69" xfId="0" applyNumberFormat="1" applyBorder="1" applyAlignment="1">
      <alignment horizontal="center"/>
    </xf>
    <xf numFmtId="165" fontId="0" fillId="0" borderId="52" xfId="0" applyNumberFormat="1" applyBorder="1" applyAlignment="1">
      <alignment horizontal="center"/>
    </xf>
    <xf numFmtId="165" fontId="0" fillId="0" borderId="70" xfId="0" applyNumberFormat="1" applyBorder="1" applyAlignment="1">
      <alignment horizontal="center"/>
    </xf>
    <xf numFmtId="165" fontId="0" fillId="0" borderId="54" xfId="0" applyNumberFormat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165" fontId="0" fillId="0" borderId="51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0" fontId="3" fillId="0" borderId="44" xfId="0" applyFont="1" applyFill="1" applyBorder="1" applyAlignment="1">
      <alignment horizontal="center"/>
    </xf>
    <xf numFmtId="0" fontId="3" fillId="0" borderId="44" xfId="0" applyFont="1" applyFill="1" applyBorder="1" applyAlignment="1">
      <alignment horizontal="center" wrapText="1"/>
    </xf>
    <xf numFmtId="165" fontId="3" fillId="0" borderId="69" xfId="0" applyNumberFormat="1" applyFont="1" applyBorder="1" applyAlignment="1">
      <alignment horizontal="center"/>
    </xf>
    <xf numFmtId="165" fontId="3" fillId="0" borderId="52" xfId="0" applyNumberFormat="1" applyFont="1" applyBorder="1" applyAlignment="1">
      <alignment horizontal="center"/>
    </xf>
    <xf numFmtId="165" fontId="3" fillId="0" borderId="70" xfId="0" applyNumberFormat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72" xfId="0" applyBorder="1" applyAlignment="1">
      <alignment horizontal="center"/>
    </xf>
    <xf numFmtId="165" fontId="0" fillId="0" borderId="10" xfId="0" applyNumberFormat="1" applyFont="1" applyFill="1" applyBorder="1" applyAlignment="1">
      <alignment horizontal="center" vertical="center"/>
    </xf>
    <xf numFmtId="165" fontId="0" fillId="0" borderId="35" xfId="0" applyNumberFormat="1" applyFont="1" applyFill="1" applyBorder="1" applyAlignment="1">
      <alignment horizontal="center" vertical="center"/>
    </xf>
    <xf numFmtId="165" fontId="0" fillId="0" borderId="9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35" xfId="0" applyNumberFormat="1" applyFill="1" applyBorder="1" applyAlignment="1">
      <alignment horizontal="center" vertical="center"/>
    </xf>
    <xf numFmtId="165" fontId="0" fillId="0" borderId="9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/>
    </xf>
    <xf numFmtId="0" fontId="3" fillId="0" borderId="14" xfId="0" applyFont="1" applyFill="1" applyBorder="1" applyAlignment="1">
      <alignment horizontal="center" wrapText="1"/>
    </xf>
    <xf numFmtId="165" fontId="0" fillId="0" borderId="30" xfId="0" applyNumberFormat="1" applyBorder="1" applyAlignment="1">
      <alignment horizontal="center" vertical="center"/>
    </xf>
  </cellXfs>
  <cellStyles count="2">
    <cellStyle name="Обычный" xfId="0" builtinId="0"/>
    <cellStyle name="Обычный_Лист2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2290551642297E-2"/>
          <c:y val="1.8954027931785699E-2"/>
          <c:w val="0.85846397524008933"/>
          <c:h val="0.87701196558886896"/>
        </c:manualLayout>
      </c:layout>
      <c:lineChart>
        <c:grouping val="standard"/>
        <c:varyColors val="0"/>
        <c:ser>
          <c:idx val="2"/>
          <c:order val="0"/>
          <c:tx>
            <c:strRef>
              <c:f>Лист4!$B$1</c:f>
              <c:strCache>
                <c:ptCount val="1"/>
                <c:pt idx="0">
                  <c:v>92-К5</c:v>
                </c:pt>
              </c:strCache>
            </c:strRef>
          </c:tx>
          <c:spPr>
            <a:ln w="47625">
              <a:solidFill>
                <a:srgbClr val="FFFF00"/>
              </a:solidFill>
            </a:ln>
          </c:spPr>
          <c:marker>
            <c:symbol val="none"/>
          </c:marker>
          <c:cat>
            <c:numRef>
              <c:f>Лист4!$A$2:$A$73</c:f>
              <c:numCache>
                <c:formatCode>[$-419]d\ mmm\ yy;@</c:formatCode>
                <c:ptCount val="72"/>
                <c:pt idx="0">
                  <c:v>43139</c:v>
                </c:pt>
                <c:pt idx="1">
                  <c:v>43170</c:v>
                </c:pt>
                <c:pt idx="2">
                  <c:v>43174</c:v>
                </c:pt>
                <c:pt idx="3">
                  <c:v>43183</c:v>
                </c:pt>
                <c:pt idx="4">
                  <c:v>43189</c:v>
                </c:pt>
                <c:pt idx="5">
                  <c:v>43193</c:v>
                </c:pt>
                <c:pt idx="6">
                  <c:v>43204</c:v>
                </c:pt>
                <c:pt idx="7">
                  <c:v>43217</c:v>
                </c:pt>
                <c:pt idx="8">
                  <c:v>43232</c:v>
                </c:pt>
                <c:pt idx="9">
                  <c:v>43235</c:v>
                </c:pt>
                <c:pt idx="10">
                  <c:v>43324</c:v>
                </c:pt>
                <c:pt idx="11">
                  <c:v>43330</c:v>
                </c:pt>
                <c:pt idx="12">
                  <c:v>43338</c:v>
                </c:pt>
                <c:pt idx="13">
                  <c:v>43345</c:v>
                </c:pt>
                <c:pt idx="14">
                  <c:v>43352</c:v>
                </c:pt>
                <c:pt idx="15">
                  <c:v>43359</c:v>
                </c:pt>
                <c:pt idx="16">
                  <c:v>43366</c:v>
                </c:pt>
                <c:pt idx="17">
                  <c:v>43373</c:v>
                </c:pt>
                <c:pt idx="18">
                  <c:v>43380</c:v>
                </c:pt>
                <c:pt idx="19">
                  <c:v>43387</c:v>
                </c:pt>
                <c:pt idx="20">
                  <c:v>43394</c:v>
                </c:pt>
                <c:pt idx="21">
                  <c:v>43401</c:v>
                </c:pt>
                <c:pt idx="22">
                  <c:v>43415</c:v>
                </c:pt>
                <c:pt idx="23">
                  <c:v>43422</c:v>
                </c:pt>
                <c:pt idx="24">
                  <c:v>43429</c:v>
                </c:pt>
                <c:pt idx="25">
                  <c:v>43443</c:v>
                </c:pt>
                <c:pt idx="26">
                  <c:v>43450</c:v>
                </c:pt>
                <c:pt idx="27">
                  <c:v>43468</c:v>
                </c:pt>
                <c:pt idx="28">
                  <c:v>43492</c:v>
                </c:pt>
                <c:pt idx="29">
                  <c:v>43517</c:v>
                </c:pt>
                <c:pt idx="30">
                  <c:v>43527</c:v>
                </c:pt>
                <c:pt idx="31">
                  <c:v>43534</c:v>
                </c:pt>
                <c:pt idx="32">
                  <c:v>43541</c:v>
                </c:pt>
                <c:pt idx="33">
                  <c:v>43544</c:v>
                </c:pt>
                <c:pt idx="34">
                  <c:v>43548</c:v>
                </c:pt>
                <c:pt idx="35">
                  <c:v>43555</c:v>
                </c:pt>
                <c:pt idx="36">
                  <c:v>43562</c:v>
                </c:pt>
                <c:pt idx="37">
                  <c:v>43569</c:v>
                </c:pt>
                <c:pt idx="38">
                  <c:v>43576</c:v>
                </c:pt>
                <c:pt idx="39">
                  <c:v>43583</c:v>
                </c:pt>
                <c:pt idx="40">
                  <c:v>43590</c:v>
                </c:pt>
                <c:pt idx="41">
                  <c:v>43597</c:v>
                </c:pt>
                <c:pt idx="42">
                  <c:v>43604</c:v>
                </c:pt>
                <c:pt idx="43">
                  <c:v>43614</c:v>
                </c:pt>
                <c:pt idx="44">
                  <c:v>43618</c:v>
                </c:pt>
                <c:pt idx="45">
                  <c:v>43625</c:v>
                </c:pt>
                <c:pt idx="46">
                  <c:v>43632</c:v>
                </c:pt>
                <c:pt idx="47">
                  <c:v>43667</c:v>
                </c:pt>
                <c:pt idx="48">
                  <c:v>43688</c:v>
                </c:pt>
                <c:pt idx="49">
                  <c:v>43723</c:v>
                </c:pt>
                <c:pt idx="50">
                  <c:v>43730</c:v>
                </c:pt>
                <c:pt idx="51">
                  <c:v>43737</c:v>
                </c:pt>
                <c:pt idx="52">
                  <c:v>43793</c:v>
                </c:pt>
                <c:pt idx="53">
                  <c:v>43800</c:v>
                </c:pt>
                <c:pt idx="54">
                  <c:v>43807</c:v>
                </c:pt>
                <c:pt idx="55">
                  <c:v>43814</c:v>
                </c:pt>
                <c:pt idx="56">
                  <c:v>43821</c:v>
                </c:pt>
                <c:pt idx="57">
                  <c:v>43828</c:v>
                </c:pt>
                <c:pt idx="58">
                  <c:v>43835</c:v>
                </c:pt>
                <c:pt idx="59">
                  <c:v>43842</c:v>
                </c:pt>
                <c:pt idx="60">
                  <c:v>43849</c:v>
                </c:pt>
                <c:pt idx="61">
                  <c:v>43856</c:v>
                </c:pt>
                <c:pt idx="62">
                  <c:v>43863</c:v>
                </c:pt>
                <c:pt idx="63">
                  <c:v>43870</c:v>
                </c:pt>
                <c:pt idx="64">
                  <c:v>43877</c:v>
                </c:pt>
                <c:pt idx="65">
                  <c:v>43884</c:v>
                </c:pt>
                <c:pt idx="66">
                  <c:v>43891</c:v>
                </c:pt>
                <c:pt idx="67">
                  <c:v>43933</c:v>
                </c:pt>
                <c:pt idx="68">
                  <c:v>43940</c:v>
                </c:pt>
                <c:pt idx="69">
                  <c:v>43947</c:v>
                </c:pt>
                <c:pt idx="70">
                  <c:v>43954</c:v>
                </c:pt>
                <c:pt idx="71">
                  <c:v>43961</c:v>
                </c:pt>
              </c:numCache>
            </c:numRef>
          </c:cat>
          <c:val>
            <c:numRef>
              <c:f>Лист4!$B$2:$B$73</c:f>
              <c:numCache>
                <c:formatCode>0.0%</c:formatCode>
                <c:ptCount val="72"/>
                <c:pt idx="0">
                  <c:v>9.0213252094440241E-2</c:v>
                </c:pt>
                <c:pt idx="1">
                  <c:v>9.186274509803917E-2</c:v>
                </c:pt>
                <c:pt idx="2">
                  <c:v>8.4592760180995527E-2</c:v>
                </c:pt>
                <c:pt idx="3">
                  <c:v>8.6280806572068686E-2</c:v>
                </c:pt>
                <c:pt idx="4">
                  <c:v>8.5717455621301855E-2</c:v>
                </c:pt>
                <c:pt idx="5">
                  <c:v>8.7362637362637358E-2</c:v>
                </c:pt>
                <c:pt idx="6">
                  <c:v>8.8976777939042018E-2</c:v>
                </c:pt>
                <c:pt idx="7">
                  <c:v>8.8976777939042018E-2</c:v>
                </c:pt>
                <c:pt idx="8">
                  <c:v>9.7491013659237888E-2</c:v>
                </c:pt>
                <c:pt idx="9">
                  <c:v>9.6290438533429223E-2</c:v>
                </c:pt>
                <c:pt idx="10">
                  <c:v>8.5249287749287792E-2</c:v>
                </c:pt>
                <c:pt idx="11">
                  <c:v>8.5257586450246961E-2</c:v>
                </c:pt>
                <c:pt idx="12">
                  <c:v>8.5251748251748305E-2</c:v>
                </c:pt>
                <c:pt idx="13">
                  <c:v>8.5232155232155243E-2</c:v>
                </c:pt>
                <c:pt idx="14">
                  <c:v>8.6744505494505464E-2</c:v>
                </c:pt>
                <c:pt idx="15">
                  <c:v>8.8230088495575149E-2</c:v>
                </c:pt>
                <c:pt idx="16">
                  <c:v>8.9689608636977114E-2</c:v>
                </c:pt>
                <c:pt idx="17">
                  <c:v>8.3151147098515538E-2</c:v>
                </c:pt>
                <c:pt idx="18">
                  <c:v>8.4642140468227406E-2</c:v>
                </c:pt>
                <c:pt idx="19">
                  <c:v>8.6107427055702859E-2</c:v>
                </c:pt>
                <c:pt idx="20">
                  <c:v>8.6107427055702859E-2</c:v>
                </c:pt>
                <c:pt idx="21">
                  <c:v>8.7547666009204522E-2</c:v>
                </c:pt>
                <c:pt idx="22">
                  <c:v>8.1176857330703497E-2</c:v>
                </c:pt>
                <c:pt idx="23">
                  <c:v>8.2646675358539742E-2</c:v>
                </c:pt>
                <c:pt idx="24">
                  <c:v>8.2646675358539742E-2</c:v>
                </c:pt>
                <c:pt idx="25">
                  <c:v>8.409179056237874E-2</c:v>
                </c:pt>
                <c:pt idx="26">
                  <c:v>8.409179056237874E-2</c:v>
                </c:pt>
                <c:pt idx="27">
                  <c:v>8.409179056237874E-2</c:v>
                </c:pt>
                <c:pt idx="28">
                  <c:v>8.409179056237874E-2</c:v>
                </c:pt>
                <c:pt idx="29">
                  <c:v>8.5512820512820567E-2</c:v>
                </c:pt>
                <c:pt idx="30">
                  <c:v>8.6910362364907845E-2</c:v>
                </c:pt>
                <c:pt idx="31">
                  <c:v>8.8284993694829755E-2</c:v>
                </c:pt>
                <c:pt idx="32">
                  <c:v>8.2175283732660739E-2</c:v>
                </c:pt>
                <c:pt idx="33">
                  <c:v>5.695460277427486E-2</c:v>
                </c:pt>
                <c:pt idx="34">
                  <c:v>5.8392745465916128E-2</c:v>
                </c:pt>
                <c:pt idx="35">
                  <c:v>5.980769230769236E-2</c:v>
                </c:pt>
                <c:pt idx="36">
                  <c:v>6.1200000000000025E-2</c:v>
                </c:pt>
                <c:pt idx="37">
                  <c:v>6.2570207570207578E-2</c:v>
                </c:pt>
                <c:pt idx="38">
                  <c:v>6.3918837068443354E-2</c:v>
                </c:pt>
                <c:pt idx="39">
                  <c:v>5.7886129618413044E-2</c:v>
                </c:pt>
                <c:pt idx="40">
                  <c:v>5.8999999999999997E-2</c:v>
                </c:pt>
                <c:pt idx="41">
                  <c:v>6.06141920095409E-2</c:v>
                </c:pt>
                <c:pt idx="42">
                  <c:v>6.1946745562130208E-2</c:v>
                </c:pt>
                <c:pt idx="43">
                  <c:v>6.3258954785672353E-2</c:v>
                </c:pt>
                <c:pt idx="44">
                  <c:v>6.4551282051282036E-2</c:v>
                </c:pt>
                <c:pt idx="45">
                  <c:v>6.4551282051282036E-2</c:v>
                </c:pt>
                <c:pt idx="46">
                  <c:v>6.3258954785672353E-2</c:v>
                </c:pt>
                <c:pt idx="47">
                  <c:v>6.1946745562130208E-2</c:v>
                </c:pt>
                <c:pt idx="48">
                  <c:v>6.06141920095409E-2</c:v>
                </c:pt>
                <c:pt idx="49">
                  <c:v>6.1946745562130208E-2</c:v>
                </c:pt>
                <c:pt idx="50">
                  <c:v>6.3258954785672353E-2</c:v>
                </c:pt>
                <c:pt idx="51">
                  <c:v>6.4551282051282036E-2</c:v>
                </c:pt>
                <c:pt idx="52">
                  <c:v>5.8747086247086217E-2</c:v>
                </c:pt>
                <c:pt idx="53">
                  <c:v>6.0063620589936327E-2</c:v>
                </c:pt>
                <c:pt idx="54">
                  <c:v>6.1360505166475371E-2</c:v>
                </c:pt>
                <c:pt idx="55">
                  <c:v>6.2638176638176668E-2</c:v>
                </c:pt>
                <c:pt idx="56">
                  <c:v>6.3897058823529432E-2</c:v>
                </c:pt>
                <c:pt idx="57">
                  <c:v>6.513756316676024E-2</c:v>
                </c:pt>
                <c:pt idx="58">
                  <c:v>5.9545199326221196E-2</c:v>
                </c:pt>
                <c:pt idx="59">
                  <c:v>6.0808249721293152E-2</c:v>
                </c:pt>
                <c:pt idx="60">
                  <c:v>6.2053126729385781E-2</c:v>
                </c:pt>
                <c:pt idx="61">
                  <c:v>6.3280219780219818E-2</c:v>
                </c:pt>
                <c:pt idx="62">
                  <c:v>6.4489907255864717E-2</c:v>
                </c:pt>
                <c:pt idx="63">
                  <c:v>6.5682556879739978E-2</c:v>
                </c:pt>
                <c:pt idx="64">
                  <c:v>6.0287107258938225E-2</c:v>
                </c:pt>
                <c:pt idx="65">
                  <c:v>6.1500806885422234E-2</c:v>
                </c:pt>
                <c:pt idx="66">
                  <c:v>6.2697649572649519E-2</c:v>
                </c:pt>
                <c:pt idx="67">
                  <c:v>6.1500806885422234E-2</c:v>
                </c:pt>
                <c:pt idx="68">
                  <c:v>6.1933911159263236E-2</c:v>
                </c:pt>
                <c:pt idx="69">
                  <c:v>6.1933911159263236E-2</c:v>
                </c:pt>
                <c:pt idx="70">
                  <c:v>6.2373158756137442E-2</c:v>
                </c:pt>
                <c:pt idx="71">
                  <c:v>6.2818681318681277E-2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7-42B9-A49A-48672156A86B}"/>
            </c:ext>
          </c:extLst>
        </c:ser>
        <c:ser>
          <c:idx val="3"/>
          <c:order val="1"/>
          <c:tx>
            <c:strRef>
              <c:f>Лист4!$C$1</c:f>
              <c:strCache>
                <c:ptCount val="1"/>
                <c:pt idx="0">
                  <c:v>95-евро</c:v>
                </c:pt>
              </c:strCache>
            </c:strRef>
          </c:tx>
          <c:spPr>
            <a:ln w="476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Лист4!$A$2:$A$73</c:f>
              <c:numCache>
                <c:formatCode>[$-419]d\ mmm\ yy;@</c:formatCode>
                <c:ptCount val="72"/>
                <c:pt idx="0">
                  <c:v>43139</c:v>
                </c:pt>
                <c:pt idx="1">
                  <c:v>43170</c:v>
                </c:pt>
                <c:pt idx="2">
                  <c:v>43174</c:v>
                </c:pt>
                <c:pt idx="3">
                  <c:v>43183</c:v>
                </c:pt>
                <c:pt idx="4">
                  <c:v>43189</c:v>
                </c:pt>
                <c:pt idx="5">
                  <c:v>43193</c:v>
                </c:pt>
                <c:pt idx="6">
                  <c:v>43204</c:v>
                </c:pt>
                <c:pt idx="7">
                  <c:v>43217</c:v>
                </c:pt>
                <c:pt idx="8">
                  <c:v>43232</c:v>
                </c:pt>
                <c:pt idx="9">
                  <c:v>43235</c:v>
                </c:pt>
                <c:pt idx="10">
                  <c:v>43324</c:v>
                </c:pt>
                <c:pt idx="11">
                  <c:v>43330</c:v>
                </c:pt>
                <c:pt idx="12">
                  <c:v>43338</c:v>
                </c:pt>
                <c:pt idx="13">
                  <c:v>43345</c:v>
                </c:pt>
                <c:pt idx="14">
                  <c:v>43352</c:v>
                </c:pt>
                <c:pt idx="15">
                  <c:v>43359</c:v>
                </c:pt>
                <c:pt idx="16">
                  <c:v>43366</c:v>
                </c:pt>
                <c:pt idx="17">
                  <c:v>43373</c:v>
                </c:pt>
                <c:pt idx="18">
                  <c:v>43380</c:v>
                </c:pt>
                <c:pt idx="19">
                  <c:v>43387</c:v>
                </c:pt>
                <c:pt idx="20">
                  <c:v>43394</c:v>
                </c:pt>
                <c:pt idx="21">
                  <c:v>43401</c:v>
                </c:pt>
                <c:pt idx="22">
                  <c:v>43415</c:v>
                </c:pt>
                <c:pt idx="23">
                  <c:v>43422</c:v>
                </c:pt>
                <c:pt idx="24">
                  <c:v>43429</c:v>
                </c:pt>
                <c:pt idx="25">
                  <c:v>43443</c:v>
                </c:pt>
                <c:pt idx="26">
                  <c:v>43450</c:v>
                </c:pt>
                <c:pt idx="27">
                  <c:v>43468</c:v>
                </c:pt>
                <c:pt idx="28">
                  <c:v>43492</c:v>
                </c:pt>
                <c:pt idx="29">
                  <c:v>43517</c:v>
                </c:pt>
                <c:pt idx="30">
                  <c:v>43527</c:v>
                </c:pt>
                <c:pt idx="31">
                  <c:v>43534</c:v>
                </c:pt>
                <c:pt idx="32">
                  <c:v>43541</c:v>
                </c:pt>
                <c:pt idx="33">
                  <c:v>43544</c:v>
                </c:pt>
                <c:pt idx="34">
                  <c:v>43548</c:v>
                </c:pt>
                <c:pt idx="35">
                  <c:v>43555</c:v>
                </c:pt>
                <c:pt idx="36">
                  <c:v>43562</c:v>
                </c:pt>
                <c:pt idx="37">
                  <c:v>43569</c:v>
                </c:pt>
                <c:pt idx="38">
                  <c:v>43576</c:v>
                </c:pt>
                <c:pt idx="39">
                  <c:v>43583</c:v>
                </c:pt>
                <c:pt idx="40">
                  <c:v>43590</c:v>
                </c:pt>
                <c:pt idx="41">
                  <c:v>43597</c:v>
                </c:pt>
                <c:pt idx="42">
                  <c:v>43604</c:v>
                </c:pt>
                <c:pt idx="43">
                  <c:v>43614</c:v>
                </c:pt>
                <c:pt idx="44">
                  <c:v>43618</c:v>
                </c:pt>
                <c:pt idx="45">
                  <c:v>43625</c:v>
                </c:pt>
                <c:pt idx="46">
                  <c:v>43632</c:v>
                </c:pt>
                <c:pt idx="47">
                  <c:v>43667</c:v>
                </c:pt>
                <c:pt idx="48">
                  <c:v>43688</c:v>
                </c:pt>
                <c:pt idx="49">
                  <c:v>43723</c:v>
                </c:pt>
                <c:pt idx="50">
                  <c:v>43730</c:v>
                </c:pt>
                <c:pt idx="51">
                  <c:v>43737</c:v>
                </c:pt>
                <c:pt idx="52">
                  <c:v>43793</c:v>
                </c:pt>
                <c:pt idx="53">
                  <c:v>43800</c:v>
                </c:pt>
                <c:pt idx="54">
                  <c:v>43807</c:v>
                </c:pt>
                <c:pt idx="55">
                  <c:v>43814</c:v>
                </c:pt>
                <c:pt idx="56">
                  <c:v>43821</c:v>
                </c:pt>
                <c:pt idx="57">
                  <c:v>43828</c:v>
                </c:pt>
                <c:pt idx="58">
                  <c:v>43835</c:v>
                </c:pt>
                <c:pt idx="59">
                  <c:v>43842</c:v>
                </c:pt>
                <c:pt idx="60">
                  <c:v>43849</c:v>
                </c:pt>
                <c:pt idx="61">
                  <c:v>43856</c:v>
                </c:pt>
                <c:pt idx="62">
                  <c:v>43863</c:v>
                </c:pt>
                <c:pt idx="63">
                  <c:v>43870</c:v>
                </c:pt>
                <c:pt idx="64">
                  <c:v>43877</c:v>
                </c:pt>
                <c:pt idx="65">
                  <c:v>43884</c:v>
                </c:pt>
                <c:pt idx="66">
                  <c:v>43891</c:v>
                </c:pt>
                <c:pt idx="67">
                  <c:v>43933</c:v>
                </c:pt>
                <c:pt idx="68">
                  <c:v>43940</c:v>
                </c:pt>
                <c:pt idx="69">
                  <c:v>43947</c:v>
                </c:pt>
                <c:pt idx="70">
                  <c:v>43954</c:v>
                </c:pt>
                <c:pt idx="71">
                  <c:v>43961</c:v>
                </c:pt>
              </c:numCache>
            </c:numRef>
          </c:cat>
          <c:val>
            <c:numRef>
              <c:f>Лист4!$C$2:$C$73</c:f>
              <c:numCache>
                <c:formatCode>0.0%</c:formatCode>
                <c:ptCount val="72"/>
                <c:pt idx="0">
                  <c:v>8.0244428468727452E-2</c:v>
                </c:pt>
                <c:pt idx="1">
                  <c:v>8.177350427350423E-2</c:v>
                </c:pt>
                <c:pt idx="2">
                  <c:v>8.3429781227946379E-2</c:v>
                </c:pt>
                <c:pt idx="3">
                  <c:v>8.4979020979020964E-2</c:v>
                </c:pt>
                <c:pt idx="4">
                  <c:v>8.4421344421344371E-2</c:v>
                </c:pt>
                <c:pt idx="5">
                  <c:v>8.5934065934065856E-2</c:v>
                </c:pt>
                <c:pt idx="6">
                  <c:v>7.9271978021978065E-2</c:v>
                </c:pt>
                <c:pt idx="7">
                  <c:v>7.9271978021978065E-2</c:v>
                </c:pt>
                <c:pt idx="8">
                  <c:v>8.0816882232811457E-2</c:v>
                </c:pt>
                <c:pt idx="9">
                  <c:v>8.233468286099864E-2</c:v>
                </c:pt>
                <c:pt idx="10">
                  <c:v>8.3826086956521703E-2</c:v>
                </c:pt>
                <c:pt idx="11">
                  <c:v>8.3832891246684402E-2</c:v>
                </c:pt>
                <c:pt idx="12">
                  <c:v>8.3833004602235361E-2</c:v>
                </c:pt>
                <c:pt idx="13">
                  <c:v>8.2901960784313666E-2</c:v>
                </c:pt>
                <c:pt idx="14">
                  <c:v>7.8950456323337609E-2</c:v>
                </c:pt>
                <c:pt idx="15">
                  <c:v>8.0400775694893414E-2</c:v>
                </c:pt>
                <c:pt idx="16">
                  <c:v>8.182692307692313E-2</c:v>
                </c:pt>
                <c:pt idx="17">
                  <c:v>8.3229497774952366E-2</c:v>
                </c:pt>
                <c:pt idx="18">
                  <c:v>8.5037831021437513E-2</c:v>
                </c:pt>
                <c:pt idx="19">
                  <c:v>7.8474148802017682E-2</c:v>
                </c:pt>
                <c:pt idx="20">
                  <c:v>7.9881175734834289E-2</c:v>
                </c:pt>
                <c:pt idx="21">
                  <c:v>8.1265508684863527E-2</c:v>
                </c:pt>
                <c:pt idx="22">
                  <c:v>8.2627692307692291E-2</c:v>
                </c:pt>
                <c:pt idx="23">
                  <c:v>8.3968253968253942E-2</c:v>
                </c:pt>
                <c:pt idx="24">
                  <c:v>8.5287704421562652E-2</c:v>
                </c:pt>
                <c:pt idx="25">
                  <c:v>7.9394306480920607E-2</c:v>
                </c:pt>
                <c:pt idx="26">
                  <c:v>8.0739182692307634E-2</c:v>
                </c:pt>
                <c:pt idx="27">
                  <c:v>8.0739182692307634E-2</c:v>
                </c:pt>
                <c:pt idx="28">
                  <c:v>8.0739182692307634E-2</c:v>
                </c:pt>
                <c:pt idx="29">
                  <c:v>8.2063208109719676E-2</c:v>
                </c:pt>
                <c:pt idx="30">
                  <c:v>8.3366863905325508E-2</c:v>
                </c:pt>
                <c:pt idx="31">
                  <c:v>8.4650616559013556E-2</c:v>
                </c:pt>
                <c:pt idx="32">
                  <c:v>8.4592074592074643E-2</c:v>
                </c:pt>
                <c:pt idx="33">
                  <c:v>6.1282051282051331E-2</c:v>
                </c:pt>
                <c:pt idx="34">
                  <c:v>5.5454545454545499E-2</c:v>
                </c:pt>
                <c:pt idx="35">
                  <c:v>5.6772700983227349E-2</c:v>
                </c:pt>
                <c:pt idx="36">
                  <c:v>5.8071182548794537E-2</c:v>
                </c:pt>
                <c:pt idx="37">
                  <c:v>5.93504273504274E-2</c:v>
                </c:pt>
                <c:pt idx="38">
                  <c:v>6.0610859728506834E-2</c:v>
                </c:pt>
                <c:pt idx="39">
                  <c:v>6.1852891633913575E-2</c:v>
                </c:pt>
                <c:pt idx="40">
                  <c:v>5.6238068500842273E-2</c:v>
                </c:pt>
                <c:pt idx="41">
                  <c:v>5.7502787068004504E-2</c:v>
                </c:pt>
                <c:pt idx="42">
                  <c:v>5.8749308245711167E-2</c:v>
                </c:pt>
                <c:pt idx="43">
                  <c:v>5.9978021978022024E-2</c:v>
                </c:pt>
                <c:pt idx="44">
                  <c:v>6.1189307146754003E-2</c:v>
                </c:pt>
                <c:pt idx="45">
                  <c:v>5.9978021978022024E-2</c:v>
                </c:pt>
                <c:pt idx="46">
                  <c:v>5.8749308245711167E-2</c:v>
                </c:pt>
                <c:pt idx="47">
                  <c:v>5.7502787068004504E-2</c:v>
                </c:pt>
                <c:pt idx="48">
                  <c:v>5.6238068500842273E-2</c:v>
                </c:pt>
                <c:pt idx="49">
                  <c:v>5.7502787068004504E-2</c:v>
                </c:pt>
                <c:pt idx="50">
                  <c:v>5.8749308245711167E-2</c:v>
                </c:pt>
                <c:pt idx="51">
                  <c:v>5.9978021978022024E-2</c:v>
                </c:pt>
                <c:pt idx="52">
                  <c:v>5.4483516483516528E-2</c:v>
                </c:pt>
                <c:pt idx="53">
                  <c:v>6.2383531960996795E-2</c:v>
                </c:pt>
                <c:pt idx="54">
                  <c:v>5.6966413867822363E-2</c:v>
                </c:pt>
                <c:pt idx="55">
                  <c:v>5.8181818181818223E-2</c:v>
                </c:pt>
                <c:pt idx="56">
                  <c:v>5.9380341880341928E-2</c:v>
                </c:pt>
                <c:pt idx="57">
                  <c:v>6.0562334217506675E-2</c:v>
                </c:pt>
                <c:pt idx="58">
                  <c:v>6.1728134878819854E-2</c:v>
                </c:pt>
                <c:pt idx="59">
                  <c:v>6.2878074306645784E-2</c:v>
                </c:pt>
                <c:pt idx="60">
                  <c:v>5.7645211930926261E-2</c:v>
                </c:pt>
                <c:pt idx="61">
                  <c:v>5.8814968814968858E-2</c:v>
                </c:pt>
                <c:pt idx="62">
                  <c:v>5.996902426432632E-2</c:v>
                </c:pt>
                <c:pt idx="63">
                  <c:v>6.1107692307692349E-2</c:v>
                </c:pt>
                <c:pt idx="64">
                  <c:v>6.2231278655119758E-2</c:v>
                </c:pt>
                <c:pt idx="65">
                  <c:v>6.3340080971659954E-2</c:v>
                </c:pt>
                <c:pt idx="66">
                  <c:v>5.827935222672069E-2</c:v>
                </c:pt>
                <c:pt idx="67">
                  <c:v>6.3340080971659954E-2</c:v>
                </c:pt>
                <c:pt idx="68">
                  <c:v>6.3759551706571618E-2</c:v>
                </c:pt>
                <c:pt idx="69">
                  <c:v>6.4184615384615423E-2</c:v>
                </c:pt>
                <c:pt idx="70">
                  <c:v>6.4615384615384658E-2</c:v>
                </c:pt>
                <c:pt idx="71">
                  <c:v>6.5051975051975089E-2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7-42B9-A49A-48672156A86B}"/>
            </c:ext>
          </c:extLst>
        </c:ser>
        <c:ser>
          <c:idx val="10"/>
          <c:order val="2"/>
          <c:tx>
            <c:strRef>
              <c:f>Лист4!$D$1</c:f>
              <c:strCache>
                <c:ptCount val="1"/>
                <c:pt idx="0">
                  <c:v>ДТ-Л-К5 (летний)</c:v>
                </c:pt>
              </c:strCache>
            </c:strRef>
          </c:tx>
          <c:spPr>
            <a:ln w="476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Лист4!$A$2:$A$73</c:f>
              <c:numCache>
                <c:formatCode>[$-419]d\ mmm\ yy;@</c:formatCode>
                <c:ptCount val="72"/>
                <c:pt idx="0">
                  <c:v>43139</c:v>
                </c:pt>
                <c:pt idx="1">
                  <c:v>43170</c:v>
                </c:pt>
                <c:pt idx="2">
                  <c:v>43174</c:v>
                </c:pt>
                <c:pt idx="3">
                  <c:v>43183</c:v>
                </c:pt>
                <c:pt idx="4">
                  <c:v>43189</c:v>
                </c:pt>
                <c:pt idx="5">
                  <c:v>43193</c:v>
                </c:pt>
                <c:pt idx="6">
                  <c:v>43204</c:v>
                </c:pt>
                <c:pt idx="7">
                  <c:v>43217</c:v>
                </c:pt>
                <c:pt idx="8">
                  <c:v>43232</c:v>
                </c:pt>
                <c:pt idx="9">
                  <c:v>43235</c:v>
                </c:pt>
                <c:pt idx="10">
                  <c:v>43324</c:v>
                </c:pt>
                <c:pt idx="11">
                  <c:v>43330</c:v>
                </c:pt>
                <c:pt idx="12">
                  <c:v>43338</c:v>
                </c:pt>
                <c:pt idx="13">
                  <c:v>43345</c:v>
                </c:pt>
                <c:pt idx="14">
                  <c:v>43352</c:v>
                </c:pt>
                <c:pt idx="15">
                  <c:v>43359</c:v>
                </c:pt>
                <c:pt idx="16">
                  <c:v>43366</c:v>
                </c:pt>
                <c:pt idx="17">
                  <c:v>43373</c:v>
                </c:pt>
                <c:pt idx="18">
                  <c:v>43380</c:v>
                </c:pt>
                <c:pt idx="19">
                  <c:v>43387</c:v>
                </c:pt>
                <c:pt idx="20">
                  <c:v>43394</c:v>
                </c:pt>
                <c:pt idx="21">
                  <c:v>43401</c:v>
                </c:pt>
                <c:pt idx="22">
                  <c:v>43415</c:v>
                </c:pt>
                <c:pt idx="23">
                  <c:v>43422</c:v>
                </c:pt>
                <c:pt idx="24">
                  <c:v>43429</c:v>
                </c:pt>
                <c:pt idx="25">
                  <c:v>43443</c:v>
                </c:pt>
                <c:pt idx="26">
                  <c:v>43450</c:v>
                </c:pt>
                <c:pt idx="27">
                  <c:v>43468</c:v>
                </c:pt>
                <c:pt idx="28">
                  <c:v>43492</c:v>
                </c:pt>
                <c:pt idx="29">
                  <c:v>43517</c:v>
                </c:pt>
                <c:pt idx="30">
                  <c:v>43527</c:v>
                </c:pt>
                <c:pt idx="31">
                  <c:v>43534</c:v>
                </c:pt>
                <c:pt idx="32">
                  <c:v>43541</c:v>
                </c:pt>
                <c:pt idx="33">
                  <c:v>43544</c:v>
                </c:pt>
                <c:pt idx="34">
                  <c:v>43548</c:v>
                </c:pt>
                <c:pt idx="35">
                  <c:v>43555</c:v>
                </c:pt>
                <c:pt idx="36">
                  <c:v>43562</c:v>
                </c:pt>
                <c:pt idx="37">
                  <c:v>43569</c:v>
                </c:pt>
                <c:pt idx="38">
                  <c:v>43576</c:v>
                </c:pt>
                <c:pt idx="39">
                  <c:v>43583</c:v>
                </c:pt>
                <c:pt idx="40">
                  <c:v>43590</c:v>
                </c:pt>
                <c:pt idx="41">
                  <c:v>43597</c:v>
                </c:pt>
                <c:pt idx="42">
                  <c:v>43604</c:v>
                </c:pt>
                <c:pt idx="43">
                  <c:v>43614</c:v>
                </c:pt>
                <c:pt idx="44">
                  <c:v>43618</c:v>
                </c:pt>
                <c:pt idx="45">
                  <c:v>43625</c:v>
                </c:pt>
                <c:pt idx="46">
                  <c:v>43632</c:v>
                </c:pt>
                <c:pt idx="47">
                  <c:v>43667</c:v>
                </c:pt>
                <c:pt idx="48">
                  <c:v>43688</c:v>
                </c:pt>
                <c:pt idx="49">
                  <c:v>43723</c:v>
                </c:pt>
                <c:pt idx="50">
                  <c:v>43730</c:v>
                </c:pt>
                <c:pt idx="51">
                  <c:v>43737</c:v>
                </c:pt>
                <c:pt idx="52">
                  <c:v>43793</c:v>
                </c:pt>
                <c:pt idx="53">
                  <c:v>43800</c:v>
                </c:pt>
                <c:pt idx="54">
                  <c:v>43807</c:v>
                </c:pt>
                <c:pt idx="55">
                  <c:v>43814</c:v>
                </c:pt>
                <c:pt idx="56">
                  <c:v>43821</c:v>
                </c:pt>
                <c:pt idx="57">
                  <c:v>43828</c:v>
                </c:pt>
                <c:pt idx="58">
                  <c:v>43835</c:v>
                </c:pt>
                <c:pt idx="59">
                  <c:v>43842</c:v>
                </c:pt>
                <c:pt idx="60">
                  <c:v>43849</c:v>
                </c:pt>
                <c:pt idx="61">
                  <c:v>43856</c:v>
                </c:pt>
                <c:pt idx="62">
                  <c:v>43863</c:v>
                </c:pt>
                <c:pt idx="63">
                  <c:v>43870</c:v>
                </c:pt>
                <c:pt idx="64">
                  <c:v>43877</c:v>
                </c:pt>
                <c:pt idx="65">
                  <c:v>43884</c:v>
                </c:pt>
                <c:pt idx="66">
                  <c:v>43891</c:v>
                </c:pt>
                <c:pt idx="67">
                  <c:v>43933</c:v>
                </c:pt>
                <c:pt idx="68">
                  <c:v>43940</c:v>
                </c:pt>
                <c:pt idx="69">
                  <c:v>43947</c:v>
                </c:pt>
                <c:pt idx="70">
                  <c:v>43954</c:v>
                </c:pt>
                <c:pt idx="71">
                  <c:v>43961</c:v>
                </c:pt>
              </c:numCache>
            </c:numRef>
          </c:cat>
          <c:val>
            <c:numRef>
              <c:f>Лист4!$D$2:$D$73</c:f>
              <c:numCache>
                <c:formatCode>0.0%</c:formatCode>
                <c:ptCount val="72"/>
                <c:pt idx="0">
                  <c:v>9.8792048929663631E-2</c:v>
                </c:pt>
                <c:pt idx="1">
                  <c:v>0.1018393393393394</c:v>
                </c:pt>
                <c:pt idx="2">
                  <c:v>0.10332589285714278</c:v>
                </c:pt>
                <c:pt idx="3">
                  <c:v>9.6793154761904698E-2</c:v>
                </c:pt>
                <c:pt idx="4">
                  <c:v>9.6098820058997003E-2</c:v>
                </c:pt>
                <c:pt idx="5">
                  <c:v>9.7609649122806993E-2</c:v>
                </c:pt>
                <c:pt idx="6">
                  <c:v>9.6098820058997003E-2</c:v>
                </c:pt>
                <c:pt idx="7">
                  <c:v>8.8028273809523772E-2</c:v>
                </c:pt>
                <c:pt idx="8">
                  <c:v>8.9572271386430702E-2</c:v>
                </c:pt>
                <c:pt idx="9">
                  <c:v>9.1089181286549636E-2</c:v>
                </c:pt>
                <c:pt idx="10">
                  <c:v>9.2579710144927524E-2</c:v>
                </c:pt>
                <c:pt idx="11">
                  <c:v>9.2557471264367752E-2</c:v>
                </c:pt>
                <c:pt idx="12">
                  <c:v>9.2556980056980084E-2</c:v>
                </c:pt>
                <c:pt idx="13">
                  <c:v>9.1444759206798787E-2</c:v>
                </c:pt>
                <c:pt idx="14">
                  <c:v>8.7740112994350292E-2</c:v>
                </c:pt>
                <c:pt idx="15">
                  <c:v>8.9187675070027936E-2</c:v>
                </c:pt>
                <c:pt idx="16">
                  <c:v>9.0611111111111128E-2</c:v>
                </c:pt>
                <c:pt idx="17">
                  <c:v>9.2011019283746498E-2</c:v>
                </c:pt>
                <c:pt idx="18">
                  <c:v>9.3387978142076528E-2</c:v>
                </c:pt>
                <c:pt idx="19">
                  <c:v>8.7322404371584644E-2</c:v>
                </c:pt>
                <c:pt idx="20">
                  <c:v>8.8726287262872655E-2</c:v>
                </c:pt>
                <c:pt idx="21">
                  <c:v>9.0107526881720384E-2</c:v>
                </c:pt>
                <c:pt idx="22">
                  <c:v>8.4139784946236584E-2</c:v>
                </c:pt>
                <c:pt idx="23">
                  <c:v>9.2804232804232764E-2</c:v>
                </c:pt>
                <c:pt idx="24">
                  <c:v>9.4120734908136522E-2</c:v>
                </c:pt>
                <c:pt idx="25">
                  <c:v>8.8293963254593141E-2</c:v>
                </c:pt>
                <c:pt idx="26">
                  <c:v>8.9635416666666703E-2</c:v>
                </c:pt>
                <c:pt idx="27">
                  <c:v>8.9635416666666703E-2</c:v>
                </c:pt>
                <c:pt idx="28">
                  <c:v>8.9635416666666703E-2</c:v>
                </c:pt>
                <c:pt idx="29">
                  <c:v>9.0956072351421155E-2</c:v>
                </c:pt>
                <c:pt idx="30">
                  <c:v>9.2256410256410307E-2</c:v>
                </c:pt>
                <c:pt idx="31">
                  <c:v>9.3536895674300236E-2</c:v>
                </c:pt>
                <c:pt idx="32">
                  <c:v>9.3459595959595937E-2</c:v>
                </c:pt>
                <c:pt idx="33">
                  <c:v>6.8207070707070688E-2</c:v>
                </c:pt>
                <c:pt idx="34">
                  <c:v>6.2430555555555621E-2</c:v>
                </c:pt>
                <c:pt idx="35">
                  <c:v>6.3746867167919802E-2</c:v>
                </c:pt>
                <c:pt idx="36">
                  <c:v>6.504353233830841E-2</c:v>
                </c:pt>
                <c:pt idx="37">
                  <c:v>6.6320987654321026E-2</c:v>
                </c:pt>
                <c:pt idx="38">
                  <c:v>6.7579656862745072E-2</c:v>
                </c:pt>
                <c:pt idx="39">
                  <c:v>6.881995133819957E-2</c:v>
                </c:pt>
                <c:pt idx="40">
                  <c:v>6.3254257907542591E-2</c:v>
                </c:pt>
                <c:pt idx="41">
                  <c:v>6.4516908212560342E-2</c:v>
                </c:pt>
                <c:pt idx="42">
                  <c:v>6.5761390887290203E-2</c:v>
                </c:pt>
                <c:pt idx="43">
                  <c:v>6.6988095238095222E-2</c:v>
                </c:pt>
                <c:pt idx="44">
                  <c:v>6.8197399527186814E-2</c:v>
                </c:pt>
                <c:pt idx="45">
                  <c:v>6.6988095238095222E-2</c:v>
                </c:pt>
                <c:pt idx="46">
                  <c:v>6.5761390887290203E-2</c:v>
                </c:pt>
                <c:pt idx="47">
                  <c:v>6.4516908212560342E-2</c:v>
                </c:pt>
                <c:pt idx="48">
                  <c:v>6.3254257907542591E-2</c:v>
                </c:pt>
                <c:pt idx="49">
                  <c:v>6.4516908212560342E-2</c:v>
                </c:pt>
                <c:pt idx="50">
                  <c:v>6.5761390887290203E-2</c:v>
                </c:pt>
                <c:pt idx="51">
                  <c:v>6.6988095238095222E-2</c:v>
                </c:pt>
                <c:pt idx="52">
                  <c:v>6.1541666666666724E-2</c:v>
                </c:pt>
                <c:pt idx="53">
                  <c:v>6.9389671361502356E-2</c:v>
                </c:pt>
                <c:pt idx="54">
                  <c:v>6.4019953051643139E-2</c:v>
                </c:pt>
                <c:pt idx="55">
                  <c:v>6.5233100233100264E-2</c:v>
                </c:pt>
                <c:pt idx="56">
                  <c:v>6.6429398148148133E-2</c:v>
                </c:pt>
                <c:pt idx="57">
                  <c:v>6.7609195402298913E-2</c:v>
                </c:pt>
                <c:pt idx="58">
                  <c:v>6.8772831050228314E-2</c:v>
                </c:pt>
                <c:pt idx="59">
                  <c:v>6.9920634920634869E-2</c:v>
                </c:pt>
                <c:pt idx="60">
                  <c:v>6.4733560090702982E-2</c:v>
                </c:pt>
                <c:pt idx="61">
                  <c:v>6.590090090090088E-2</c:v>
                </c:pt>
                <c:pt idx="62">
                  <c:v>6.7052572706935182E-2</c:v>
                </c:pt>
                <c:pt idx="63">
                  <c:v>6.8188888888888896E-2</c:v>
                </c:pt>
                <c:pt idx="64">
                  <c:v>6.9310154525386275E-2</c:v>
                </c:pt>
                <c:pt idx="65">
                  <c:v>7.0416666666666697E-2</c:v>
                </c:pt>
                <c:pt idx="66">
                  <c:v>6.540021929824559E-2</c:v>
                </c:pt>
                <c:pt idx="67">
                  <c:v>7.0416666666666697E-2</c:v>
                </c:pt>
                <c:pt idx="68">
                  <c:v>7.0883002207505555E-2</c:v>
                </c:pt>
                <c:pt idx="69">
                  <c:v>7.1355555555555589E-2</c:v>
                </c:pt>
                <c:pt idx="70">
                  <c:v>7.1834451901566024E-2</c:v>
                </c:pt>
                <c:pt idx="71">
                  <c:v>7.2319819819819844E-2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37-42B9-A49A-48672156A86B}"/>
            </c:ext>
          </c:extLst>
        </c:ser>
        <c:ser>
          <c:idx val="11"/>
          <c:order val="3"/>
          <c:tx>
            <c:strRef>
              <c:f>Лист4!$E$1</c:f>
              <c:strCache>
                <c:ptCount val="1"/>
                <c:pt idx="0">
                  <c:v>ДТ-З-К5 (зимний)</c:v>
                </c:pt>
              </c:strCache>
            </c:strRef>
          </c:tx>
          <c:spPr>
            <a:ln w="47625">
              <a:solidFill>
                <a:srgbClr val="92D050"/>
              </a:solidFill>
            </a:ln>
          </c:spPr>
          <c:marker>
            <c:symbol val="none"/>
          </c:marker>
          <c:cat>
            <c:numRef>
              <c:f>Лист4!$A$2:$A$73</c:f>
              <c:numCache>
                <c:formatCode>[$-419]d\ mmm\ yy;@</c:formatCode>
                <c:ptCount val="72"/>
                <c:pt idx="0">
                  <c:v>43139</c:v>
                </c:pt>
                <c:pt idx="1">
                  <c:v>43170</c:v>
                </c:pt>
                <c:pt idx="2">
                  <c:v>43174</c:v>
                </c:pt>
                <c:pt idx="3">
                  <c:v>43183</c:v>
                </c:pt>
                <c:pt idx="4">
                  <c:v>43189</c:v>
                </c:pt>
                <c:pt idx="5">
                  <c:v>43193</c:v>
                </c:pt>
                <c:pt idx="6">
                  <c:v>43204</c:v>
                </c:pt>
                <c:pt idx="7">
                  <c:v>43217</c:v>
                </c:pt>
                <c:pt idx="8">
                  <c:v>43232</c:v>
                </c:pt>
                <c:pt idx="9">
                  <c:v>43235</c:v>
                </c:pt>
                <c:pt idx="10">
                  <c:v>43324</c:v>
                </c:pt>
                <c:pt idx="11">
                  <c:v>43330</c:v>
                </c:pt>
                <c:pt idx="12">
                  <c:v>43338</c:v>
                </c:pt>
                <c:pt idx="13">
                  <c:v>43345</c:v>
                </c:pt>
                <c:pt idx="14">
                  <c:v>43352</c:v>
                </c:pt>
                <c:pt idx="15">
                  <c:v>43359</c:v>
                </c:pt>
                <c:pt idx="16">
                  <c:v>43366</c:v>
                </c:pt>
                <c:pt idx="17">
                  <c:v>43373</c:v>
                </c:pt>
                <c:pt idx="18">
                  <c:v>43380</c:v>
                </c:pt>
                <c:pt idx="19">
                  <c:v>43387</c:v>
                </c:pt>
                <c:pt idx="20">
                  <c:v>43394</c:v>
                </c:pt>
                <c:pt idx="21">
                  <c:v>43401</c:v>
                </c:pt>
                <c:pt idx="22">
                  <c:v>43415</c:v>
                </c:pt>
                <c:pt idx="23">
                  <c:v>43422</c:v>
                </c:pt>
                <c:pt idx="24">
                  <c:v>43429</c:v>
                </c:pt>
                <c:pt idx="25">
                  <c:v>43443</c:v>
                </c:pt>
                <c:pt idx="26">
                  <c:v>43450</c:v>
                </c:pt>
                <c:pt idx="27">
                  <c:v>43468</c:v>
                </c:pt>
                <c:pt idx="28">
                  <c:v>43492</c:v>
                </c:pt>
                <c:pt idx="29">
                  <c:v>43517</c:v>
                </c:pt>
                <c:pt idx="30">
                  <c:v>43527</c:v>
                </c:pt>
                <c:pt idx="31">
                  <c:v>43534</c:v>
                </c:pt>
                <c:pt idx="32">
                  <c:v>43541</c:v>
                </c:pt>
                <c:pt idx="33">
                  <c:v>43544</c:v>
                </c:pt>
                <c:pt idx="34">
                  <c:v>43548</c:v>
                </c:pt>
                <c:pt idx="35">
                  <c:v>43555</c:v>
                </c:pt>
                <c:pt idx="36">
                  <c:v>43562</c:v>
                </c:pt>
                <c:pt idx="37">
                  <c:v>43569</c:v>
                </c:pt>
                <c:pt idx="38">
                  <c:v>43576</c:v>
                </c:pt>
                <c:pt idx="39">
                  <c:v>43583</c:v>
                </c:pt>
                <c:pt idx="40">
                  <c:v>43590</c:v>
                </c:pt>
                <c:pt idx="41">
                  <c:v>43597</c:v>
                </c:pt>
                <c:pt idx="42">
                  <c:v>43604</c:v>
                </c:pt>
                <c:pt idx="43">
                  <c:v>43614</c:v>
                </c:pt>
                <c:pt idx="44">
                  <c:v>43618</c:v>
                </c:pt>
                <c:pt idx="45">
                  <c:v>43625</c:v>
                </c:pt>
                <c:pt idx="46">
                  <c:v>43632</c:v>
                </c:pt>
                <c:pt idx="47">
                  <c:v>43667</c:v>
                </c:pt>
                <c:pt idx="48">
                  <c:v>43688</c:v>
                </c:pt>
                <c:pt idx="49">
                  <c:v>43723</c:v>
                </c:pt>
                <c:pt idx="50">
                  <c:v>43730</c:v>
                </c:pt>
                <c:pt idx="51">
                  <c:v>43737</c:v>
                </c:pt>
                <c:pt idx="52">
                  <c:v>43793</c:v>
                </c:pt>
                <c:pt idx="53">
                  <c:v>43800</c:v>
                </c:pt>
                <c:pt idx="54">
                  <c:v>43807</c:v>
                </c:pt>
                <c:pt idx="55">
                  <c:v>43814</c:v>
                </c:pt>
                <c:pt idx="56">
                  <c:v>43821</c:v>
                </c:pt>
                <c:pt idx="57">
                  <c:v>43828</c:v>
                </c:pt>
                <c:pt idx="58">
                  <c:v>43835</c:v>
                </c:pt>
                <c:pt idx="59">
                  <c:v>43842</c:v>
                </c:pt>
                <c:pt idx="60">
                  <c:v>43849</c:v>
                </c:pt>
                <c:pt idx="61">
                  <c:v>43856</c:v>
                </c:pt>
                <c:pt idx="62">
                  <c:v>43863</c:v>
                </c:pt>
                <c:pt idx="63">
                  <c:v>43870</c:v>
                </c:pt>
                <c:pt idx="64">
                  <c:v>43877</c:v>
                </c:pt>
                <c:pt idx="65">
                  <c:v>43884</c:v>
                </c:pt>
                <c:pt idx="66">
                  <c:v>43891</c:v>
                </c:pt>
                <c:pt idx="67">
                  <c:v>43933</c:v>
                </c:pt>
                <c:pt idx="68">
                  <c:v>43940</c:v>
                </c:pt>
                <c:pt idx="69">
                  <c:v>43947</c:v>
                </c:pt>
                <c:pt idx="70">
                  <c:v>43954</c:v>
                </c:pt>
                <c:pt idx="71">
                  <c:v>43961</c:v>
                </c:pt>
              </c:numCache>
            </c:numRef>
          </c:cat>
          <c:val>
            <c:numRef>
              <c:f>Лист4!$E$2:$E$73</c:f>
              <c:numCache>
                <c:formatCode>0.0%</c:formatCode>
                <c:ptCount val="72"/>
                <c:pt idx="0">
                  <c:v>9.0091743119265988E-2</c:v>
                </c:pt>
                <c:pt idx="1">
                  <c:v>9.31681681681681E-2</c:v>
                </c:pt>
                <c:pt idx="2">
                  <c:v>9.4665178571428588E-2</c:v>
                </c:pt>
                <c:pt idx="3">
                  <c:v>8.8065476190476111E-2</c:v>
                </c:pt>
                <c:pt idx="4">
                  <c:v>8.7382005899705018E-2</c:v>
                </c:pt>
                <c:pt idx="5">
                  <c:v>8.8903508771929748E-2</c:v>
                </c:pt>
                <c:pt idx="6">
                  <c:v>8.7382005899705018E-2</c:v>
                </c:pt>
                <c:pt idx="7">
                  <c:v>7.9233630952380965E-2</c:v>
                </c:pt>
                <c:pt idx="8">
                  <c:v>8.0789085545722686E-2</c:v>
                </c:pt>
                <c:pt idx="9">
                  <c:v>8.2317251461988233E-2</c:v>
                </c:pt>
                <c:pt idx="10">
                  <c:v>8.3818840579710202E-2</c:v>
                </c:pt>
                <c:pt idx="11">
                  <c:v>8.3793103448275938E-2</c:v>
                </c:pt>
                <c:pt idx="12">
                  <c:v>8.3796296296296355E-2</c:v>
                </c:pt>
                <c:pt idx="13">
                  <c:v>8.2677053824362606E-2</c:v>
                </c:pt>
                <c:pt idx="14">
                  <c:v>7.8933615819209033E-2</c:v>
                </c:pt>
                <c:pt idx="15">
                  <c:v>8.0392156862745062E-2</c:v>
                </c:pt>
                <c:pt idx="16">
                  <c:v>8.1826388888888837E-2</c:v>
                </c:pt>
                <c:pt idx="17">
                  <c:v>8.3236914600550896E-2</c:v>
                </c:pt>
                <c:pt idx="18">
                  <c:v>8.4624316939890781E-2</c:v>
                </c:pt>
                <c:pt idx="19">
                  <c:v>7.8497267759562894E-2</c:v>
                </c:pt>
                <c:pt idx="20">
                  <c:v>7.9911924119241223E-2</c:v>
                </c:pt>
                <c:pt idx="21">
                  <c:v>8.1303763440860224E-2</c:v>
                </c:pt>
                <c:pt idx="22">
                  <c:v>7.5275537634408599E-2</c:v>
                </c:pt>
                <c:pt idx="23">
                  <c:v>8.4021164021163997E-2</c:v>
                </c:pt>
                <c:pt idx="24">
                  <c:v>8.5347769028871354E-2</c:v>
                </c:pt>
                <c:pt idx="25">
                  <c:v>7.9461942257217782E-2</c:v>
                </c:pt>
                <c:pt idx="26">
                  <c:v>8.08138020833334E-2</c:v>
                </c:pt>
                <c:pt idx="27">
                  <c:v>8.08138020833334E-2</c:v>
                </c:pt>
                <c:pt idx="28">
                  <c:v>8.08138020833334E-2</c:v>
                </c:pt>
                <c:pt idx="29">
                  <c:v>8.2144702842377321E-2</c:v>
                </c:pt>
                <c:pt idx="30">
                  <c:v>8.3455128205128237E-2</c:v>
                </c:pt>
                <c:pt idx="31">
                  <c:v>8.4745547073791366E-2</c:v>
                </c:pt>
                <c:pt idx="32">
                  <c:v>8.4659090909090851E-2</c:v>
                </c:pt>
                <c:pt idx="33">
                  <c:v>5.9406565656565602E-2</c:v>
                </c:pt>
                <c:pt idx="34">
                  <c:v>5.3579545454545387E-2</c:v>
                </c:pt>
                <c:pt idx="35">
                  <c:v>5.4912280701754447E-2</c:v>
                </c:pt>
                <c:pt idx="36">
                  <c:v>5.6225124378109503E-2</c:v>
                </c:pt>
                <c:pt idx="37">
                  <c:v>5.7518518518518559E-2</c:v>
                </c:pt>
                <c:pt idx="38">
                  <c:v>5.8792892156862772E-2</c:v>
                </c:pt>
                <c:pt idx="39">
                  <c:v>6.0048661800486632E-2</c:v>
                </c:pt>
                <c:pt idx="40">
                  <c:v>5.4434306569343074E-2</c:v>
                </c:pt>
                <c:pt idx="41">
                  <c:v>5.5712560386473424E-2</c:v>
                </c:pt>
                <c:pt idx="42">
                  <c:v>5.6972422062350106E-2</c:v>
                </c:pt>
                <c:pt idx="43">
                  <c:v>5.8214285714285691E-2</c:v>
                </c:pt>
                <c:pt idx="44">
                  <c:v>5.9438534278959773E-2</c:v>
                </c:pt>
                <c:pt idx="45">
                  <c:v>5.8214285714285691E-2</c:v>
                </c:pt>
                <c:pt idx="46">
                  <c:v>5.6972422062350106E-2</c:v>
                </c:pt>
                <c:pt idx="47">
                  <c:v>5.5712560386473424E-2</c:v>
                </c:pt>
                <c:pt idx="48">
                  <c:v>5.4434306569343074E-2</c:v>
                </c:pt>
                <c:pt idx="49">
                  <c:v>5.5712560386473424E-2</c:v>
                </c:pt>
                <c:pt idx="50">
                  <c:v>5.6972422062350106E-2</c:v>
                </c:pt>
                <c:pt idx="51">
                  <c:v>5.8214285714285691E-2</c:v>
                </c:pt>
                <c:pt idx="52">
                  <c:v>5.2720238095238056E-2</c:v>
                </c:pt>
                <c:pt idx="53">
                  <c:v>6.0645539906103239E-2</c:v>
                </c:pt>
                <c:pt idx="54">
                  <c:v>5.5228873239436559E-2</c:v>
                </c:pt>
                <c:pt idx="55">
                  <c:v>5.6456876456876519E-2</c:v>
                </c:pt>
                <c:pt idx="56">
                  <c:v>5.7667824074074128E-2</c:v>
                </c:pt>
                <c:pt idx="57">
                  <c:v>5.8862068965517281E-2</c:v>
                </c:pt>
                <c:pt idx="58">
                  <c:v>6.0039954337899576E-2</c:v>
                </c:pt>
                <c:pt idx="59">
                  <c:v>6.1201814058956937E-2</c:v>
                </c:pt>
                <c:pt idx="60">
                  <c:v>5.5969387755102053E-2</c:v>
                </c:pt>
                <c:pt idx="61">
                  <c:v>5.71509009009009E-2</c:v>
                </c:pt>
                <c:pt idx="62">
                  <c:v>5.8316554809843393E-2</c:v>
                </c:pt>
                <c:pt idx="63">
                  <c:v>5.9466666666666647E-2</c:v>
                </c:pt>
                <c:pt idx="64">
                  <c:v>6.0601545253863104E-2</c:v>
                </c:pt>
                <c:pt idx="65">
                  <c:v>6.1721491228070136E-2</c:v>
                </c:pt>
                <c:pt idx="66">
                  <c:v>5.6661184210526266E-2</c:v>
                </c:pt>
                <c:pt idx="67">
                  <c:v>6.1721491228070136E-2</c:v>
                </c:pt>
                <c:pt idx="68">
                  <c:v>6.2185430463576191E-2</c:v>
                </c:pt>
                <c:pt idx="69">
                  <c:v>6.269999999999995E-2</c:v>
                </c:pt>
                <c:pt idx="70">
                  <c:v>6.3182326621923954E-2</c:v>
                </c:pt>
                <c:pt idx="71">
                  <c:v>6.3671171171171131E-2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37-42B9-A49A-48672156A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76352"/>
        <c:axId val="111886336"/>
      </c:lineChart>
      <c:dateAx>
        <c:axId val="111876352"/>
        <c:scaling>
          <c:orientation val="minMax"/>
        </c:scaling>
        <c:delete val="0"/>
        <c:axPos val="b"/>
        <c:numFmt formatCode="[$-419]d\ mmm\ 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86336"/>
        <c:crosses val="autoZero"/>
        <c:auto val="1"/>
        <c:lblOffset val="100"/>
        <c:baseTimeUnit val="days"/>
      </c:dateAx>
      <c:valAx>
        <c:axId val="111886336"/>
        <c:scaling>
          <c:orientation val="minMax"/>
          <c:max val="0.12000000000000001"/>
          <c:min val="5.000000000000001E-2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7635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4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4</xdr:row>
      <xdr:rowOff>123825</xdr:rowOff>
    </xdr:from>
    <xdr:to>
      <xdr:col>18</xdr:col>
      <xdr:colOff>314325</xdr:colOff>
      <xdr:row>45</xdr:row>
      <xdr:rowOff>57150</xdr:rowOff>
    </xdr:to>
    <xdr:graphicFrame macro="">
      <xdr:nvGraphicFramePr>
        <xdr:cNvPr id="1180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ташенко Александр Михайлович" refreshedDate="44014.69851898148" createdVersion="1" refreshedVersion="4" recordCount="150" upgradeOnRefresh="1">
  <cacheSource type="worksheet">
    <worksheetSource ref="A4:M155" sheet="Лист3"/>
  </cacheSource>
  <cacheFields count="13">
    <cacheField name="Дата" numFmtId="0">
      <sharedItems containsNonDate="0" containsDate="1" containsString="0" containsBlank="1" minDate="2019-07-21T00:00:00" maxDate="2020-05-11T00:00:00" count="26">
        <d v="2019-07-21T00:00:00"/>
        <m/>
        <d v="2019-08-11T00:00:00"/>
        <d v="2019-09-15T00:00:00"/>
        <d v="2019-09-22T00:00:00"/>
        <d v="2019-09-29T00:00:00"/>
        <d v="2019-11-24T00:00:00"/>
        <d v="2019-12-01T00:00:00"/>
        <d v="2019-12-08T00:00:00"/>
        <d v="2019-12-15T00:00:00"/>
        <d v="2019-12-22T00:00:00"/>
        <d v="2019-12-29T00:00:00"/>
        <d v="2020-01-05T00:00:00"/>
        <d v="2020-01-12T00:00:00"/>
        <d v="2020-01-19T00:00:00"/>
        <d v="2020-01-26T00:00:00"/>
        <d v="2020-02-02T00:00:00"/>
        <d v="2020-02-09T00:00:00"/>
        <d v="2020-02-16T00:00:00"/>
        <d v="2020-02-23T00:00:00"/>
        <d v="2020-03-01T00:00:00"/>
        <d v="2020-04-12T00:00:00"/>
        <d v="2020-04-19T00:00:00"/>
        <d v="2020-04-26T00:00:00"/>
        <d v="2020-05-03T00:00:00"/>
        <d v="2020-05-10T00:00:00"/>
      </sharedItems>
    </cacheField>
    <cacheField name="Характеристика" numFmtId="0">
      <sharedItems count="6">
        <s v="опт.,  за тонну без НДС, руб."/>
        <s v="розн. за тонну без НДС, руб."/>
        <s v="розн. за литр с НДС, руб."/>
        <s v="маржа, %"/>
        <s v="надбавка, %"/>
        <s v="рост розн. цены, %"/>
      </sharedItems>
    </cacheField>
    <cacheField name="80" numFmtId="0">
      <sharedItems containsMixedTypes="1" containsNumber="1" minValue="-6.7567567567567988E-3" maxValue="1798"/>
    </cacheField>
    <cacheField name="92-К3" numFmtId="0">
      <sharedItems containsNonDate="0" containsString="0" containsBlank="1"/>
    </cacheField>
    <cacheField name="92-К5" numFmtId="0">
      <sharedItems containsMixedTypes="1" containsNumber="1" minValue="-6.4102564102563875E-3" maxValue="1872" count="126">
        <n v="1585.31"/>
        <n v="1690"/>
        <n v="1.56"/>
        <n v="6.1946745562130208E-2"/>
        <n v="6.6037557323173429E-2"/>
        <e v="#DIV/0!"/>
        <n v="1575.35"/>
        <n v="1677"/>
        <n v="1.55"/>
        <n v="6.06141920095409E-2"/>
        <n v="6.4525343574443839E-2"/>
        <n v="-6.4102564102563875E-3"/>
        <n v="6.4516129032257119E-3"/>
        <n v="1595.27"/>
        <n v="1703"/>
        <n v="1.57"/>
        <n v="6.3258954785672353E-2"/>
        <n v="6.7530888188206392E-2"/>
        <n v="6.4102564102563875E-3"/>
        <n v="1605.23"/>
        <n v="1716"/>
        <n v="1.58"/>
        <n v="6.4551282051282036E-2"/>
        <n v="6.9005687658466375E-2"/>
        <n v="6.3694267515923553E-3"/>
        <n v="1615.19"/>
        <n v="1.59"/>
        <n v="5.8747086247086217E-2"/>
        <n v="6.2413709842185715E-2"/>
        <n v="6.3291139240506666E-3"/>
        <n v="1625.15"/>
        <n v="1729"/>
        <n v="1.6"/>
        <n v="6.0063620589936327E-2"/>
        <n v="6.3901793680583269E-2"/>
        <n v="6.2893081761006275E-3"/>
        <n v="1635.11"/>
        <n v="1742"/>
        <n v="1.61"/>
        <n v="6.1360505166475371E-2"/>
        <n v="6.5371748689690673E-2"/>
        <n v="6.2500000000000888E-3"/>
        <n v="1645.07"/>
        <n v="1755"/>
        <n v="1.62"/>
        <n v="6.2638176638176668E-2"/>
        <n v="6.6823904149975424E-2"/>
        <n v="6.2111801242235032E-3"/>
        <n v="1655.03"/>
        <n v="1768"/>
        <n v="1.63"/>
        <n v="6.3897058823529432E-2"/>
        <n v="6.8258581415442637E-2"/>
        <n v="6.1728395061726449E-3"/>
        <n v="1664.99"/>
        <n v="1781"/>
        <n v="1.64"/>
        <n v="6.513756316676024E-2"/>
        <n v="6.9676094150715615E-2"/>
        <n v="6.1349693251533388E-3"/>
        <n v="1674.95"/>
        <n v="1.65"/>
        <n v="5.9545199326221196E-2"/>
        <n v="6.3315322845458044E-2"/>
        <n v="6.0975609756097615E-3"/>
        <n v="1684.91"/>
        <n v="1794"/>
        <n v="1.66"/>
        <n v="6.0808249721293152E-2"/>
        <n v="6.4745297968437435E-2"/>
        <n v="6.0606060606060996E-3"/>
        <n v="1694.87"/>
        <n v="1807"/>
        <n v="1.67"/>
        <n v="6.2053126729385781E-2"/>
        <n v="6.6158466431053775E-2"/>
        <n v="6.0240963855422436E-3"/>
        <n v="1704.83"/>
        <n v="1820"/>
        <n v="1.68"/>
        <n v="6.3280219780219818E-2"/>
        <n v="6.7555122798167611E-2"/>
        <n v="5.9880239520957446E-3"/>
        <n v="1714.79"/>
        <n v="1833"/>
        <n v="1.69"/>
        <n v="6.4489907255864717E-2"/>
        <n v="6.8935554790965678E-2"/>
        <n v="5.9523809523809312E-3"/>
        <n v="1724.75"/>
        <n v="1846"/>
        <n v="1.7"/>
        <n v="6.5682556879739978E-2"/>
        <n v="7.030004348456298E-2"/>
        <n v="5.9171597633136397E-3"/>
        <n v="1734.71"/>
        <n v="1.71"/>
        <n v="6.0287107258938225E-2"/>
        <n v="6.4154815502302953E-2"/>
        <n v="5.8823529411764497E-3"/>
        <n v="1744.67"/>
        <n v="1859"/>
        <n v="1.72"/>
        <n v="6.1500806885422234E-2"/>
        <n v="6.5531017327058946E-2"/>
        <n v="5.8479532163742132E-3"/>
        <n v="1754.63"/>
        <n v="1872"/>
        <n v="1.73"/>
        <n v="6.2697649572649519E-2"/>
        <n v="6.6891595379082708E-2"/>
        <n v="5.8139534883721034E-3"/>
        <n v="-5.7803468208093012E-3"/>
        <n v="1731.67"/>
        <n v="6.1933911159263236E-2"/>
        <n v="6.6022972044327111E-2"/>
        <n v="-5.8139534883721034E-3"/>
        <n v="-5.8479532163743242E-3"/>
        <n v="1718.67"/>
        <n v="6.2373158756137442E-2"/>
        <n v="6.6522369041177143E-2"/>
        <n v="-5.8823529411764497E-3"/>
        <n v="1705.67"/>
        <n v="6.2818681318681277E-2"/>
        <n v="6.7029378484700974E-2"/>
        <n v="-5.9171597633136397E-3"/>
      </sharedItems>
    </cacheField>
    <cacheField name="95-евро" numFmtId="0">
      <sharedItems containsMixedTypes="1" containsNumber="1" minValue="-6.0240963855421326E-3" maxValue="1976" count="128">
        <n v="1690.84"/>
        <n v="1794"/>
        <n v="1.66"/>
        <n v="5.7502787068004504E-2"/>
        <n v="6.1011095077003197E-2"/>
        <e v="#DIV/0!"/>
        <n v="1680.84"/>
        <n v="1781"/>
        <n v="1.65"/>
        <n v="5.6238068500842273E-2"/>
        <n v="5.9589252992551398E-2"/>
        <n v="-6.0240963855421326E-3"/>
        <n v="6.0606060606060996E-3"/>
        <n v="1700.84"/>
        <n v="1807"/>
        <n v="1.67"/>
        <n v="5.8749308245711167E-2"/>
        <n v="6.2416217868817812E-2"/>
        <n v="6.0240963855422436E-3"/>
        <n v="1710.84"/>
        <n v="1820"/>
        <n v="1.68"/>
        <n v="5.9978021978022024E-2"/>
        <n v="6.3804914544901975E-2"/>
        <n v="5.9880239520957446E-3"/>
        <n v="1720.84"/>
        <n v="1.69"/>
        <n v="5.4483516483516528E-2"/>
        <n v="5.7623021315171712E-2"/>
        <n v="5.9523809523809312E-3"/>
        <n v="1730.84"/>
        <n v="1846"/>
        <n v="1.7"/>
        <n v="6.2383531960996795E-2"/>
        <n v="6.6534168380670708E-2"/>
        <n v="5.9171597633136397E-3"/>
        <n v="1740.84"/>
        <n v="1.71"/>
        <n v="5.6966413867822363E-2"/>
        <n v="6.0407619310218104E-2"/>
        <n v="5.8823529411764497E-3"/>
        <n v="1750.84"/>
        <n v="1859"/>
        <n v="1.72"/>
        <n v="5.8181818181818223E-2"/>
        <n v="6.1776061776061826E-2"/>
        <n v="5.8479532163742132E-3"/>
        <n v="1760.84"/>
        <n v="1872"/>
        <n v="1.73"/>
        <n v="5.9380341880341928E-2"/>
        <n v="6.3128961177619819E-2"/>
        <n v="5.8139534883721034E-3"/>
        <n v="1770.84"/>
        <n v="1885"/>
        <n v="1.74"/>
        <n v="6.0562334217506675E-2"/>
        <n v="6.4466580831695736E-2"/>
        <n v="5.7803468208093012E-3"/>
        <n v="1780.84"/>
        <n v="1898"/>
        <n v="1.75"/>
        <n v="6.1728134878819854E-2"/>
        <n v="6.5789178140652771E-2"/>
        <n v="5.7471264367816577E-3"/>
        <n v="1790.84"/>
        <n v="1911"/>
        <n v="1.76"/>
        <n v="6.2878074306645784E-2"/>
        <n v="6.7097004757544002E-2"/>
        <n v="5.7142857142857828E-3"/>
        <n v="1800.84"/>
        <n v="1.77"/>
        <n v="5.7645211930926261E-2"/>
        <n v="6.1171453321783219E-2"/>
        <n v="5.6818181818181213E-3"/>
        <n v="1810.84"/>
        <n v="1924"/>
        <n v="1.78"/>
        <n v="5.8814968814968858E-2"/>
        <n v="6.2490335976673854E-2"/>
        <n v="5.6497175141243527E-3"/>
        <n v="1820.84"/>
        <n v="1937"/>
        <n v="1.79"/>
        <n v="5.996902426432632E-2"/>
        <n v="6.3794732101667403E-2"/>
        <n v="5.6179775280897903E-3"/>
        <n v="1830.84"/>
        <n v="1950"/>
        <n v="1.8"/>
        <n v="6.1107692307692349E-2"/>
        <n v="6.5084879071901469E-2"/>
        <n v="5.5865921787709993E-3"/>
        <n v="1840.84"/>
        <n v="1963"/>
        <n v="1.81"/>
        <n v="6.2231278655119758E-2"/>
        <n v="6.6361009104539279E-2"/>
        <n v="5.5555555555555358E-3"/>
        <n v="1850.84"/>
        <n v="1976"/>
        <n v="1.82"/>
        <n v="6.3340080971659954E-2"/>
        <n v="6.7623349398111168E-2"/>
        <n v="5.5248618784531356E-3"/>
        <n v="1860.84"/>
        <n v="1.83"/>
        <n v="5.827935222672069E-2"/>
        <n v="6.1886029964962105E-2"/>
        <n v="5.494505494505475E-3"/>
        <n v="-5.464480874316946E-3"/>
        <n v="1837.84"/>
        <n v="6.3759551706571618E-2"/>
        <n v="6.8101684586253472E-2"/>
        <n v="-5.494505494505475E-3"/>
        <n v="1824.84"/>
        <n v="6.4184615384615423E-2"/>
        <n v="6.858683501019272E-2"/>
        <n v="-5.5248618784530246E-3"/>
        <n v="1811.84"/>
        <n v="6.4615384615384658E-2"/>
        <n v="6.9078947368421101E-2"/>
        <n v="-5.5555555555555358E-3"/>
        <n v="1798.84"/>
        <n v="6.5051975051975089E-2"/>
        <n v="6.9578172600120128E-2"/>
        <n v="-5.5865921787709993E-3"/>
      </sharedItems>
    </cacheField>
    <cacheField name="98-евро" numFmtId="0">
      <sharedItems containsMixedTypes="1" containsNumber="1" minValue="-5.3191489361701372E-3" maxValue="2223"/>
    </cacheField>
    <cacheField name="ДТ" numFmtId="0">
      <sharedItems containsNonDate="0" containsString="0" containsBlank="1"/>
    </cacheField>
    <cacheField name="ДТ-Б5" numFmtId="0">
      <sharedItems containsNonDate="0" containsString="0" containsBlank="1"/>
    </cacheField>
    <cacheField name="ДТ-Л-К4" numFmtId="0">
      <sharedItems containsNonDate="0" containsString="0" containsBlank="1"/>
    </cacheField>
    <cacheField name="ДТ-З-К4" numFmtId="0">
      <sharedItems containsNonDate="0" containsString="0" containsBlank="1"/>
    </cacheField>
    <cacheField name="ДТ-Л-К5 (летний)" numFmtId="0">
      <sharedItems containsMixedTypes="1" containsNumber="1" minValue="-5.1020408163264808E-3" maxValue="2301" count="128">
        <n v="1829.33"/>
        <n v="2119"/>
        <n v="1.96"/>
        <n v="0.13670127418593681"/>
        <n v="0.15834759174123864"/>
        <e v="#DIV/0!"/>
        <n v="1820.15"/>
        <n v="2106"/>
        <n v="1.95"/>
        <n v="0.13573124406457734"/>
        <n v="0.1570474960854874"/>
        <n v="-5.1020408163264808E-3"/>
        <n v="5.12820512820511E-3"/>
        <n v="1838.51"/>
        <n v="2132"/>
        <n v="1.97"/>
        <n v="0.13765947467166981"/>
        <n v="0.15963470418980588"/>
        <n v="5.1020408163264808E-3"/>
        <n v="1847.69"/>
        <n v="2145"/>
        <n v="1.98"/>
        <n v="0.13860606060606059"/>
        <n v="0.16090902694716103"/>
        <n v="5.0761421319795996E-3"/>
        <n v="1856.87"/>
        <n v="1.99"/>
        <n v="0.13432634032634039"/>
        <n v="0.15516972108979096"/>
        <n v="5.050505050504972E-3"/>
        <n v="1866.05"/>
        <n v="2171"/>
        <n v="2"/>
        <n v="0.14046522339935516"/>
        <n v="0.16342005841215404"/>
        <n v="5.0251256281406143E-3"/>
        <n v="1875.23"/>
        <n v="2.0099999999999998"/>
        <n v="0.13623675725472131"/>
        <n v="0.1577246524426337"/>
        <n v="4.9999999999998934E-3"/>
        <n v="1884.41"/>
        <n v="2184"/>
        <n v="2.02"/>
        <n v="0.1371749084249084"/>
        <n v="0.15898344840029499"/>
        <n v="4.9751243781095411E-3"/>
        <n v="1893.59"/>
        <n v="2197"/>
        <n v="2.0299999999999998"/>
        <n v="0.13810195721438329"/>
        <n v="0.16023003923763862"/>
        <n v="4.9504950495049549E-3"/>
        <n v="1902.77"/>
        <n v="2210"/>
        <n v="2.04"/>
        <n v="0.13901809954751132"/>
        <n v="0.16146460160713066"/>
        <n v="4.9261083743843415E-3"/>
        <n v="1911.95"/>
        <n v="2223"/>
        <n v="2.0499999999999998"/>
        <n v="0.13992352676563199"/>
        <n v="0.16268730876853471"/>
        <n v="4.9019607843137081E-3"/>
        <n v="1921.13"/>
        <n v="2236"/>
        <n v="2.06"/>
        <n v="0.14081842576028616"/>
        <n v="0.1638983306699702"/>
        <n v="4.8780487804878092E-3"/>
        <n v="1930.31"/>
        <n v="2.0699999999999998"/>
        <n v="0.13671288014311272"/>
        <n v="0.15836316446581122"/>
        <n v="4.8543689320388328E-3"/>
        <n v="1939.49"/>
        <n v="2249"/>
        <n v="2.08"/>
        <n v="0.13762116496220542"/>
        <n v="0.15958318939515026"/>
        <n v="4.8309178743961567E-3"/>
        <n v="1948.67"/>
        <n v="2262"/>
        <n v="2.09"/>
        <n v="0.13851900972590625"/>
        <n v="0.16079171948046611"/>
        <n v="4.8076923076922906E-3"/>
        <n v="1957.85"/>
        <n v="2275"/>
        <n v="2.1"/>
        <n v="0.13940659340659345"/>
        <n v="0.16198891641341273"/>
        <n v="4.784688995215447E-3"/>
        <n v="1967.03"/>
        <n v="2288"/>
        <n v="2.11"/>
        <n v="0.14028409090909091"/>
        <n v="0.16317493886722623"/>
        <n v="4.761904761904745E-3"/>
        <n v="1976.21"/>
        <n v="2301"/>
        <n v="2.12"/>
        <n v="0.14115167318557148"/>
        <n v="0.16434994256683244"/>
        <n v="4.7393364928911552E-3"/>
        <n v="1985.39"/>
        <n v="2.13"/>
        <n v="0.13716210343328983"/>
        <n v="0.15896624844488985"/>
        <n v="4.7169811320753041E-3"/>
        <n v="-4.6948356807510194E-3"/>
        <n v="1963.21"/>
        <n v="0.14195367132867132"/>
        <n v="0.16543823635780175"/>
        <n v="-4.7169811320755262E-3"/>
        <n v="1950.21"/>
        <n v="0.14276483516483515"/>
        <n v="0.16654103917014063"/>
        <n v="-4.7393364928909332E-3"/>
        <n v="1937.21"/>
        <n v="0.14358532272325375"/>
        <n v="0.16765864310012851"/>
        <n v="-4.761904761904856E-3"/>
        <n v="1924.21"/>
        <n v="0.14441529568697198"/>
        <n v="0.16879134813767727"/>
        <n v="-4.7846889952152249E-3"/>
      </sharedItems>
    </cacheField>
    <cacheField name="ДТ-З-К5 (зимний)" numFmtId="0">
      <sharedItems containsMixedTypes="1" containsNumber="1" minValue="-6.0240963855421326E-3" maxValue="1824" count="128">
        <n v="1549.16"/>
        <n v="1656"/>
        <n v="1.66"/>
        <n v="6.4516908212560342E-2"/>
        <n v="6.896640760153884E-2"/>
        <e v="#DIV/0!"/>
        <n v="1540.01"/>
        <n v="1644"/>
        <n v="1.65"/>
        <n v="6.3254257907542591E-2"/>
        <n v="6.7525535548470475E-2"/>
        <n v="-6.0240963855421326E-3"/>
        <n v="6.0606060606060996E-3"/>
        <n v="1558.31"/>
        <n v="1668"/>
        <n v="1.67"/>
        <n v="6.5761390887290203E-2"/>
        <n v="7.0390358786120905E-2"/>
        <n v="6.0240963855422436E-3"/>
        <n v="1567.46"/>
        <n v="1680"/>
        <n v="1.68"/>
        <n v="6.6988095238095222E-2"/>
        <n v="7.1797685427379299E-2"/>
        <n v="5.9880239520957446E-3"/>
        <n v="1576.61"/>
        <n v="1.69"/>
        <n v="6.1541666666666724E-2"/>
        <n v="6.5577409758913185E-2"/>
        <n v="5.9523809523809312E-3"/>
        <n v="1585.76"/>
        <n v="1704"/>
        <n v="1.7"/>
        <n v="6.9389671361502356E-2"/>
        <n v="7.4563616184037937E-2"/>
        <n v="5.9171597633136397E-3"/>
        <n v="1594.91"/>
        <n v="1.71"/>
        <n v="6.4019953051643139E-2"/>
        <n v="6.8398843821908389E-2"/>
        <n v="5.8823529411764497E-3"/>
        <n v="1604.06"/>
        <n v="1716"/>
        <n v="1.72"/>
        <n v="6.5233100233100264E-2"/>
        <n v="6.9785419498023804E-2"/>
        <n v="5.8479532163742132E-3"/>
        <n v="1613.21"/>
        <n v="1728"/>
        <n v="1.73"/>
        <n v="6.6429398148148133E-2"/>
        <n v="7.1156266078191907E-2"/>
        <n v="5.8139534883721034E-3"/>
        <n v="1622.36"/>
        <n v="1740"/>
        <n v="1.74"/>
        <n v="6.7609195402298913E-2"/>
        <n v="7.2511649695505373E-2"/>
        <n v="5.7803468208093012E-3"/>
        <n v="1631.51"/>
        <n v="1752"/>
        <n v="1.75"/>
        <n v="6.8772831050228314E-2"/>
        <n v="7.3851830512837807E-2"/>
        <n v="5.7471264367816577E-3"/>
        <n v="1640.66"/>
        <n v="1764"/>
        <n v="1.76"/>
        <n v="6.9920634920634869E-2"/>
        <n v="7.5177062889324978E-2"/>
        <n v="5.7142857142857828E-3"/>
        <n v="1649.81"/>
        <n v="1.77"/>
        <n v="6.4733560090702982E-2"/>
        <n v="6.9214030706566246E-2"/>
        <n v="5.6818181818181213E-3"/>
        <n v="1658.96"/>
        <n v="1776"/>
        <n v="1.78"/>
        <n v="6.590090090090088E-2"/>
        <n v="7.0550224236871267E-2"/>
        <n v="5.6497175141243527E-3"/>
        <n v="1668.11"/>
        <n v="1788"/>
        <n v="1.79"/>
        <n v="6.7052572706935182E-2"/>
        <n v="7.1871759056657006E-2"/>
        <n v="5.6179775280897903E-3"/>
        <n v="1677.26"/>
        <n v="1800"/>
        <n v="1.8"/>
        <n v="6.8188888888888896E-2"/>
        <n v="7.3178875070054744E-2"/>
        <n v="5.5865921787709993E-3"/>
        <n v="1686.41"/>
        <n v="1812"/>
        <n v="1.81"/>
        <n v="6.9310154525386275E-2"/>
        <n v="7.4471806974579086E-2"/>
        <n v="5.5555555555555358E-3"/>
        <n v="1695.56"/>
        <n v="1824"/>
        <n v="1.82"/>
        <n v="7.0416666666666697E-2"/>
        <n v="7.5750784401613661E-2"/>
        <n v="5.5248618784531356E-3"/>
        <n v="1704.71"/>
        <n v="1.83"/>
        <n v="6.540021929824559E-2"/>
        <n v="6.9976711581441989E-2"/>
        <n v="5.494505494505475E-3"/>
        <n v="-5.464480874316946E-3"/>
        <n v="1683.56"/>
        <n v="7.0883002207505555E-2"/>
        <n v="7.6290717289553125E-2"/>
        <n v="-5.494505494505475E-3"/>
        <n v="1671.56"/>
        <n v="7.1355555555555589E-2"/>
        <n v="7.6838402450405643E-2"/>
        <n v="-5.5248618784530246E-3"/>
        <n v="1659.56"/>
        <n v="7.1834451901566024E-2"/>
        <n v="7.7394008050326632E-2"/>
        <n v="-5.5555555555555358E-3"/>
        <n v="1647.56"/>
        <n v="7.2319819819819844E-2"/>
        <n v="7.7957707154822919E-2"/>
        <n v="-5.5865921787709993E-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n v="1572.85"/>
    <m/>
    <x v="0"/>
    <x v="0"/>
    <n v="1737.76"/>
    <m/>
    <m/>
    <m/>
    <m/>
    <x v="0"/>
    <x v="0"/>
  </r>
  <r>
    <x v="1"/>
    <x v="1"/>
    <n v="1599"/>
    <m/>
    <x v="1"/>
    <x v="1"/>
    <n v="2041"/>
    <m/>
    <m/>
    <m/>
    <m/>
    <x v="1"/>
    <x v="1"/>
  </r>
  <r>
    <x v="1"/>
    <x v="2"/>
    <n v="1.48"/>
    <m/>
    <x v="2"/>
    <x v="2"/>
    <n v="1.88"/>
    <m/>
    <m/>
    <m/>
    <m/>
    <x v="2"/>
    <x v="2"/>
  </r>
  <r>
    <x v="1"/>
    <x v="3"/>
    <n v="1.6353971232020068E-2"/>
    <m/>
    <x v="3"/>
    <x v="3"/>
    <n v="0.14857422831945125"/>
    <m/>
    <m/>
    <m/>
    <m/>
    <x v="3"/>
    <x v="3"/>
  </r>
  <r>
    <x v="1"/>
    <x v="4"/>
    <n v="1.6625870235559712E-2"/>
    <m/>
    <x v="4"/>
    <x v="4"/>
    <n v="0.17450050639904247"/>
    <m/>
    <m/>
    <m/>
    <m/>
    <x v="4"/>
    <x v="4"/>
  </r>
  <r>
    <x v="1"/>
    <x v="5"/>
    <e v="#DIV/0!"/>
    <m/>
    <x v="5"/>
    <x v="5"/>
    <e v="#DIV/0!"/>
    <m/>
    <m/>
    <m/>
    <m/>
    <x v="5"/>
    <x v="5"/>
  </r>
  <r>
    <x v="2"/>
    <x v="0"/>
    <n v="1562.43"/>
    <m/>
    <x v="6"/>
    <x v="6"/>
    <n v="1728.68"/>
    <m/>
    <m/>
    <m/>
    <m/>
    <x v="6"/>
    <x v="6"/>
  </r>
  <r>
    <x v="1"/>
    <x v="1"/>
    <n v="1586"/>
    <m/>
    <x v="7"/>
    <x v="7"/>
    <n v="2028"/>
    <m/>
    <m/>
    <m/>
    <m/>
    <x v="7"/>
    <x v="7"/>
  </r>
  <r>
    <x v="1"/>
    <x v="2"/>
    <n v="1.47"/>
    <m/>
    <x v="8"/>
    <x v="8"/>
    <n v="1.87"/>
    <m/>
    <m/>
    <m/>
    <m/>
    <x v="8"/>
    <x v="8"/>
  </r>
  <r>
    <x v="1"/>
    <x v="3"/>
    <n v="1.4861286254728838E-2"/>
    <m/>
    <x v="9"/>
    <x v="9"/>
    <n v="0.14759368836291911"/>
    <m/>
    <m/>
    <m/>
    <m/>
    <x v="9"/>
    <x v="9"/>
  </r>
  <r>
    <x v="1"/>
    <x v="4"/>
    <n v="1.5085475829317112E-2"/>
    <m/>
    <x v="10"/>
    <x v="10"/>
    <n v="0.17314945507554894"/>
    <m/>
    <m/>
    <m/>
    <m/>
    <x v="10"/>
    <x v="10"/>
  </r>
  <r>
    <x v="1"/>
    <x v="5"/>
    <n v="-6.7567567567567988E-3"/>
    <m/>
    <x v="11"/>
    <x v="11"/>
    <n v="-5.3191489361701372E-3"/>
    <m/>
    <m/>
    <m/>
    <m/>
    <x v="11"/>
    <x v="11"/>
  </r>
  <r>
    <x v="3"/>
    <x v="0"/>
    <n v="1572.85"/>
    <m/>
    <x v="0"/>
    <x v="0"/>
    <n v="1737.76"/>
    <m/>
    <m/>
    <m/>
    <m/>
    <x v="0"/>
    <x v="0"/>
  </r>
  <r>
    <x v="1"/>
    <x v="1"/>
    <n v="1599"/>
    <m/>
    <x v="1"/>
    <x v="1"/>
    <n v="2041"/>
    <m/>
    <m/>
    <m/>
    <m/>
    <x v="1"/>
    <x v="1"/>
  </r>
  <r>
    <x v="1"/>
    <x v="2"/>
    <n v="1.48"/>
    <m/>
    <x v="2"/>
    <x v="2"/>
    <n v="1.88"/>
    <m/>
    <m/>
    <m/>
    <m/>
    <x v="2"/>
    <x v="2"/>
  </r>
  <r>
    <x v="1"/>
    <x v="3"/>
    <n v="1.6353971232020068E-2"/>
    <m/>
    <x v="3"/>
    <x v="3"/>
    <n v="0.14857422831945125"/>
    <m/>
    <m/>
    <m/>
    <m/>
    <x v="3"/>
    <x v="3"/>
  </r>
  <r>
    <x v="1"/>
    <x v="4"/>
    <n v="1.6625870235559712E-2"/>
    <m/>
    <x v="4"/>
    <x v="4"/>
    <n v="0.17450050639904247"/>
    <m/>
    <m/>
    <m/>
    <m/>
    <x v="4"/>
    <x v="4"/>
  </r>
  <r>
    <x v="1"/>
    <x v="5"/>
    <n v="6.8027210884353817E-3"/>
    <m/>
    <x v="12"/>
    <x v="12"/>
    <n v="5.3475935828874999E-3"/>
    <m/>
    <m/>
    <m/>
    <m/>
    <x v="12"/>
    <x v="12"/>
  </r>
  <r>
    <x v="4"/>
    <x v="0"/>
    <n v="1583.27"/>
    <m/>
    <x v="13"/>
    <x v="13"/>
    <n v="1746.84"/>
    <m/>
    <m/>
    <m/>
    <m/>
    <x v="13"/>
    <x v="13"/>
  </r>
  <r>
    <x v="1"/>
    <x v="1"/>
    <n v="1612"/>
    <m/>
    <x v="14"/>
    <x v="14"/>
    <n v="2041"/>
    <m/>
    <m/>
    <m/>
    <m/>
    <x v="14"/>
    <x v="14"/>
  </r>
  <r>
    <x v="1"/>
    <x v="2"/>
    <n v="1.49"/>
    <m/>
    <x v="15"/>
    <x v="15"/>
    <n v="1.89"/>
    <m/>
    <m/>
    <m/>
    <m/>
    <x v="15"/>
    <x v="15"/>
  </r>
  <r>
    <x v="1"/>
    <x v="3"/>
    <n v="1.78225806451613E-2"/>
    <m/>
    <x v="16"/>
    <x v="16"/>
    <n v="0.14412542871141601"/>
    <m/>
    <m/>
    <m/>
    <m/>
    <x v="16"/>
    <x v="16"/>
  </r>
  <r>
    <x v="1"/>
    <x v="4"/>
    <n v="1.8145988997454648E-2"/>
    <m/>
    <x v="17"/>
    <x v="17"/>
    <n v="0.16839550273636972"/>
    <m/>
    <m/>
    <m/>
    <m/>
    <x v="17"/>
    <x v="17"/>
  </r>
  <r>
    <x v="1"/>
    <x v="5"/>
    <n v="6.7567567567567988E-3"/>
    <m/>
    <x v="18"/>
    <x v="18"/>
    <n v="5.3191489361701372E-3"/>
    <m/>
    <m/>
    <m/>
    <m/>
    <x v="18"/>
    <x v="18"/>
  </r>
  <r>
    <x v="5"/>
    <x v="0"/>
    <n v="1593.69"/>
    <m/>
    <x v="19"/>
    <x v="19"/>
    <n v="1755.92"/>
    <m/>
    <m/>
    <m/>
    <m/>
    <x v="19"/>
    <x v="19"/>
  </r>
  <r>
    <x v="1"/>
    <x v="1"/>
    <n v="1625"/>
    <m/>
    <x v="20"/>
    <x v="20"/>
    <n v="2054"/>
    <m/>
    <m/>
    <m/>
    <m/>
    <x v="20"/>
    <x v="20"/>
  </r>
  <r>
    <x v="1"/>
    <x v="2"/>
    <n v="1.5"/>
    <m/>
    <x v="21"/>
    <x v="21"/>
    <n v="1.9"/>
    <m/>
    <m/>
    <m/>
    <m/>
    <x v="21"/>
    <x v="21"/>
  </r>
  <r>
    <x v="1"/>
    <x v="3"/>
    <n v="1.9267692307692274E-2"/>
    <m/>
    <x v="22"/>
    <x v="22"/>
    <n v="0.14512171372930863"/>
    <m/>
    <m/>
    <m/>
    <m/>
    <x v="22"/>
    <x v="22"/>
  </r>
  <r>
    <x v="1"/>
    <x v="4"/>
    <n v="1.9646229818848046E-2"/>
    <m/>
    <x v="23"/>
    <x v="23"/>
    <n v="0.16975716433550497"/>
    <m/>
    <m/>
    <m/>
    <m/>
    <x v="23"/>
    <x v="23"/>
  </r>
  <r>
    <x v="1"/>
    <x v="5"/>
    <n v="6.7114093959732557E-3"/>
    <m/>
    <x v="24"/>
    <x v="24"/>
    <n v="5.2910052910053462E-3"/>
    <m/>
    <m/>
    <m/>
    <m/>
    <x v="24"/>
    <x v="24"/>
  </r>
  <r>
    <x v="6"/>
    <x v="0"/>
    <n v="1604.11"/>
    <m/>
    <x v="25"/>
    <x v="25"/>
    <n v="1765"/>
    <m/>
    <m/>
    <m/>
    <m/>
    <x v="25"/>
    <x v="25"/>
  </r>
  <r>
    <x v="1"/>
    <x v="1"/>
    <n v="1638"/>
    <m/>
    <x v="20"/>
    <x v="20"/>
    <n v="2054"/>
    <m/>
    <m/>
    <m/>
    <m/>
    <x v="20"/>
    <x v="20"/>
  </r>
  <r>
    <x v="1"/>
    <x v="2"/>
    <n v="1.51"/>
    <m/>
    <x v="26"/>
    <x v="26"/>
    <n v="1.91"/>
    <m/>
    <m/>
    <m/>
    <m/>
    <x v="26"/>
    <x v="26"/>
  </r>
  <r>
    <x v="1"/>
    <x v="3"/>
    <n v="2.068986568986575E-2"/>
    <m/>
    <x v="27"/>
    <x v="27"/>
    <n v="0.14070107108081792"/>
    <m/>
    <m/>
    <m/>
    <m/>
    <x v="27"/>
    <x v="27"/>
  </r>
  <r>
    <x v="1"/>
    <x v="4"/>
    <n v="2.1126980069945393E-2"/>
    <m/>
    <x v="28"/>
    <x v="28"/>
    <n v="0.16373937677053824"/>
    <m/>
    <m/>
    <m/>
    <m/>
    <x v="28"/>
    <x v="28"/>
  </r>
  <r>
    <x v="1"/>
    <x v="5"/>
    <n v="6.6666666666665986E-3"/>
    <m/>
    <x v="29"/>
    <x v="29"/>
    <n v="5.2631578947368585E-3"/>
    <m/>
    <m/>
    <m/>
    <m/>
    <x v="29"/>
    <x v="29"/>
  </r>
  <r>
    <x v="7"/>
    <x v="0"/>
    <n v="1614.53"/>
    <m/>
    <x v="30"/>
    <x v="30"/>
    <n v="1774.08"/>
    <m/>
    <m/>
    <m/>
    <m/>
    <x v="30"/>
    <x v="30"/>
  </r>
  <r>
    <x v="1"/>
    <x v="1"/>
    <n v="1651"/>
    <m/>
    <x v="31"/>
    <x v="31"/>
    <n v="2080"/>
    <m/>
    <m/>
    <m/>
    <m/>
    <x v="31"/>
    <x v="31"/>
  </r>
  <r>
    <x v="1"/>
    <x v="2"/>
    <n v="1.52"/>
    <m/>
    <x v="32"/>
    <x v="32"/>
    <n v="1.92"/>
    <m/>
    <m/>
    <m/>
    <m/>
    <x v="32"/>
    <x v="32"/>
  </r>
  <r>
    <x v="1"/>
    <x v="3"/>
    <n v="2.2089642640823758E-2"/>
    <m/>
    <x v="33"/>
    <x v="33"/>
    <n v="0.14707692307692311"/>
    <m/>
    <m/>
    <m/>
    <m/>
    <x v="33"/>
    <x v="33"/>
  </r>
  <r>
    <x v="1"/>
    <x v="4"/>
    <n v="2.2588617120772005E-2"/>
    <m/>
    <x v="34"/>
    <x v="34"/>
    <n v="0.17243867243867247"/>
    <m/>
    <m/>
    <m/>
    <m/>
    <x v="34"/>
    <x v="34"/>
  </r>
  <r>
    <x v="1"/>
    <x v="5"/>
    <n v="6.6225165562914245E-3"/>
    <m/>
    <x v="35"/>
    <x v="35"/>
    <n v="5.2356020942407877E-3"/>
    <m/>
    <m/>
    <m/>
    <m/>
    <x v="35"/>
    <x v="35"/>
  </r>
  <r>
    <x v="8"/>
    <x v="0"/>
    <n v="1624.95"/>
    <m/>
    <x v="36"/>
    <x v="36"/>
    <n v="1783.16"/>
    <m/>
    <m/>
    <m/>
    <m/>
    <x v="36"/>
    <x v="36"/>
  </r>
  <r>
    <x v="1"/>
    <x v="1"/>
    <n v="1651"/>
    <m/>
    <x v="37"/>
    <x v="31"/>
    <n v="2093"/>
    <m/>
    <m/>
    <m/>
    <m/>
    <x v="31"/>
    <x v="31"/>
  </r>
  <r>
    <x v="1"/>
    <x v="2"/>
    <n v="1.53"/>
    <m/>
    <x v="38"/>
    <x v="37"/>
    <n v="1.93"/>
    <m/>
    <m/>
    <m/>
    <m/>
    <x v="37"/>
    <x v="37"/>
  </r>
  <r>
    <x v="1"/>
    <x v="3"/>
    <n v="1.5778316172016933E-2"/>
    <m/>
    <x v="39"/>
    <x v="38"/>
    <n v="0.14803631151457233"/>
    <m/>
    <m/>
    <m/>
    <m/>
    <x v="38"/>
    <x v="38"/>
  </r>
  <r>
    <x v="1"/>
    <x v="4"/>
    <n v="1.6031262500384599E-2"/>
    <m/>
    <x v="40"/>
    <x v="39"/>
    <n v="0.17375894479463419"/>
    <m/>
    <m/>
    <m/>
    <m/>
    <x v="39"/>
    <x v="39"/>
  </r>
  <r>
    <x v="1"/>
    <x v="5"/>
    <n v="6.5789473684210176E-3"/>
    <m/>
    <x v="41"/>
    <x v="40"/>
    <n v="5.2083333333332593E-3"/>
    <m/>
    <m/>
    <m/>
    <m/>
    <x v="40"/>
    <x v="40"/>
  </r>
  <r>
    <x v="9"/>
    <x v="0"/>
    <n v="1635.37"/>
    <m/>
    <x v="42"/>
    <x v="41"/>
    <n v="1792.24"/>
    <m/>
    <m/>
    <m/>
    <m/>
    <x v="41"/>
    <x v="41"/>
  </r>
  <r>
    <x v="1"/>
    <x v="1"/>
    <n v="1664"/>
    <m/>
    <x v="43"/>
    <x v="42"/>
    <n v="2106"/>
    <m/>
    <m/>
    <m/>
    <m/>
    <x v="42"/>
    <x v="42"/>
  </r>
  <r>
    <x v="1"/>
    <x v="2"/>
    <n v="1.54"/>
    <m/>
    <x v="44"/>
    <x v="43"/>
    <n v="1.94"/>
    <m/>
    <m/>
    <m/>
    <m/>
    <x v="43"/>
    <x v="43"/>
  </r>
  <r>
    <x v="1"/>
    <x v="3"/>
    <n v="1.7205528846153912E-2"/>
    <m/>
    <x v="45"/>
    <x v="44"/>
    <n v="0.1489838556505223"/>
    <m/>
    <m/>
    <m/>
    <m/>
    <x v="44"/>
    <x v="44"/>
  </r>
  <r>
    <x v="1"/>
    <x v="4"/>
    <n v="1.7506741593645542E-2"/>
    <m/>
    <x v="46"/>
    <x v="45"/>
    <n v="0.17506583939650938"/>
    <m/>
    <m/>
    <m/>
    <m/>
    <x v="45"/>
    <x v="45"/>
  </r>
  <r>
    <x v="1"/>
    <x v="5"/>
    <n v="6.5359477124182774E-3"/>
    <m/>
    <x v="47"/>
    <x v="46"/>
    <n v="5.1813471502590858E-3"/>
    <m/>
    <m/>
    <m/>
    <m/>
    <x v="46"/>
    <x v="46"/>
  </r>
  <r>
    <x v="10"/>
    <x v="0"/>
    <n v="1645.79"/>
    <m/>
    <x v="48"/>
    <x v="47"/>
    <n v="1801.32"/>
    <m/>
    <m/>
    <m/>
    <m/>
    <x v="47"/>
    <x v="47"/>
  </r>
  <r>
    <x v="1"/>
    <x v="1"/>
    <n v="1677"/>
    <m/>
    <x v="49"/>
    <x v="48"/>
    <n v="2106"/>
    <m/>
    <m/>
    <m/>
    <m/>
    <x v="48"/>
    <x v="48"/>
  </r>
  <r>
    <x v="1"/>
    <x v="2"/>
    <n v="1.55"/>
    <m/>
    <x v="50"/>
    <x v="49"/>
    <n v="1.95"/>
    <m/>
    <m/>
    <m/>
    <m/>
    <x v="49"/>
    <x v="49"/>
  </r>
  <r>
    <x v="1"/>
    <x v="3"/>
    <n v="1.8610614192009562E-2"/>
    <m/>
    <x v="51"/>
    <x v="50"/>
    <n v="0.14467236467236469"/>
    <m/>
    <m/>
    <m/>
    <m/>
    <x v="50"/>
    <x v="50"/>
  </r>
  <r>
    <x v="1"/>
    <x v="4"/>
    <n v="1.8963537267816695E-2"/>
    <m/>
    <x v="52"/>
    <x v="51"/>
    <n v="0.16914262873892483"/>
    <m/>
    <m/>
    <m/>
    <m/>
    <x v="51"/>
    <x v="51"/>
  </r>
  <r>
    <x v="1"/>
    <x v="5"/>
    <n v="6.4935064935065512E-3"/>
    <m/>
    <x v="53"/>
    <x v="52"/>
    <n v="5.1546391752577136E-3"/>
    <m/>
    <m/>
    <m/>
    <m/>
    <x v="52"/>
    <x v="52"/>
  </r>
  <r>
    <x v="11"/>
    <x v="0"/>
    <n v="1656.21"/>
    <m/>
    <x v="54"/>
    <x v="53"/>
    <n v="1810.4"/>
    <m/>
    <m/>
    <m/>
    <m/>
    <x v="53"/>
    <x v="53"/>
  </r>
  <r>
    <x v="1"/>
    <x v="1"/>
    <n v="1690"/>
    <m/>
    <x v="55"/>
    <x v="54"/>
    <n v="2119"/>
    <m/>
    <m/>
    <m/>
    <m/>
    <x v="54"/>
    <x v="54"/>
  </r>
  <r>
    <x v="1"/>
    <x v="2"/>
    <n v="1.56"/>
    <m/>
    <x v="56"/>
    <x v="55"/>
    <n v="1.96"/>
    <m/>
    <m/>
    <m/>
    <m/>
    <x v="55"/>
    <x v="55"/>
  </r>
  <r>
    <x v="1"/>
    <x v="3"/>
    <n v="1.9994082840236665E-2"/>
    <m/>
    <x v="57"/>
    <x v="56"/>
    <n v="0.14563473336479468"/>
    <m/>
    <m/>
    <m/>
    <m/>
    <x v="56"/>
    <x v="56"/>
  </r>
  <r>
    <x v="1"/>
    <x v="4"/>
    <n v="2.0402002161561614E-2"/>
    <m/>
    <x v="58"/>
    <x v="57"/>
    <n v="0.17045956694653108"/>
    <m/>
    <m/>
    <m/>
    <m/>
    <x v="57"/>
    <x v="57"/>
  </r>
  <r>
    <x v="1"/>
    <x v="5"/>
    <n v="6.4516129032257119E-3"/>
    <m/>
    <x v="59"/>
    <x v="58"/>
    <n v="5.12820512820511E-3"/>
    <m/>
    <m/>
    <m/>
    <m/>
    <x v="58"/>
    <x v="58"/>
  </r>
  <r>
    <x v="12"/>
    <x v="0"/>
    <n v="1666.63"/>
    <m/>
    <x v="60"/>
    <x v="59"/>
    <n v="1819.48"/>
    <m/>
    <m/>
    <m/>
    <m/>
    <x v="59"/>
    <x v="59"/>
  </r>
  <r>
    <x v="1"/>
    <x v="1"/>
    <n v="1703"/>
    <m/>
    <x v="55"/>
    <x v="60"/>
    <n v="2132"/>
    <m/>
    <m/>
    <m/>
    <m/>
    <x v="60"/>
    <x v="60"/>
  </r>
  <r>
    <x v="1"/>
    <x v="2"/>
    <n v="1.57"/>
    <m/>
    <x v="61"/>
    <x v="61"/>
    <n v="1.97"/>
    <m/>
    <m/>
    <m/>
    <m/>
    <x v="61"/>
    <x v="61"/>
  </r>
  <r>
    <x v="1"/>
    <x v="3"/>
    <n v="2.1356429829712208E-2"/>
    <m/>
    <x v="62"/>
    <x v="62"/>
    <n v="0.14658536585365853"/>
    <m/>
    <m/>
    <m/>
    <m/>
    <x v="62"/>
    <x v="62"/>
  </r>
  <r>
    <x v="1"/>
    <x v="4"/>
    <n v="2.1822480094562013E-2"/>
    <m/>
    <x v="63"/>
    <x v="63"/>
    <n v="0.17176336096027436"/>
    <m/>
    <m/>
    <m/>
    <m/>
    <x v="63"/>
    <x v="63"/>
  </r>
  <r>
    <x v="1"/>
    <x v="5"/>
    <n v="6.4102564102563875E-3"/>
    <m/>
    <x v="64"/>
    <x v="64"/>
    <n v="5.1020408163264808E-3"/>
    <m/>
    <m/>
    <m/>
    <m/>
    <x v="64"/>
    <x v="64"/>
  </r>
  <r>
    <x v="13"/>
    <x v="0"/>
    <n v="1677.05"/>
    <m/>
    <x v="65"/>
    <x v="65"/>
    <n v="1828.56"/>
    <m/>
    <m/>
    <m/>
    <m/>
    <x v="65"/>
    <x v="65"/>
  </r>
  <r>
    <x v="1"/>
    <x v="1"/>
    <n v="1716"/>
    <m/>
    <x v="66"/>
    <x v="66"/>
    <n v="2145"/>
    <m/>
    <m/>
    <m/>
    <m/>
    <x v="66"/>
    <x v="66"/>
  </r>
  <r>
    <x v="1"/>
    <x v="2"/>
    <n v="1.58"/>
    <m/>
    <x v="67"/>
    <x v="67"/>
    <n v="1.98"/>
    <m/>
    <m/>
    <m/>
    <m/>
    <x v="67"/>
    <x v="67"/>
  </r>
  <r>
    <x v="1"/>
    <x v="3"/>
    <n v="2.2698135198135225E-2"/>
    <m/>
    <x v="68"/>
    <x v="68"/>
    <n v="0.14752447552447556"/>
    <m/>
    <m/>
    <m/>
    <m/>
    <x v="68"/>
    <x v="68"/>
  </r>
  <r>
    <x v="1"/>
    <x v="4"/>
    <n v="2.322530634149253E-2"/>
    <m/>
    <x v="69"/>
    <x v="69"/>
    <n v="0.17305420658879123"/>
    <m/>
    <m/>
    <m/>
    <m/>
    <x v="69"/>
    <x v="69"/>
  </r>
  <r>
    <x v="1"/>
    <x v="5"/>
    <n v="6.3694267515923553E-3"/>
    <m/>
    <x v="70"/>
    <x v="70"/>
    <n v="5.0761421319795996E-3"/>
    <m/>
    <m/>
    <m/>
    <m/>
    <x v="70"/>
    <x v="70"/>
  </r>
  <r>
    <x v="14"/>
    <x v="0"/>
    <n v="1687.47"/>
    <m/>
    <x v="71"/>
    <x v="71"/>
    <n v="1827.64"/>
    <m/>
    <m/>
    <m/>
    <m/>
    <x v="71"/>
    <x v="71"/>
  </r>
  <r>
    <x v="1"/>
    <x v="1"/>
    <n v="1716"/>
    <m/>
    <x v="72"/>
    <x v="66"/>
    <n v="2158"/>
    <m/>
    <m/>
    <m/>
    <m/>
    <x v="66"/>
    <x v="66"/>
  </r>
  <r>
    <x v="1"/>
    <x v="2"/>
    <n v="1.59"/>
    <m/>
    <x v="73"/>
    <x v="72"/>
    <n v="1.99"/>
    <m/>
    <m/>
    <m/>
    <m/>
    <x v="72"/>
    <x v="72"/>
  </r>
  <r>
    <x v="1"/>
    <x v="3"/>
    <n v="1.6625874125874109E-2"/>
    <m/>
    <x v="74"/>
    <x v="73"/>
    <n v="0.15308619091751619"/>
    <m/>
    <m/>
    <m/>
    <m/>
    <x v="73"/>
    <x v="73"/>
  </r>
  <r>
    <x v="1"/>
    <x v="4"/>
    <n v="1.690696723497305E-2"/>
    <m/>
    <x v="75"/>
    <x v="74"/>
    <n v="0.18075769845264925"/>
    <m/>
    <m/>
    <m/>
    <m/>
    <x v="74"/>
    <x v="74"/>
  </r>
  <r>
    <x v="1"/>
    <x v="5"/>
    <n v="6.3291139240506666E-3"/>
    <m/>
    <x v="76"/>
    <x v="75"/>
    <n v="5.050505050504972E-3"/>
    <m/>
    <m/>
    <m/>
    <m/>
    <x v="75"/>
    <x v="75"/>
  </r>
  <r>
    <x v="15"/>
    <x v="0"/>
    <n v="1697.89"/>
    <m/>
    <x v="77"/>
    <x v="76"/>
    <n v="1846.72"/>
    <m/>
    <m/>
    <m/>
    <m/>
    <x v="76"/>
    <x v="76"/>
  </r>
  <r>
    <x v="1"/>
    <x v="1"/>
    <n v="1729"/>
    <m/>
    <x v="78"/>
    <x v="77"/>
    <n v="2171"/>
    <m/>
    <m/>
    <m/>
    <m/>
    <x v="77"/>
    <x v="77"/>
  </r>
  <r>
    <x v="1"/>
    <x v="2"/>
    <n v="1.6"/>
    <m/>
    <x v="79"/>
    <x v="78"/>
    <n v="2"/>
    <m/>
    <m/>
    <m/>
    <m/>
    <x v="78"/>
    <x v="78"/>
  </r>
  <r>
    <x v="1"/>
    <x v="3"/>
    <n v="1.7993059572006882E-2"/>
    <m/>
    <x v="80"/>
    <x v="79"/>
    <n v="0.1493689543988945"/>
    <m/>
    <m/>
    <m/>
    <m/>
    <x v="79"/>
    <x v="79"/>
  </r>
  <r>
    <x v="1"/>
    <x v="4"/>
    <n v="1.8322741755944082E-2"/>
    <m/>
    <x v="81"/>
    <x v="80"/>
    <n v="0.17559781666955465"/>
    <m/>
    <m/>
    <m/>
    <m/>
    <x v="80"/>
    <x v="80"/>
  </r>
  <r>
    <x v="1"/>
    <x v="5"/>
    <n v="6.2893081761006275E-3"/>
    <m/>
    <x v="82"/>
    <x v="81"/>
    <n v="5.0251256281406143E-3"/>
    <m/>
    <m/>
    <m/>
    <m/>
    <x v="81"/>
    <x v="81"/>
  </r>
  <r>
    <x v="16"/>
    <x v="0"/>
    <n v="1708.31"/>
    <m/>
    <x v="83"/>
    <x v="82"/>
    <n v="1855.8"/>
    <m/>
    <m/>
    <m/>
    <m/>
    <x v="82"/>
    <x v="82"/>
  </r>
  <r>
    <x v="1"/>
    <x v="1"/>
    <n v="1742"/>
    <m/>
    <x v="84"/>
    <x v="83"/>
    <n v="2171"/>
    <m/>
    <m/>
    <m/>
    <m/>
    <x v="83"/>
    <x v="83"/>
  </r>
  <r>
    <x v="1"/>
    <x v="2"/>
    <n v="1.61"/>
    <m/>
    <x v="85"/>
    <x v="84"/>
    <n v="2.0099999999999998"/>
    <m/>
    <m/>
    <m/>
    <m/>
    <x v="84"/>
    <x v="84"/>
  </r>
  <r>
    <x v="1"/>
    <x v="3"/>
    <n v="1.9339839265212429E-2"/>
    <m/>
    <x v="86"/>
    <x v="85"/>
    <n v="0.14518654997696917"/>
    <m/>
    <m/>
    <m/>
    <m/>
    <x v="85"/>
    <x v="85"/>
  </r>
  <r>
    <x v="1"/>
    <x v="4"/>
    <n v="1.9721244973102105E-2"/>
    <m/>
    <x v="87"/>
    <x v="86"/>
    <n v="0.16984588856557822"/>
    <m/>
    <m/>
    <m/>
    <m/>
    <x v="86"/>
    <x v="86"/>
  </r>
  <r>
    <x v="1"/>
    <x v="5"/>
    <n v="6.2500000000000888E-3"/>
    <m/>
    <x v="88"/>
    <x v="87"/>
    <n v="4.9999999999998934E-3"/>
    <m/>
    <m/>
    <m/>
    <m/>
    <x v="87"/>
    <x v="87"/>
  </r>
  <r>
    <x v="17"/>
    <x v="0"/>
    <n v="1718.73"/>
    <m/>
    <x v="89"/>
    <x v="88"/>
    <n v="1864.88"/>
    <m/>
    <m/>
    <m/>
    <m/>
    <x v="88"/>
    <x v="88"/>
  </r>
  <r>
    <x v="1"/>
    <x v="1"/>
    <n v="1755"/>
    <m/>
    <x v="90"/>
    <x v="89"/>
    <n v="2184"/>
    <m/>
    <m/>
    <m/>
    <m/>
    <x v="89"/>
    <x v="89"/>
  </r>
  <r>
    <x v="1"/>
    <x v="2"/>
    <n v="1.62"/>
    <m/>
    <x v="91"/>
    <x v="90"/>
    <n v="2.02"/>
    <m/>
    <m/>
    <m/>
    <m/>
    <x v="90"/>
    <x v="90"/>
  </r>
  <r>
    <x v="1"/>
    <x v="3"/>
    <n v="2.0666666666666656E-2"/>
    <m/>
    <x v="92"/>
    <x v="91"/>
    <n v="0.14611721611721606"/>
    <m/>
    <m/>
    <m/>
    <m/>
    <x v="91"/>
    <x v="91"/>
  </r>
  <r>
    <x v="1"/>
    <x v="4"/>
    <n v="2.1102791014295429E-2"/>
    <m/>
    <x v="93"/>
    <x v="92"/>
    <n v="0.17112093003303155"/>
    <m/>
    <m/>
    <m/>
    <m/>
    <x v="92"/>
    <x v="92"/>
  </r>
  <r>
    <x v="1"/>
    <x v="5"/>
    <n v="6.2111801242235032E-3"/>
    <m/>
    <x v="94"/>
    <x v="93"/>
    <n v="4.9751243781095411E-3"/>
    <m/>
    <m/>
    <m/>
    <m/>
    <x v="93"/>
    <x v="93"/>
  </r>
  <r>
    <x v="18"/>
    <x v="0"/>
    <n v="1729.15"/>
    <m/>
    <x v="95"/>
    <x v="94"/>
    <n v="1873.96"/>
    <m/>
    <m/>
    <m/>
    <m/>
    <x v="94"/>
    <x v="94"/>
  </r>
  <r>
    <x v="1"/>
    <x v="1"/>
    <n v="1768"/>
    <m/>
    <x v="90"/>
    <x v="95"/>
    <n v="2197"/>
    <m/>
    <m/>
    <m/>
    <m/>
    <x v="95"/>
    <x v="95"/>
  </r>
  <r>
    <x v="1"/>
    <x v="2"/>
    <n v="1.63"/>
    <m/>
    <x v="96"/>
    <x v="96"/>
    <n v="2.0299999999999998"/>
    <m/>
    <m/>
    <m/>
    <m/>
    <x v="96"/>
    <x v="96"/>
  </r>
  <r>
    <x v="1"/>
    <x v="3"/>
    <n v="2.1973981900452438E-2"/>
    <m/>
    <x v="97"/>
    <x v="97"/>
    <n v="0.1470368684569868"/>
    <m/>
    <m/>
    <m/>
    <m/>
    <x v="97"/>
    <x v="97"/>
  </r>
  <r>
    <x v="1"/>
    <x v="4"/>
    <n v="2.2467686435531854E-2"/>
    <m/>
    <x v="98"/>
    <x v="98"/>
    <n v="0.17238361544536701"/>
    <m/>
    <m/>
    <m/>
    <m/>
    <x v="98"/>
    <x v="98"/>
  </r>
  <r>
    <x v="1"/>
    <x v="5"/>
    <n v="6.1728395061726449E-3"/>
    <m/>
    <x v="99"/>
    <x v="99"/>
    <n v="4.9504950495049549E-3"/>
    <m/>
    <m/>
    <m/>
    <m/>
    <x v="99"/>
    <x v="99"/>
  </r>
  <r>
    <x v="19"/>
    <x v="0"/>
    <n v="1739.57"/>
    <m/>
    <x v="100"/>
    <x v="100"/>
    <n v="1883.04"/>
    <m/>
    <m/>
    <m/>
    <m/>
    <x v="100"/>
    <x v="100"/>
  </r>
  <r>
    <x v="1"/>
    <x v="1"/>
    <n v="1781"/>
    <m/>
    <x v="101"/>
    <x v="101"/>
    <n v="2210"/>
    <m/>
    <m/>
    <m/>
    <m/>
    <x v="101"/>
    <x v="101"/>
  </r>
  <r>
    <x v="1"/>
    <x v="2"/>
    <n v="1.64"/>
    <m/>
    <x v="102"/>
    <x v="102"/>
    <n v="2.04"/>
    <m/>
    <m/>
    <m/>
    <m/>
    <x v="102"/>
    <x v="102"/>
  </r>
  <r>
    <x v="1"/>
    <x v="3"/>
    <n v="2.3262212240314467E-2"/>
    <m/>
    <x v="103"/>
    <x v="103"/>
    <n v="0.14794570135746607"/>
    <m/>
    <m/>
    <m/>
    <m/>
    <x v="103"/>
    <x v="103"/>
  </r>
  <r>
    <x v="1"/>
    <x v="4"/>
    <n v="2.3816230447754369E-2"/>
    <m/>
    <x v="104"/>
    <x v="104"/>
    <n v="0.17363412354490612"/>
    <m/>
    <m/>
    <m/>
    <m/>
    <x v="104"/>
    <x v="104"/>
  </r>
  <r>
    <x v="1"/>
    <x v="5"/>
    <n v="6.1349693251533388E-3"/>
    <m/>
    <x v="105"/>
    <x v="105"/>
    <n v="4.9261083743843415E-3"/>
    <m/>
    <m/>
    <m/>
    <m/>
    <x v="105"/>
    <x v="105"/>
  </r>
  <r>
    <x v="20"/>
    <x v="0"/>
    <n v="1749.99"/>
    <m/>
    <x v="106"/>
    <x v="106"/>
    <n v="1892.12"/>
    <m/>
    <m/>
    <m/>
    <m/>
    <x v="106"/>
    <x v="106"/>
  </r>
  <r>
    <x v="1"/>
    <x v="1"/>
    <n v="1781"/>
    <m/>
    <x v="107"/>
    <x v="101"/>
    <n v="2223"/>
    <m/>
    <m/>
    <m/>
    <m/>
    <x v="101"/>
    <x v="101"/>
  </r>
  <r>
    <x v="1"/>
    <x v="2"/>
    <n v="1.65"/>
    <m/>
    <x v="108"/>
    <x v="107"/>
    <n v="2.0499999999999998"/>
    <m/>
    <m/>
    <m/>
    <m/>
    <x v="107"/>
    <x v="107"/>
  </r>
  <r>
    <x v="1"/>
    <x v="3"/>
    <n v="1.7411566535654122E-2"/>
    <m/>
    <x v="109"/>
    <x v="108"/>
    <n v="0.14884390463337838"/>
    <m/>
    <m/>
    <m/>
    <m/>
    <x v="108"/>
    <x v="108"/>
  </r>
  <r>
    <x v="1"/>
    <x v="4"/>
    <n v="1.7720101257721468E-2"/>
    <m/>
    <x v="110"/>
    <x v="109"/>
    <n v="0.17487262964294026"/>
    <m/>
    <m/>
    <m/>
    <m/>
    <x v="109"/>
    <x v="109"/>
  </r>
  <r>
    <x v="1"/>
    <x v="5"/>
    <n v="6.0975609756097615E-3"/>
    <m/>
    <x v="111"/>
    <x v="110"/>
    <n v="4.9019607843137081E-3"/>
    <m/>
    <m/>
    <m/>
    <m/>
    <x v="110"/>
    <x v="110"/>
  </r>
  <r>
    <x v="21"/>
    <x v="0"/>
    <n v="1739.57"/>
    <m/>
    <x v="100"/>
    <x v="100"/>
    <n v="1883.04"/>
    <m/>
    <m/>
    <m/>
    <m/>
    <x v="100"/>
    <x v="100"/>
  </r>
  <r>
    <x v="1"/>
    <x v="1"/>
    <n v="1781"/>
    <m/>
    <x v="101"/>
    <x v="101"/>
    <n v="2210"/>
    <m/>
    <m/>
    <m/>
    <m/>
    <x v="101"/>
    <x v="101"/>
  </r>
  <r>
    <x v="1"/>
    <x v="2"/>
    <n v="1.64"/>
    <m/>
    <x v="102"/>
    <x v="102"/>
    <n v="2.04"/>
    <m/>
    <m/>
    <m/>
    <m/>
    <x v="102"/>
    <x v="102"/>
  </r>
  <r>
    <x v="1"/>
    <x v="3"/>
    <n v="2.3262212240314467E-2"/>
    <m/>
    <x v="103"/>
    <x v="103"/>
    <n v="0.14794570135746607"/>
    <m/>
    <m/>
    <m/>
    <m/>
    <x v="103"/>
    <x v="103"/>
  </r>
  <r>
    <x v="1"/>
    <x v="4"/>
    <n v="2.3816230447754369E-2"/>
    <m/>
    <x v="104"/>
    <x v="104"/>
    <n v="0.17363412354490612"/>
    <m/>
    <m/>
    <m/>
    <m/>
    <x v="104"/>
    <x v="104"/>
  </r>
  <r>
    <x v="1"/>
    <x v="5"/>
    <n v="-6.0606060606060996E-3"/>
    <m/>
    <x v="112"/>
    <x v="111"/>
    <n v="-4.8780487804876982E-3"/>
    <m/>
    <m/>
    <m/>
    <m/>
    <x v="111"/>
    <x v="111"/>
  </r>
  <r>
    <x v="22"/>
    <x v="0"/>
    <n v="1726.57"/>
    <m/>
    <x v="113"/>
    <x v="112"/>
    <n v="1870.04"/>
    <m/>
    <m/>
    <m/>
    <m/>
    <x v="112"/>
    <x v="112"/>
  </r>
  <r>
    <x v="1"/>
    <x v="1"/>
    <n v="1798"/>
    <m/>
    <x v="90"/>
    <x v="95"/>
    <n v="2197"/>
    <m/>
    <m/>
    <m/>
    <m/>
    <x v="95"/>
    <x v="95"/>
  </r>
  <r>
    <x v="1"/>
    <x v="2"/>
    <n v="1.63"/>
    <m/>
    <x v="96"/>
    <x v="96"/>
    <n v="2.0299999999999998"/>
    <m/>
    <m/>
    <m/>
    <m/>
    <x v="96"/>
    <x v="96"/>
  </r>
  <r>
    <x v="1"/>
    <x v="3"/>
    <n v="3.9727474972191361E-2"/>
    <m/>
    <x v="114"/>
    <x v="113"/>
    <n v="0.14882111970869369"/>
    <m/>
    <m/>
    <m/>
    <m/>
    <x v="113"/>
    <x v="113"/>
  </r>
  <r>
    <x v="1"/>
    <x v="4"/>
    <n v="4.1371042008143351E-2"/>
    <m/>
    <x v="115"/>
    <x v="114"/>
    <n v="0.17484117986781034"/>
    <m/>
    <m/>
    <m/>
    <m/>
    <x v="114"/>
    <x v="114"/>
  </r>
  <r>
    <x v="1"/>
    <x v="5"/>
    <n v="-6.0975609756097615E-3"/>
    <m/>
    <x v="116"/>
    <x v="115"/>
    <n v="-4.9019607843138191E-3"/>
    <m/>
    <m/>
    <m/>
    <m/>
    <x v="115"/>
    <x v="115"/>
  </r>
  <r>
    <x v="23"/>
    <x v="0"/>
    <n v="1713.57"/>
    <m/>
    <x v="113"/>
    <x v="116"/>
    <n v="1857.04"/>
    <m/>
    <m/>
    <m/>
    <m/>
    <x v="116"/>
    <x v="116"/>
  </r>
  <r>
    <x v="1"/>
    <x v="1"/>
    <n v="1755"/>
    <m/>
    <x v="90"/>
    <x v="89"/>
    <n v="2184"/>
    <m/>
    <m/>
    <m/>
    <m/>
    <x v="89"/>
    <x v="89"/>
  </r>
  <r>
    <x v="1"/>
    <x v="2"/>
    <n v="1.62"/>
    <m/>
    <x v="91"/>
    <x v="90"/>
    <n v="2.02"/>
    <m/>
    <m/>
    <m/>
    <m/>
    <x v="90"/>
    <x v="90"/>
  </r>
  <r>
    <x v="1"/>
    <x v="3"/>
    <n v="2.3606837606837645E-2"/>
    <m/>
    <x v="114"/>
    <x v="117"/>
    <n v="0.14970695970695971"/>
    <m/>
    <m/>
    <m/>
    <m/>
    <x v="117"/>
    <x v="117"/>
  </r>
  <r>
    <x v="1"/>
    <x v="4"/>
    <n v="2.4177594145555807E-2"/>
    <m/>
    <x v="115"/>
    <x v="118"/>
    <n v="0.17606513591521994"/>
    <m/>
    <m/>
    <m/>
    <m/>
    <x v="118"/>
    <x v="118"/>
  </r>
  <r>
    <x v="1"/>
    <x v="5"/>
    <n v="-6.1349693251532278E-3"/>
    <m/>
    <x v="117"/>
    <x v="119"/>
    <n v="-4.9261083743841194E-3"/>
    <m/>
    <m/>
    <m/>
    <m/>
    <x v="119"/>
    <x v="119"/>
  </r>
  <r>
    <x v="24"/>
    <x v="0"/>
    <n v="1700.57"/>
    <m/>
    <x v="118"/>
    <x v="120"/>
    <n v="1844.04"/>
    <m/>
    <m/>
    <m/>
    <m/>
    <x v="120"/>
    <x v="120"/>
  </r>
  <r>
    <x v="1"/>
    <x v="1"/>
    <n v="1742"/>
    <m/>
    <x v="84"/>
    <x v="83"/>
    <n v="2171"/>
    <m/>
    <m/>
    <m/>
    <m/>
    <x v="83"/>
    <x v="83"/>
  </r>
  <r>
    <x v="1"/>
    <x v="2"/>
    <n v="1.61"/>
    <m/>
    <x v="85"/>
    <x v="84"/>
    <n v="2.0099999999999998"/>
    <m/>
    <m/>
    <m/>
    <m/>
    <x v="84"/>
    <x v="84"/>
  </r>
  <r>
    <x v="1"/>
    <x v="3"/>
    <n v="2.3783008036739415E-2"/>
    <m/>
    <x v="119"/>
    <x v="121"/>
    <n v="0.15060340856748045"/>
    <m/>
    <m/>
    <m/>
    <m/>
    <x v="121"/>
    <x v="121"/>
  </r>
  <r>
    <x v="1"/>
    <x v="4"/>
    <n v="2.4362419659290747E-2"/>
    <m/>
    <x v="120"/>
    <x v="122"/>
    <n v="0.17730634910305634"/>
    <m/>
    <m/>
    <m/>
    <m/>
    <x v="122"/>
    <x v="122"/>
  </r>
  <r>
    <x v="1"/>
    <x v="5"/>
    <n v="-6.1728395061728669E-3"/>
    <m/>
    <x v="121"/>
    <x v="123"/>
    <n v="-4.9504950495050659E-3"/>
    <m/>
    <m/>
    <m/>
    <m/>
    <x v="123"/>
    <x v="123"/>
  </r>
  <r>
    <x v="25"/>
    <x v="0"/>
    <n v="1687.57"/>
    <m/>
    <x v="122"/>
    <x v="124"/>
    <n v="1844.04"/>
    <m/>
    <m/>
    <m/>
    <m/>
    <x v="124"/>
    <x v="124"/>
  </r>
  <r>
    <x v="1"/>
    <x v="1"/>
    <n v="1729"/>
    <m/>
    <x v="78"/>
    <x v="77"/>
    <n v="2171"/>
    <m/>
    <m/>
    <m/>
    <m/>
    <x v="77"/>
    <x v="77"/>
  </r>
  <r>
    <x v="1"/>
    <x v="2"/>
    <n v="1.6"/>
    <m/>
    <x v="79"/>
    <x v="78"/>
    <n v="2"/>
    <m/>
    <m/>
    <m/>
    <m/>
    <x v="78"/>
    <x v="78"/>
  </r>
  <r>
    <x v="1"/>
    <x v="3"/>
    <n v="2.3961827646038211E-2"/>
    <m/>
    <x v="123"/>
    <x v="125"/>
    <n v="0.15060340856748045"/>
    <m/>
    <m/>
    <m/>
    <m/>
    <x v="125"/>
    <x v="125"/>
  </r>
  <r>
    <x v="1"/>
    <x v="4"/>
    <n v="2.4550092736893916E-2"/>
    <m/>
    <x v="124"/>
    <x v="126"/>
    <n v="0.17730634910305634"/>
    <m/>
    <m/>
    <m/>
    <m/>
    <x v="126"/>
    <x v="126"/>
  </r>
  <r>
    <x v="1"/>
    <x v="5"/>
    <n v="-6.2111801242236142E-3"/>
    <m/>
    <x v="125"/>
    <x v="127"/>
    <n v="-4.9751243781093191E-3"/>
    <m/>
    <m/>
    <m/>
    <m/>
    <x v="127"/>
    <x v="1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dataOnRows="1" applyNumberFormats="0" applyBorderFormats="0" applyFontFormats="0" applyPatternFormats="0" applyAlignmentFormats="0" applyWidthHeightFormats="1" dataCaption="Данные" updatedVersion="4" showMemberPropertyTips="0" useAutoFormatting="1" itemPrintTitles="1" createdVersion="1" indent="0" compact="0" compactData="0" gridDropZones="1">
  <location ref="A3:G31" firstHeaderRow="2" firstDataRow="2" firstDataCol="1"/>
  <pivotFields count="13">
    <pivotField axis="axisRow" compact="0" outline="0" subtotalTop="0" showAll="0" includeNewItemsInFilter="1">
      <items count="2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27">
        <item x="11"/>
        <item x="125"/>
        <item x="121"/>
        <item x="117"/>
        <item x="116"/>
        <item x="112"/>
        <item x="111"/>
        <item x="105"/>
        <item x="99"/>
        <item x="94"/>
        <item x="88"/>
        <item x="82"/>
        <item x="76"/>
        <item x="70"/>
        <item x="64"/>
        <item x="59"/>
        <item x="53"/>
        <item x="47"/>
        <item x="41"/>
        <item x="35"/>
        <item x="29"/>
        <item x="24"/>
        <item x="18"/>
        <item x="12"/>
        <item x="27"/>
        <item x="62"/>
        <item x="33"/>
        <item x="97"/>
        <item x="9"/>
        <item x="68"/>
        <item x="39"/>
        <item x="103"/>
        <item x="114"/>
        <item x="3"/>
        <item x="74"/>
        <item x="119"/>
        <item x="28"/>
        <item x="45"/>
        <item x="109"/>
        <item x="123"/>
        <item x="16"/>
        <item x="80"/>
        <item x="63"/>
        <item x="51"/>
        <item x="34"/>
        <item x="98"/>
        <item x="86"/>
        <item x="10"/>
        <item x="22"/>
        <item x="69"/>
        <item x="57"/>
        <item x="40"/>
        <item x="104"/>
        <item x="92"/>
        <item x="115"/>
        <item x="4"/>
        <item x="75"/>
        <item x="120"/>
        <item x="46"/>
        <item x="110"/>
        <item x="124"/>
        <item x="17"/>
        <item x="81"/>
        <item x="52"/>
        <item x="87"/>
        <item x="23"/>
        <item x="58"/>
        <item x="93"/>
        <item x="8"/>
        <item x="2"/>
        <item x="15"/>
        <item x="21"/>
        <item x="26"/>
        <item x="32"/>
        <item x="38"/>
        <item x="44"/>
        <item x="50"/>
        <item x="56"/>
        <item x="61"/>
        <item x="67"/>
        <item x="73"/>
        <item x="79"/>
        <item x="85"/>
        <item x="91"/>
        <item x="96"/>
        <item x="102"/>
        <item x="108"/>
        <item x="6"/>
        <item x="0"/>
        <item x="13"/>
        <item x="19"/>
        <item x="25"/>
        <item x="30"/>
        <item x="36"/>
        <item x="42"/>
        <item x="48"/>
        <item x="54"/>
        <item x="60"/>
        <item x="7"/>
        <item x="65"/>
        <item x="1"/>
        <item x="71"/>
        <item x="14"/>
        <item x="77"/>
        <item x="122"/>
        <item x="83"/>
        <item x="20"/>
        <item x="118"/>
        <item x="89"/>
        <item x="31"/>
        <item x="113"/>
        <item x="95"/>
        <item x="37"/>
        <item x="100"/>
        <item x="106"/>
        <item x="43"/>
        <item x="49"/>
        <item x="55"/>
        <item x="66"/>
        <item x="72"/>
        <item x="78"/>
        <item x="84"/>
        <item x="90"/>
        <item x="101"/>
        <item x="107"/>
        <item x="5"/>
        <item t="default"/>
      </items>
    </pivotField>
    <pivotField compact="0" outline="0" subtotalTop="0" showAll="0" includeNewItemsInFilter="1">
      <items count="129">
        <item x="11"/>
        <item x="127"/>
        <item x="123"/>
        <item x="119"/>
        <item x="115"/>
        <item x="111"/>
        <item x="110"/>
        <item x="105"/>
        <item x="99"/>
        <item x="93"/>
        <item x="87"/>
        <item x="81"/>
        <item x="75"/>
        <item x="70"/>
        <item x="64"/>
        <item x="58"/>
        <item x="52"/>
        <item x="46"/>
        <item x="40"/>
        <item x="35"/>
        <item x="29"/>
        <item x="24"/>
        <item x="18"/>
        <item x="12"/>
        <item x="27"/>
        <item x="9"/>
        <item x="38"/>
        <item x="3"/>
        <item x="28"/>
        <item x="73"/>
        <item x="44"/>
        <item x="108"/>
        <item x="16"/>
        <item x="79"/>
        <item x="50"/>
        <item x="10"/>
        <item x="85"/>
        <item x="22"/>
        <item x="39"/>
        <item x="56"/>
        <item x="4"/>
        <item x="91"/>
        <item x="74"/>
        <item x="62"/>
        <item x="45"/>
        <item x="109"/>
        <item x="97"/>
        <item x="33"/>
        <item x="17"/>
        <item x="80"/>
        <item x="68"/>
        <item x="51"/>
        <item x="103"/>
        <item x="113"/>
        <item x="86"/>
        <item x="23"/>
        <item x="117"/>
        <item x="57"/>
        <item x="121"/>
        <item x="125"/>
        <item x="92"/>
        <item x="63"/>
        <item x="98"/>
        <item x="34"/>
        <item x="69"/>
        <item x="104"/>
        <item x="114"/>
        <item x="118"/>
        <item x="122"/>
        <item x="126"/>
        <item x="8"/>
        <item x="2"/>
        <item x="15"/>
        <item x="21"/>
        <item x="26"/>
        <item x="32"/>
        <item x="37"/>
        <item x="43"/>
        <item x="49"/>
        <item x="55"/>
        <item x="61"/>
        <item x="67"/>
        <item x="72"/>
        <item x="78"/>
        <item x="84"/>
        <item x="90"/>
        <item x="96"/>
        <item x="102"/>
        <item x="107"/>
        <item x="6"/>
        <item x="0"/>
        <item x="13"/>
        <item x="19"/>
        <item x="25"/>
        <item x="30"/>
        <item x="36"/>
        <item x="41"/>
        <item x="47"/>
        <item x="53"/>
        <item x="59"/>
        <item x="7"/>
        <item x="65"/>
        <item x="1"/>
        <item x="124"/>
        <item x="71"/>
        <item x="14"/>
        <item x="76"/>
        <item x="120"/>
        <item x="20"/>
        <item x="82"/>
        <item x="116"/>
        <item x="88"/>
        <item x="112"/>
        <item x="94"/>
        <item x="31"/>
        <item x="100"/>
        <item x="42"/>
        <item x="106"/>
        <item x="48"/>
        <item x="54"/>
        <item x="60"/>
        <item x="66"/>
        <item x="77"/>
        <item x="83"/>
        <item x="89"/>
        <item x="95"/>
        <item x="101"/>
        <item x="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29">
        <item x="11"/>
        <item x="127"/>
        <item x="123"/>
        <item x="119"/>
        <item x="115"/>
        <item x="111"/>
        <item x="110"/>
        <item x="105"/>
        <item x="99"/>
        <item x="93"/>
        <item x="87"/>
        <item x="81"/>
        <item x="75"/>
        <item x="70"/>
        <item x="64"/>
        <item x="58"/>
        <item x="52"/>
        <item x="46"/>
        <item x="40"/>
        <item x="35"/>
        <item x="29"/>
        <item x="24"/>
        <item x="18"/>
        <item x="12"/>
        <item x="27"/>
        <item x="9"/>
        <item x="38"/>
        <item x="3"/>
        <item x="73"/>
        <item x="108"/>
        <item x="44"/>
        <item x="79"/>
        <item x="16"/>
        <item x="50"/>
        <item x="85"/>
        <item x="22"/>
        <item x="56"/>
        <item x="91"/>
        <item x="62"/>
        <item x="97"/>
        <item x="33"/>
        <item x="68"/>
        <item x="103"/>
        <item x="113"/>
        <item x="117"/>
        <item x="121"/>
        <item x="125"/>
        <item x="28"/>
        <item x="10"/>
        <item x="39"/>
        <item x="4"/>
        <item x="74"/>
        <item x="109"/>
        <item x="45"/>
        <item x="80"/>
        <item x="17"/>
        <item x="51"/>
        <item x="86"/>
        <item x="23"/>
        <item x="57"/>
        <item x="92"/>
        <item x="63"/>
        <item x="98"/>
        <item x="34"/>
        <item x="69"/>
        <item x="104"/>
        <item x="114"/>
        <item x="118"/>
        <item x="122"/>
        <item x="126"/>
        <item x="8"/>
        <item x="2"/>
        <item x="15"/>
        <item x="21"/>
        <item x="26"/>
        <item x="32"/>
        <item x="37"/>
        <item x="43"/>
        <item x="49"/>
        <item x="55"/>
        <item x="61"/>
        <item x="67"/>
        <item x="72"/>
        <item x="78"/>
        <item x="84"/>
        <item x="90"/>
        <item x="96"/>
        <item x="102"/>
        <item x="107"/>
        <item x="6"/>
        <item x="0"/>
        <item x="13"/>
        <item x="19"/>
        <item x="25"/>
        <item x="30"/>
        <item x="36"/>
        <item x="41"/>
        <item x="47"/>
        <item x="53"/>
        <item x="59"/>
        <item x="65"/>
        <item x="124"/>
        <item x="71"/>
        <item x="120"/>
        <item x="76"/>
        <item x="82"/>
        <item x="116"/>
        <item x="88"/>
        <item x="112"/>
        <item x="94"/>
        <item x="100"/>
        <item x="106"/>
        <item x="7"/>
        <item x="1"/>
        <item x="14"/>
        <item x="20"/>
        <item x="31"/>
        <item x="42"/>
        <item x="48"/>
        <item x="54"/>
        <item x="60"/>
        <item x="66"/>
        <item x="77"/>
        <item x="83"/>
        <item x="89"/>
        <item x="95"/>
        <item x="101"/>
        <item x="5"/>
        <item t="default"/>
      </items>
    </pivotField>
    <pivotField compact="0" outline="0" subtotalTop="0" showAll="0" includeNewItemsInFilter="1">
      <items count="129">
        <item x="11"/>
        <item x="127"/>
        <item x="123"/>
        <item x="119"/>
        <item x="115"/>
        <item x="111"/>
        <item x="110"/>
        <item x="105"/>
        <item x="99"/>
        <item x="93"/>
        <item x="87"/>
        <item x="81"/>
        <item x="75"/>
        <item x="70"/>
        <item x="64"/>
        <item x="58"/>
        <item x="52"/>
        <item x="46"/>
        <item x="40"/>
        <item x="35"/>
        <item x="29"/>
        <item x="24"/>
        <item x="18"/>
        <item x="12"/>
        <item x="27"/>
        <item x="9"/>
        <item x="38"/>
        <item x="3"/>
        <item x="73"/>
        <item x="44"/>
        <item x="108"/>
        <item x="28"/>
        <item x="16"/>
        <item x="79"/>
        <item x="50"/>
        <item x="22"/>
        <item x="85"/>
        <item x="10"/>
        <item x="56"/>
        <item x="91"/>
        <item x="39"/>
        <item x="62"/>
        <item x="4"/>
        <item x="74"/>
        <item x="97"/>
        <item x="33"/>
        <item x="45"/>
        <item x="68"/>
        <item x="109"/>
        <item x="17"/>
        <item x="103"/>
        <item x="80"/>
        <item x="113"/>
        <item x="51"/>
        <item x="117"/>
        <item x="23"/>
        <item x="121"/>
        <item x="86"/>
        <item x="125"/>
        <item x="57"/>
        <item x="92"/>
        <item x="63"/>
        <item x="98"/>
        <item x="34"/>
        <item x="69"/>
        <item x="104"/>
        <item x="114"/>
        <item x="118"/>
        <item x="122"/>
        <item x="126"/>
        <item x="8"/>
        <item x="2"/>
        <item x="15"/>
        <item x="21"/>
        <item x="26"/>
        <item x="32"/>
        <item x="37"/>
        <item x="43"/>
        <item x="49"/>
        <item x="55"/>
        <item x="61"/>
        <item x="67"/>
        <item x="72"/>
        <item x="78"/>
        <item x="84"/>
        <item x="90"/>
        <item x="96"/>
        <item x="102"/>
        <item x="107"/>
        <item x="6"/>
        <item x="0"/>
        <item x="13"/>
        <item x="19"/>
        <item x="25"/>
        <item x="30"/>
        <item x="36"/>
        <item x="41"/>
        <item x="47"/>
        <item x="53"/>
        <item x="59"/>
        <item x="65"/>
        <item x="7"/>
        <item x="124"/>
        <item x="71"/>
        <item x="1"/>
        <item x="76"/>
        <item x="120"/>
        <item x="14"/>
        <item x="82"/>
        <item x="116"/>
        <item x="88"/>
        <item x="20"/>
        <item x="112"/>
        <item x="94"/>
        <item x="100"/>
        <item x="31"/>
        <item x="106"/>
        <item x="42"/>
        <item x="48"/>
        <item x="54"/>
        <item x="60"/>
        <item x="66"/>
        <item x="77"/>
        <item x="83"/>
        <item x="89"/>
        <item x="95"/>
        <item x="101"/>
        <item x="5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V41"/>
  <sheetViews>
    <sheetView zoomScale="130" zoomScaleNormal="130" workbookViewId="0">
      <pane xSplit="2" ySplit="2" topLeftCell="IG3" activePane="bottomRight" state="frozen"/>
      <selection pane="topRight" activeCell="C1" sqref="C1"/>
      <selection pane="bottomLeft" activeCell="A3" sqref="A3"/>
      <selection pane="bottomRight" activeCell="IL3" sqref="IL3"/>
    </sheetView>
  </sheetViews>
  <sheetFormatPr defaultRowHeight="12.65" x14ac:dyDescent="0.2"/>
  <cols>
    <col min="1" max="1" width="13.5546875" customWidth="1"/>
    <col min="2" max="2" width="14.88671875" customWidth="1"/>
    <col min="3" max="3" width="12.109375" bestFit="1" customWidth="1"/>
    <col min="4" max="5" width="12.5546875" bestFit="1" customWidth="1"/>
    <col min="6" max="6" width="12.109375" bestFit="1" customWidth="1"/>
    <col min="7" max="8" width="12.5546875" bestFit="1" customWidth="1"/>
    <col min="9" max="9" width="12.109375" bestFit="1" customWidth="1"/>
    <col min="10" max="11" width="12.5546875" bestFit="1" customWidth="1"/>
    <col min="12" max="12" width="12.109375" bestFit="1" customWidth="1"/>
    <col min="13" max="14" width="12.5546875" bestFit="1" customWidth="1"/>
    <col min="15" max="15" width="12.109375" bestFit="1" customWidth="1"/>
    <col min="16" max="17" width="12.5546875" bestFit="1" customWidth="1"/>
    <col min="18" max="18" width="12.109375" bestFit="1" customWidth="1"/>
    <col min="19" max="20" width="12.5546875" bestFit="1" customWidth="1"/>
    <col min="21" max="21" width="12.109375" bestFit="1" customWidth="1"/>
    <col min="22" max="23" width="12.5546875" bestFit="1" customWidth="1"/>
    <col min="24" max="24" width="12.109375" bestFit="1" customWidth="1"/>
    <col min="25" max="25" width="12.5546875" bestFit="1" customWidth="1"/>
    <col min="26" max="26" width="12.5546875" style="117" bestFit="1" customWidth="1"/>
    <col min="27" max="27" width="11.6640625" bestFit="1" customWidth="1"/>
    <col min="28" max="29" width="10.109375" bestFit="1" customWidth="1"/>
    <col min="33" max="33" width="14.6640625" bestFit="1" customWidth="1"/>
    <col min="34" max="34" width="13.6640625" bestFit="1" customWidth="1"/>
    <col min="35" max="35" width="10.109375" bestFit="1" customWidth="1"/>
    <col min="36" max="36" width="10.109375" customWidth="1"/>
    <col min="37" max="37" width="12.109375" customWidth="1"/>
    <col min="39" max="39" width="10.5546875" customWidth="1"/>
    <col min="40" max="40" width="10.44140625" customWidth="1"/>
    <col min="41" max="41" width="11.109375" customWidth="1"/>
    <col min="42" max="42" width="10.5546875" customWidth="1"/>
    <col min="43" max="43" width="10.88671875" customWidth="1"/>
    <col min="44" max="44" width="11.109375" customWidth="1"/>
    <col min="79" max="79" width="10.109375" bestFit="1" customWidth="1"/>
    <col min="84" max="84" width="9.33203125" customWidth="1"/>
    <col min="85" max="85" width="8.33203125" customWidth="1"/>
    <col min="120" max="120" width="10.109375" bestFit="1" customWidth="1"/>
    <col min="139" max="139" width="10.109375" bestFit="1" customWidth="1"/>
    <col min="144" max="144" width="10.109375" bestFit="1" customWidth="1"/>
    <col min="145" max="145" width="10.5546875" customWidth="1"/>
    <col min="150" max="150" width="10.5546875" customWidth="1"/>
    <col min="151" max="151" width="10.6640625" customWidth="1"/>
    <col min="156" max="156" width="10.6640625" customWidth="1"/>
    <col min="157" max="157" width="11.33203125" customWidth="1"/>
    <col min="162" max="163" width="10.109375" bestFit="1" customWidth="1"/>
    <col min="168" max="169" width="10.109375" bestFit="1" customWidth="1"/>
    <col min="174" max="175" width="10.109375" bestFit="1" customWidth="1"/>
    <col min="180" max="180" width="10.6640625" customWidth="1"/>
    <col min="181" max="181" width="11.5546875" customWidth="1"/>
    <col min="186" max="186" width="11.33203125" customWidth="1"/>
    <col min="187" max="187" width="11.5546875" customWidth="1"/>
    <col min="190" max="190" width="12.44140625" customWidth="1"/>
  </cols>
  <sheetData>
    <row r="1" spans="1:251" ht="13.3" thickBot="1" x14ac:dyDescent="0.25">
      <c r="A1" s="605" t="s">
        <v>32</v>
      </c>
      <c r="B1" s="606"/>
      <c r="C1" s="596">
        <v>39063</v>
      </c>
      <c r="D1" s="597"/>
      <c r="E1" s="598"/>
      <c r="F1" s="596">
        <v>39102</v>
      </c>
      <c r="G1" s="597"/>
      <c r="H1" s="598"/>
      <c r="I1" s="596">
        <v>39216</v>
      </c>
      <c r="J1" s="597"/>
      <c r="K1" s="598"/>
      <c r="L1" s="596">
        <v>39300</v>
      </c>
      <c r="M1" s="597"/>
      <c r="N1" s="598"/>
      <c r="O1" s="596">
        <v>39426</v>
      </c>
      <c r="P1" s="597"/>
      <c r="Q1" s="598"/>
      <c r="R1" s="596">
        <v>39609</v>
      </c>
      <c r="S1" s="597"/>
      <c r="T1" s="598"/>
      <c r="U1" s="596">
        <v>39635</v>
      </c>
      <c r="V1" s="597"/>
      <c r="W1" s="598"/>
      <c r="X1" s="596">
        <v>39652</v>
      </c>
      <c r="Y1" s="597"/>
      <c r="Z1" s="598"/>
      <c r="AA1" s="596">
        <v>39783</v>
      </c>
      <c r="AB1" s="597"/>
      <c r="AC1" s="598"/>
      <c r="AD1" s="599">
        <v>40066</v>
      </c>
      <c r="AE1" s="597"/>
      <c r="AF1" s="598"/>
      <c r="AG1" s="593">
        <v>40201</v>
      </c>
      <c r="AH1" s="594"/>
      <c r="AI1" s="595"/>
      <c r="AJ1" s="602">
        <v>40210</v>
      </c>
      <c r="AK1" s="603"/>
      <c r="AL1" s="604"/>
      <c r="AM1" s="593">
        <v>40236</v>
      </c>
      <c r="AN1" s="594"/>
      <c r="AO1" s="595"/>
      <c r="AP1" s="593">
        <v>40310</v>
      </c>
      <c r="AQ1" s="594"/>
      <c r="AR1" s="595"/>
      <c r="AS1" s="602">
        <v>40568</v>
      </c>
      <c r="AT1" s="603"/>
      <c r="AU1" s="604"/>
      <c r="AV1" s="593">
        <v>40605</v>
      </c>
      <c r="AW1" s="594"/>
      <c r="AX1" s="595"/>
      <c r="AY1" s="593">
        <v>40616</v>
      </c>
      <c r="AZ1" s="594"/>
      <c r="BA1" s="595"/>
      <c r="BB1" s="593">
        <v>40633</v>
      </c>
      <c r="BC1" s="594"/>
      <c r="BD1" s="595"/>
      <c r="BE1" s="593">
        <v>40687</v>
      </c>
      <c r="BF1" s="594"/>
      <c r="BG1" s="595"/>
      <c r="BH1" s="593">
        <v>40701</v>
      </c>
      <c r="BI1" s="594"/>
      <c r="BJ1" s="595"/>
      <c r="BK1" s="593">
        <v>40703</v>
      </c>
      <c r="BL1" s="594"/>
      <c r="BM1" s="595"/>
      <c r="BN1" s="593">
        <v>40745</v>
      </c>
      <c r="BO1" s="594"/>
      <c r="BP1" s="595"/>
      <c r="BQ1" s="593">
        <v>40775</v>
      </c>
      <c r="BR1" s="594"/>
      <c r="BS1" s="595"/>
      <c r="BT1" s="593">
        <v>40800</v>
      </c>
      <c r="BU1" s="594"/>
      <c r="BV1" s="594"/>
      <c r="BW1" s="593">
        <v>40817</v>
      </c>
      <c r="BX1" s="594"/>
      <c r="BY1" s="594"/>
      <c r="BZ1" s="593">
        <v>40832</v>
      </c>
      <c r="CA1" s="594"/>
      <c r="CB1" s="595"/>
      <c r="CC1" s="588">
        <v>40857</v>
      </c>
      <c r="CD1" s="588"/>
      <c r="CE1" s="588"/>
      <c r="CF1" s="588"/>
      <c r="CG1" s="589"/>
      <c r="CH1" s="588">
        <v>40880</v>
      </c>
      <c r="CI1" s="588"/>
      <c r="CJ1" s="588"/>
      <c r="CK1" s="588"/>
      <c r="CL1" s="589"/>
      <c r="CM1" s="588">
        <v>40982</v>
      </c>
      <c r="CN1" s="588"/>
      <c r="CO1" s="588"/>
      <c r="CP1" s="588"/>
      <c r="CQ1" s="588"/>
      <c r="CR1" s="587">
        <v>41010</v>
      </c>
      <c r="CS1" s="588"/>
      <c r="CT1" s="588"/>
      <c r="CU1" s="588"/>
      <c r="CV1" s="588"/>
      <c r="CW1" s="589"/>
      <c r="CX1" s="587">
        <v>41054</v>
      </c>
      <c r="CY1" s="588"/>
      <c r="CZ1" s="588"/>
      <c r="DA1" s="588"/>
      <c r="DB1" s="588"/>
      <c r="DC1" s="589"/>
      <c r="DD1" s="587">
        <v>41068</v>
      </c>
      <c r="DE1" s="588"/>
      <c r="DF1" s="588"/>
      <c r="DG1" s="588"/>
      <c r="DH1" s="588"/>
      <c r="DI1" s="589"/>
      <c r="DJ1" s="587">
        <v>41185</v>
      </c>
      <c r="DK1" s="588"/>
      <c r="DL1" s="588"/>
      <c r="DM1" s="588"/>
      <c r="DN1" s="588"/>
      <c r="DO1" s="589"/>
      <c r="DP1" s="587">
        <v>41290</v>
      </c>
      <c r="DQ1" s="588"/>
      <c r="DR1" s="588"/>
      <c r="DS1" s="588"/>
      <c r="DT1" s="588"/>
      <c r="DU1" s="589"/>
      <c r="DV1" s="587">
        <v>41373</v>
      </c>
      <c r="DW1" s="588"/>
      <c r="DX1" s="588"/>
      <c r="DY1" s="588"/>
      <c r="DZ1" s="588"/>
      <c r="EA1" s="589"/>
      <c r="EB1" s="587">
        <v>41520</v>
      </c>
      <c r="EC1" s="588"/>
      <c r="ED1" s="588"/>
      <c r="EE1" s="588"/>
      <c r="EF1" s="588"/>
      <c r="EG1" s="589"/>
      <c r="EH1" s="587">
        <v>41534</v>
      </c>
      <c r="EI1" s="588"/>
      <c r="EJ1" s="588"/>
      <c r="EK1" s="588"/>
      <c r="EL1" s="588"/>
      <c r="EM1" s="589"/>
      <c r="EN1" s="587">
        <v>41613</v>
      </c>
      <c r="EO1" s="588"/>
      <c r="EP1" s="588"/>
      <c r="EQ1" s="588"/>
      <c r="ER1" s="588"/>
      <c r="ES1" s="589"/>
      <c r="ET1" s="587">
        <v>41636</v>
      </c>
      <c r="EU1" s="588"/>
      <c r="EV1" s="588"/>
      <c r="EW1" s="588"/>
      <c r="EX1" s="588"/>
      <c r="EY1" s="589"/>
      <c r="EZ1" s="587">
        <v>41828</v>
      </c>
      <c r="FA1" s="588"/>
      <c r="FB1" s="588"/>
      <c r="FC1" s="588"/>
      <c r="FD1" s="588"/>
      <c r="FE1" s="589"/>
      <c r="FF1" s="587">
        <v>41870</v>
      </c>
      <c r="FG1" s="588"/>
      <c r="FH1" s="588"/>
      <c r="FI1" s="588"/>
      <c r="FJ1" s="588"/>
      <c r="FK1" s="589"/>
      <c r="FL1" s="587">
        <v>41891</v>
      </c>
      <c r="FM1" s="588"/>
      <c r="FN1" s="588"/>
      <c r="FO1" s="588"/>
      <c r="FP1" s="588"/>
      <c r="FQ1" s="589"/>
      <c r="FR1" s="587">
        <v>41913</v>
      </c>
      <c r="FS1" s="588"/>
      <c r="FT1" s="588"/>
      <c r="FU1" s="588"/>
      <c r="FV1" s="588"/>
      <c r="FW1" s="589"/>
      <c r="FX1" s="587">
        <v>42017</v>
      </c>
      <c r="FY1" s="588"/>
      <c r="FZ1" s="588"/>
      <c r="GA1" s="588"/>
      <c r="GB1" s="588"/>
      <c r="GC1" s="589"/>
      <c r="GD1" s="584">
        <v>42552</v>
      </c>
      <c r="GE1" s="585"/>
      <c r="GF1" s="585"/>
      <c r="GG1" s="585"/>
      <c r="GH1" s="585"/>
      <c r="GI1" s="586"/>
      <c r="GJ1" s="584">
        <v>42805</v>
      </c>
      <c r="GK1" s="585"/>
      <c r="GL1" s="585"/>
      <c r="GM1" s="585"/>
      <c r="GN1" s="585"/>
      <c r="GO1" s="586"/>
      <c r="GP1" s="581">
        <v>42812</v>
      </c>
      <c r="GQ1" s="582"/>
      <c r="GR1" s="582"/>
      <c r="GS1" s="582"/>
      <c r="GT1" s="582"/>
      <c r="GU1" s="583"/>
      <c r="GV1" s="581">
        <v>42826</v>
      </c>
      <c r="GW1" s="582"/>
      <c r="GX1" s="582"/>
      <c r="GY1" s="582"/>
      <c r="GZ1" s="582"/>
      <c r="HA1" s="583"/>
      <c r="HB1" s="581">
        <v>42833</v>
      </c>
      <c r="HC1" s="582"/>
      <c r="HD1" s="582"/>
      <c r="HE1" s="582"/>
      <c r="HF1" s="582"/>
      <c r="HG1" s="583"/>
      <c r="HH1" s="581">
        <v>42840</v>
      </c>
      <c r="HI1" s="582"/>
      <c r="HJ1" s="582"/>
      <c r="HK1" s="582"/>
      <c r="HL1" s="582"/>
      <c r="HM1" s="583"/>
      <c r="HN1" s="581">
        <v>42861</v>
      </c>
      <c r="HO1" s="582"/>
      <c r="HP1" s="582"/>
      <c r="HQ1" s="582"/>
      <c r="HR1" s="582"/>
      <c r="HS1" s="583"/>
      <c r="HT1" s="581">
        <v>43034</v>
      </c>
      <c r="HU1" s="582"/>
      <c r="HV1" s="582"/>
      <c r="HW1" s="582"/>
      <c r="HX1" s="582"/>
      <c r="HY1" s="583"/>
      <c r="HZ1" s="581">
        <v>43139</v>
      </c>
      <c r="IA1" s="582"/>
      <c r="IB1" s="582"/>
      <c r="IC1" s="582"/>
      <c r="ID1" s="582"/>
      <c r="IE1" s="583"/>
      <c r="IF1" s="581">
        <v>43170</v>
      </c>
      <c r="IG1" s="582"/>
      <c r="IH1" s="582"/>
      <c r="II1" s="582"/>
      <c r="IJ1" s="582"/>
      <c r="IK1" s="583"/>
      <c r="IL1" s="581">
        <v>43174</v>
      </c>
      <c r="IM1" s="582"/>
      <c r="IN1" s="582"/>
      <c r="IO1" s="582"/>
      <c r="IP1" s="582"/>
      <c r="IQ1" s="583"/>
    </row>
    <row r="2" spans="1:251" ht="51.2" thickBot="1" x14ac:dyDescent="0.25">
      <c r="A2" s="607"/>
      <c r="B2" s="608"/>
      <c r="C2" s="68" t="s">
        <v>0</v>
      </c>
      <c r="D2" s="3" t="s">
        <v>1</v>
      </c>
      <c r="E2" s="4" t="s">
        <v>2</v>
      </c>
      <c r="F2" s="68" t="s">
        <v>0</v>
      </c>
      <c r="G2" s="3" t="s">
        <v>1</v>
      </c>
      <c r="H2" s="4" t="s">
        <v>2</v>
      </c>
      <c r="I2" s="68" t="s">
        <v>0</v>
      </c>
      <c r="J2" s="3" t="s">
        <v>1</v>
      </c>
      <c r="K2" s="4" t="s">
        <v>2</v>
      </c>
      <c r="L2" s="68" t="s">
        <v>0</v>
      </c>
      <c r="M2" s="3" t="s">
        <v>1</v>
      </c>
      <c r="N2" s="4" t="s">
        <v>2</v>
      </c>
      <c r="O2" s="68" t="s">
        <v>0</v>
      </c>
      <c r="P2" s="3" t="s">
        <v>1</v>
      </c>
      <c r="Q2" s="4" t="s">
        <v>2</v>
      </c>
      <c r="R2" s="68" t="s">
        <v>0</v>
      </c>
      <c r="S2" s="3" t="s">
        <v>1</v>
      </c>
      <c r="T2" s="4" t="s">
        <v>2</v>
      </c>
      <c r="U2" s="68" t="s">
        <v>0</v>
      </c>
      <c r="V2" s="3" t="s">
        <v>1</v>
      </c>
      <c r="W2" s="4" t="s">
        <v>2</v>
      </c>
      <c r="X2" s="68" t="s">
        <v>0</v>
      </c>
      <c r="Y2" s="3" t="s">
        <v>1</v>
      </c>
      <c r="Z2" s="4" t="s">
        <v>2</v>
      </c>
      <c r="AA2" s="68" t="s">
        <v>0</v>
      </c>
      <c r="AB2" s="3" t="s">
        <v>1</v>
      </c>
      <c r="AC2" s="4" t="s">
        <v>2</v>
      </c>
      <c r="AD2" s="2" t="s">
        <v>0</v>
      </c>
      <c r="AE2" s="3" t="s">
        <v>1</v>
      </c>
      <c r="AF2" s="4" t="s">
        <v>2</v>
      </c>
      <c r="AG2" s="2" t="s">
        <v>0</v>
      </c>
      <c r="AH2" s="3" t="s">
        <v>1</v>
      </c>
      <c r="AI2" s="4" t="s">
        <v>2</v>
      </c>
      <c r="AJ2" s="161" t="s">
        <v>0</v>
      </c>
      <c r="AK2" s="162" t="s">
        <v>1</v>
      </c>
      <c r="AL2" s="163" t="s">
        <v>2</v>
      </c>
      <c r="AM2" s="2" t="s">
        <v>0</v>
      </c>
      <c r="AN2" s="3" t="s">
        <v>1</v>
      </c>
      <c r="AO2" s="4" t="s">
        <v>2</v>
      </c>
      <c r="AP2" s="2" t="s">
        <v>0</v>
      </c>
      <c r="AQ2" s="3" t="s">
        <v>1</v>
      </c>
      <c r="AR2" s="4" t="s">
        <v>2</v>
      </c>
      <c r="AS2" s="161" t="s">
        <v>0</v>
      </c>
      <c r="AT2" s="162" t="s">
        <v>1</v>
      </c>
      <c r="AU2" s="163" t="s">
        <v>2</v>
      </c>
      <c r="AV2" s="2" t="s">
        <v>0</v>
      </c>
      <c r="AW2" s="3" t="s">
        <v>1</v>
      </c>
      <c r="AX2" s="4" t="s">
        <v>2</v>
      </c>
      <c r="AY2" s="2" t="s">
        <v>0</v>
      </c>
      <c r="AZ2" s="3" t="s">
        <v>1</v>
      </c>
      <c r="BA2" s="4" t="s">
        <v>2</v>
      </c>
      <c r="BB2" s="2" t="s">
        <v>0</v>
      </c>
      <c r="BC2" s="3" t="s">
        <v>1</v>
      </c>
      <c r="BD2" s="4" t="s">
        <v>2</v>
      </c>
      <c r="BE2" s="2" t="s">
        <v>0</v>
      </c>
      <c r="BF2" s="3" t="s">
        <v>1</v>
      </c>
      <c r="BG2" s="4" t="s">
        <v>2</v>
      </c>
      <c r="BH2" s="2" t="s">
        <v>0</v>
      </c>
      <c r="BI2" s="3" t="s">
        <v>1</v>
      </c>
      <c r="BJ2" s="4" t="s">
        <v>2</v>
      </c>
      <c r="BK2" s="2" t="s">
        <v>0</v>
      </c>
      <c r="BL2" s="3" t="s">
        <v>1</v>
      </c>
      <c r="BM2" s="4" t="s">
        <v>2</v>
      </c>
      <c r="BN2" s="2" t="s">
        <v>0</v>
      </c>
      <c r="BO2" s="3" t="s">
        <v>1</v>
      </c>
      <c r="BP2" s="4" t="s">
        <v>2</v>
      </c>
      <c r="BQ2" s="2" t="s">
        <v>0</v>
      </c>
      <c r="BR2" s="3" t="s">
        <v>1</v>
      </c>
      <c r="BS2" s="4" t="s">
        <v>2</v>
      </c>
      <c r="BT2" s="2" t="s">
        <v>0</v>
      </c>
      <c r="BU2" s="3" t="s">
        <v>1</v>
      </c>
      <c r="BV2" s="43" t="s">
        <v>2</v>
      </c>
      <c r="BW2" s="2" t="s">
        <v>0</v>
      </c>
      <c r="BX2" s="3" t="s">
        <v>1</v>
      </c>
      <c r="BY2" s="43" t="s">
        <v>2</v>
      </c>
      <c r="BZ2" s="2" t="s">
        <v>0</v>
      </c>
      <c r="CA2" s="3" t="s">
        <v>1</v>
      </c>
      <c r="CB2" s="4" t="s">
        <v>2</v>
      </c>
      <c r="CC2" s="54" t="s">
        <v>13</v>
      </c>
      <c r="CD2" s="53" t="s">
        <v>12</v>
      </c>
      <c r="CE2" s="53" t="s">
        <v>11</v>
      </c>
      <c r="CF2" s="51" t="s">
        <v>15</v>
      </c>
      <c r="CG2" s="52" t="s">
        <v>10</v>
      </c>
      <c r="CH2" s="54" t="s">
        <v>13</v>
      </c>
      <c r="CI2" s="53" t="s">
        <v>12</v>
      </c>
      <c r="CJ2" s="53" t="s">
        <v>11</v>
      </c>
      <c r="CK2" s="51" t="s">
        <v>15</v>
      </c>
      <c r="CL2" s="52" t="s">
        <v>10</v>
      </c>
      <c r="CM2" s="54" t="s">
        <v>13</v>
      </c>
      <c r="CN2" s="53" t="s">
        <v>12</v>
      </c>
      <c r="CO2" s="53" t="s">
        <v>11</v>
      </c>
      <c r="CP2" s="51" t="s">
        <v>15</v>
      </c>
      <c r="CQ2" s="57" t="s">
        <v>10</v>
      </c>
      <c r="CR2" s="66" t="s">
        <v>13</v>
      </c>
      <c r="CS2" s="53" t="s">
        <v>12</v>
      </c>
      <c r="CT2" s="53" t="s">
        <v>11</v>
      </c>
      <c r="CU2" s="51" t="s">
        <v>15</v>
      </c>
      <c r="CV2" s="57" t="s">
        <v>16</v>
      </c>
      <c r="CW2" s="52" t="s">
        <v>10</v>
      </c>
      <c r="CX2" s="66" t="s">
        <v>13</v>
      </c>
      <c r="CY2" s="53" t="s">
        <v>12</v>
      </c>
      <c r="CZ2" s="53" t="s">
        <v>11</v>
      </c>
      <c r="DA2" s="51" t="s">
        <v>15</v>
      </c>
      <c r="DB2" s="57" t="s">
        <v>16</v>
      </c>
      <c r="DC2" s="52" t="s">
        <v>10</v>
      </c>
      <c r="DD2" s="66" t="s">
        <v>13</v>
      </c>
      <c r="DE2" s="53" t="s">
        <v>12</v>
      </c>
      <c r="DF2" s="53" t="s">
        <v>11</v>
      </c>
      <c r="DG2" s="51" t="s">
        <v>15</v>
      </c>
      <c r="DH2" s="57" t="s">
        <v>16</v>
      </c>
      <c r="DI2" s="52" t="s">
        <v>10</v>
      </c>
      <c r="DJ2" s="66" t="s">
        <v>13</v>
      </c>
      <c r="DK2" s="53" t="s">
        <v>12</v>
      </c>
      <c r="DL2" s="89" t="s">
        <v>11</v>
      </c>
      <c r="DM2" s="104" t="s">
        <v>15</v>
      </c>
      <c r="DN2" s="95" t="s">
        <v>16</v>
      </c>
      <c r="DO2" s="52" t="s">
        <v>10</v>
      </c>
      <c r="DP2" s="66" t="s">
        <v>13</v>
      </c>
      <c r="DQ2" s="53" t="s">
        <v>12</v>
      </c>
      <c r="DR2" s="89" t="s">
        <v>11</v>
      </c>
      <c r="DS2" s="104" t="s">
        <v>15</v>
      </c>
      <c r="DT2" s="95" t="s">
        <v>16</v>
      </c>
      <c r="DU2" s="52" t="s">
        <v>10</v>
      </c>
      <c r="DV2" s="66" t="s">
        <v>13</v>
      </c>
      <c r="DW2" s="53" t="s">
        <v>12</v>
      </c>
      <c r="DX2" s="89" t="s">
        <v>11</v>
      </c>
      <c r="DY2" s="104" t="s">
        <v>15</v>
      </c>
      <c r="DZ2" s="95" t="s">
        <v>16</v>
      </c>
      <c r="EA2" s="52" t="s">
        <v>10</v>
      </c>
      <c r="EB2" s="66" t="s">
        <v>13</v>
      </c>
      <c r="EC2" s="53" t="s">
        <v>12</v>
      </c>
      <c r="ED2" s="89" t="s">
        <v>11</v>
      </c>
      <c r="EE2" s="104" t="s">
        <v>15</v>
      </c>
      <c r="EF2" s="95" t="s">
        <v>16</v>
      </c>
      <c r="EG2" s="52" t="s">
        <v>10</v>
      </c>
      <c r="EH2" s="66" t="s">
        <v>13</v>
      </c>
      <c r="EI2" s="53" t="s">
        <v>12</v>
      </c>
      <c r="EJ2" s="89" t="s">
        <v>11</v>
      </c>
      <c r="EK2" s="104" t="s">
        <v>15</v>
      </c>
      <c r="EL2" s="95" t="s">
        <v>16</v>
      </c>
      <c r="EM2" s="52" t="s">
        <v>10</v>
      </c>
      <c r="EN2" s="66" t="s">
        <v>13</v>
      </c>
      <c r="EO2" s="53" t="s">
        <v>12</v>
      </c>
      <c r="EP2" s="89" t="s">
        <v>11</v>
      </c>
      <c r="EQ2" s="104" t="s">
        <v>15</v>
      </c>
      <c r="ER2" s="95" t="s">
        <v>16</v>
      </c>
      <c r="ES2" s="52" t="s">
        <v>10</v>
      </c>
      <c r="ET2" s="66" t="s">
        <v>13</v>
      </c>
      <c r="EU2" s="53" t="s">
        <v>12</v>
      </c>
      <c r="EV2" s="89" t="s">
        <v>11</v>
      </c>
      <c r="EW2" s="104" t="s">
        <v>15</v>
      </c>
      <c r="EX2" s="95" t="s">
        <v>16</v>
      </c>
      <c r="EY2" s="52" t="s">
        <v>10</v>
      </c>
      <c r="EZ2" s="66" t="s">
        <v>13</v>
      </c>
      <c r="FA2" s="53" t="s">
        <v>12</v>
      </c>
      <c r="FB2" s="89" t="s">
        <v>11</v>
      </c>
      <c r="FC2" s="104" t="s">
        <v>15</v>
      </c>
      <c r="FD2" s="95" t="s">
        <v>16</v>
      </c>
      <c r="FE2" s="52" t="s">
        <v>10</v>
      </c>
      <c r="FF2" s="66" t="s">
        <v>13</v>
      </c>
      <c r="FG2" s="53" t="s">
        <v>12</v>
      </c>
      <c r="FH2" s="89" t="s">
        <v>11</v>
      </c>
      <c r="FI2" s="104" t="s">
        <v>15</v>
      </c>
      <c r="FJ2" s="95" t="s">
        <v>16</v>
      </c>
      <c r="FK2" s="52" t="s">
        <v>10</v>
      </c>
      <c r="FL2" s="66" t="s">
        <v>13</v>
      </c>
      <c r="FM2" s="53" t="s">
        <v>12</v>
      </c>
      <c r="FN2" s="89" t="s">
        <v>11</v>
      </c>
      <c r="FO2" s="104" t="s">
        <v>15</v>
      </c>
      <c r="FP2" s="95" t="s">
        <v>16</v>
      </c>
      <c r="FQ2" s="52" t="s">
        <v>10</v>
      </c>
      <c r="FR2" s="66" t="s">
        <v>13</v>
      </c>
      <c r="FS2" s="53" t="s">
        <v>12</v>
      </c>
      <c r="FT2" s="89" t="s">
        <v>11</v>
      </c>
      <c r="FU2" s="104" t="s">
        <v>15</v>
      </c>
      <c r="FV2" s="95" t="s">
        <v>16</v>
      </c>
      <c r="FW2" s="52" t="s">
        <v>10</v>
      </c>
      <c r="FX2" s="66" t="s">
        <v>13</v>
      </c>
      <c r="FY2" s="53" t="s">
        <v>12</v>
      </c>
      <c r="FZ2" s="89" t="s">
        <v>11</v>
      </c>
      <c r="GA2" s="104" t="s">
        <v>15</v>
      </c>
      <c r="GB2" s="95" t="s">
        <v>16</v>
      </c>
      <c r="GC2" s="52" t="s">
        <v>10</v>
      </c>
      <c r="GD2" s="186" t="s">
        <v>13</v>
      </c>
      <c r="GE2" s="51" t="s">
        <v>12</v>
      </c>
      <c r="GF2" s="57" t="s">
        <v>11</v>
      </c>
      <c r="GG2" s="104" t="s">
        <v>15</v>
      </c>
      <c r="GH2" s="95" t="s">
        <v>16</v>
      </c>
      <c r="GI2" s="52" t="s">
        <v>10</v>
      </c>
      <c r="GJ2" s="186" t="s">
        <v>13</v>
      </c>
      <c r="GK2" s="51" t="s">
        <v>12</v>
      </c>
      <c r="GL2" s="57" t="s">
        <v>11</v>
      </c>
      <c r="GM2" s="104" t="s">
        <v>15</v>
      </c>
      <c r="GN2" s="95" t="s">
        <v>16</v>
      </c>
      <c r="GO2" s="52" t="s">
        <v>10</v>
      </c>
      <c r="GP2" s="246" t="s">
        <v>13</v>
      </c>
      <c r="GQ2" s="247" t="s">
        <v>12</v>
      </c>
      <c r="GR2" s="260" t="s">
        <v>11</v>
      </c>
      <c r="GS2" s="272" t="s">
        <v>15</v>
      </c>
      <c r="GT2" s="273" t="s">
        <v>16</v>
      </c>
      <c r="GU2" s="274" t="s">
        <v>10</v>
      </c>
      <c r="GV2" s="246" t="s">
        <v>13</v>
      </c>
      <c r="GW2" s="247" t="s">
        <v>12</v>
      </c>
      <c r="GX2" s="260" t="s">
        <v>11</v>
      </c>
      <c r="GY2" s="272" t="s">
        <v>15</v>
      </c>
      <c r="GZ2" s="273" t="s">
        <v>16</v>
      </c>
      <c r="HA2" s="274" t="s">
        <v>10</v>
      </c>
      <c r="HB2" s="246" t="s">
        <v>13</v>
      </c>
      <c r="HC2" s="247" t="s">
        <v>12</v>
      </c>
      <c r="HD2" s="260" t="s">
        <v>11</v>
      </c>
      <c r="HE2" s="272" t="s">
        <v>15</v>
      </c>
      <c r="HF2" s="273" t="s">
        <v>16</v>
      </c>
      <c r="HG2" s="274" t="s">
        <v>10</v>
      </c>
      <c r="HH2" s="246" t="s">
        <v>13</v>
      </c>
      <c r="HI2" s="247" t="s">
        <v>12</v>
      </c>
      <c r="HJ2" s="260" t="s">
        <v>11</v>
      </c>
      <c r="HK2" s="272" t="s">
        <v>15</v>
      </c>
      <c r="HL2" s="273" t="s">
        <v>16</v>
      </c>
      <c r="HM2" s="274" t="s">
        <v>10</v>
      </c>
      <c r="HN2" s="246" t="s">
        <v>13</v>
      </c>
      <c r="HO2" s="247" t="s">
        <v>12</v>
      </c>
      <c r="HP2" s="260" t="s">
        <v>11</v>
      </c>
      <c r="HQ2" s="272" t="s">
        <v>15</v>
      </c>
      <c r="HR2" s="273" t="s">
        <v>16</v>
      </c>
      <c r="HS2" s="274" t="s">
        <v>10</v>
      </c>
      <c r="HT2" s="246" t="s">
        <v>13</v>
      </c>
      <c r="HU2" s="247" t="s">
        <v>12</v>
      </c>
      <c r="HV2" s="260" t="s">
        <v>11</v>
      </c>
      <c r="HW2" s="272" t="s">
        <v>15</v>
      </c>
      <c r="HX2" s="273" t="s">
        <v>16</v>
      </c>
      <c r="HY2" s="274" t="s">
        <v>10</v>
      </c>
      <c r="HZ2" s="246" t="s">
        <v>13</v>
      </c>
      <c r="IA2" s="247" t="s">
        <v>12</v>
      </c>
      <c r="IB2" s="260" t="s">
        <v>11</v>
      </c>
      <c r="IC2" s="272" t="s">
        <v>15</v>
      </c>
      <c r="ID2" s="273" t="s">
        <v>16</v>
      </c>
      <c r="IE2" s="274" t="s">
        <v>10</v>
      </c>
      <c r="IF2" s="246" t="s">
        <v>13</v>
      </c>
      <c r="IG2" s="247" t="s">
        <v>12</v>
      </c>
      <c r="IH2" s="260" t="s">
        <v>11</v>
      </c>
      <c r="II2" s="272" t="s">
        <v>15</v>
      </c>
      <c r="IJ2" s="273" t="s">
        <v>16</v>
      </c>
      <c r="IK2" s="274" t="s">
        <v>10</v>
      </c>
      <c r="IL2" s="246" t="s">
        <v>13</v>
      </c>
      <c r="IM2" s="247" t="s">
        <v>12</v>
      </c>
      <c r="IN2" s="260" t="s">
        <v>11</v>
      </c>
      <c r="IO2" s="272" t="s">
        <v>15</v>
      </c>
      <c r="IP2" s="273" t="s">
        <v>16</v>
      </c>
      <c r="IQ2" s="274" t="s">
        <v>10</v>
      </c>
    </row>
    <row r="3" spans="1:251" x14ac:dyDescent="0.2">
      <c r="A3" s="40">
        <v>80</v>
      </c>
      <c r="B3" s="40"/>
      <c r="C3" s="143"/>
      <c r="D3" s="119"/>
      <c r="E3" s="151">
        <v>1400</v>
      </c>
      <c r="F3" s="143"/>
      <c r="G3" s="119"/>
      <c r="H3" s="151">
        <v>1470</v>
      </c>
      <c r="I3" s="143"/>
      <c r="J3" s="119"/>
      <c r="K3" s="120">
        <v>1530</v>
      </c>
      <c r="L3" s="143"/>
      <c r="M3" s="144"/>
      <c r="N3" s="136">
        <v>1600</v>
      </c>
      <c r="O3" s="134"/>
      <c r="P3" s="135"/>
      <c r="Q3" s="136">
        <v>1670</v>
      </c>
      <c r="R3" s="134"/>
      <c r="S3" s="135"/>
      <c r="T3" s="136">
        <v>1760</v>
      </c>
      <c r="U3" s="134"/>
      <c r="V3" s="135"/>
      <c r="W3" s="136">
        <v>1850</v>
      </c>
      <c r="X3" s="134"/>
      <c r="Y3" s="135"/>
      <c r="Z3" s="136">
        <v>1950</v>
      </c>
      <c r="AA3" s="37">
        <v>1791000</v>
      </c>
      <c r="AB3" s="8">
        <v>1938983</v>
      </c>
      <c r="AC3" s="9">
        <v>1760</v>
      </c>
      <c r="AD3" s="7">
        <v>1952190</v>
      </c>
      <c r="AE3" s="8">
        <v>2093220</v>
      </c>
      <c r="AF3" s="9">
        <v>1900</v>
      </c>
      <c r="AG3" s="7">
        <v>1991230</v>
      </c>
      <c r="AH3" s="8">
        <v>2100667</v>
      </c>
      <c r="AI3" s="9">
        <v>1940</v>
      </c>
      <c r="AJ3" s="164">
        <v>2050970</v>
      </c>
      <c r="AK3" s="165">
        <v>2100667</v>
      </c>
      <c r="AL3" s="166">
        <v>1940</v>
      </c>
      <c r="AM3" s="7">
        <v>2133010</v>
      </c>
      <c r="AN3" s="8">
        <v>2253333</v>
      </c>
      <c r="AO3" s="9">
        <v>2080</v>
      </c>
      <c r="AP3" s="7">
        <v>2260990</v>
      </c>
      <c r="AQ3" s="8">
        <v>2437500</v>
      </c>
      <c r="AR3" s="9">
        <v>2250</v>
      </c>
      <c r="AS3" s="164">
        <v>2260990</v>
      </c>
      <c r="AT3" s="165">
        <v>2437500</v>
      </c>
      <c r="AU3" s="166">
        <v>2250</v>
      </c>
      <c r="AV3" s="7">
        <v>2375800</v>
      </c>
      <c r="AW3" s="8">
        <v>2600000</v>
      </c>
      <c r="AX3" s="9">
        <v>2400</v>
      </c>
      <c r="AY3" s="158"/>
      <c r="AZ3" s="159"/>
      <c r="BA3" s="160">
        <v>2850</v>
      </c>
      <c r="BB3" s="7">
        <v>3054900</v>
      </c>
      <c r="BC3" s="8">
        <v>3412500</v>
      </c>
      <c r="BD3" s="9">
        <v>3150</v>
      </c>
      <c r="BE3" s="7">
        <v>3828200</v>
      </c>
      <c r="BF3" s="8">
        <v>4170833</v>
      </c>
      <c r="BG3" s="9">
        <v>3850</v>
      </c>
      <c r="BH3" s="7">
        <v>5009500</v>
      </c>
      <c r="BI3" s="8">
        <v>5362500</v>
      </c>
      <c r="BJ3" s="9">
        <v>4950</v>
      </c>
      <c r="BK3" s="7">
        <v>3980600</v>
      </c>
      <c r="BL3" s="8">
        <v>4333333</v>
      </c>
      <c r="BM3" s="9">
        <v>4100</v>
      </c>
      <c r="BN3" s="7">
        <v>4141600</v>
      </c>
      <c r="BO3" s="8">
        <v>4463333</v>
      </c>
      <c r="BP3" s="9">
        <v>4120</v>
      </c>
      <c r="BQ3" s="7">
        <v>4265200</v>
      </c>
      <c r="BR3" s="8">
        <v>4593333</v>
      </c>
      <c r="BS3" s="9">
        <v>4240</v>
      </c>
      <c r="BT3" s="7">
        <v>4456200</v>
      </c>
      <c r="BU3" s="8">
        <v>4745000</v>
      </c>
      <c r="BV3" s="44">
        <v>4380</v>
      </c>
      <c r="BW3" s="7">
        <v>4691300</v>
      </c>
      <c r="BX3" s="8">
        <v>4983333</v>
      </c>
      <c r="BY3" s="44">
        <v>4600</v>
      </c>
      <c r="BZ3" s="7">
        <v>4843000</v>
      </c>
      <c r="CA3" s="8">
        <v>5135000</v>
      </c>
      <c r="CB3" s="9">
        <v>4740</v>
      </c>
      <c r="CC3" s="37">
        <v>5005800</v>
      </c>
      <c r="CD3" s="8">
        <v>5308333</v>
      </c>
      <c r="CE3" s="8">
        <v>4900</v>
      </c>
      <c r="CF3" s="23">
        <f>(CD3-CC3)/CD3</f>
        <v>5.6992091490869166E-2</v>
      </c>
      <c r="CG3" s="49">
        <f>CE3/CB3-1</f>
        <v>3.3755274261603407E-2</v>
      </c>
      <c r="CH3" s="37">
        <v>5520800</v>
      </c>
      <c r="CI3" s="8">
        <v>5850000</v>
      </c>
      <c r="CJ3" s="8">
        <v>5400</v>
      </c>
      <c r="CK3" s="23">
        <f>(CI3-CH3)/CI3</f>
        <v>5.6273504273504277E-2</v>
      </c>
      <c r="CL3" s="49">
        <f>CJ3/CE3-1</f>
        <v>0.1020408163265305</v>
      </c>
      <c r="CM3" s="37">
        <v>5740700</v>
      </c>
      <c r="CN3" s="8">
        <v>6175000</v>
      </c>
      <c r="CO3" s="8">
        <v>5700</v>
      </c>
      <c r="CP3" s="23">
        <f>(CN3-CM3)/CN3</f>
        <v>7.0331983805668019E-2</v>
      </c>
      <c r="CQ3" s="58">
        <f>CO3/CJ3-1</f>
        <v>5.555555555555558E-2</v>
      </c>
      <c r="CR3" s="7">
        <v>6038000</v>
      </c>
      <c r="CS3" s="8">
        <v>6554167</v>
      </c>
      <c r="CT3" s="8">
        <v>6050</v>
      </c>
      <c r="CU3" s="23">
        <f>(CS3-CR3)/CS3</f>
        <v>7.8754020152370235E-2</v>
      </c>
      <c r="CV3" s="58">
        <f>(CS3-CR3)/CR3</f>
        <v>8.54864193441537E-2</v>
      </c>
      <c r="CW3" s="49">
        <f>CT3/CO3-1</f>
        <v>6.1403508771929793E-2</v>
      </c>
      <c r="CX3" s="7">
        <v>6038000</v>
      </c>
      <c r="CY3" s="8">
        <v>6554167</v>
      </c>
      <c r="CZ3" s="8">
        <v>6050</v>
      </c>
      <c r="DA3" s="23">
        <f>(CY3-CX3)/CY3</f>
        <v>7.8754020152370235E-2</v>
      </c>
      <c r="DB3" s="58">
        <f>(CY3-CX3)/CX3</f>
        <v>8.54864193441537E-2</v>
      </c>
      <c r="DC3" s="49">
        <f>CZ3/CT3-1</f>
        <v>0</v>
      </c>
      <c r="DD3" s="7">
        <v>6342300</v>
      </c>
      <c r="DE3" s="8">
        <v>6879167</v>
      </c>
      <c r="DF3" s="8">
        <v>6350</v>
      </c>
      <c r="DG3" s="23">
        <f>(DE3-DD3)/DE3</f>
        <v>7.8042443220232918E-2</v>
      </c>
      <c r="DH3" s="58">
        <f>(DE3-DD3)/DD3</f>
        <v>8.4648629046245052E-2</v>
      </c>
      <c r="DI3" s="49">
        <f>DF3/CZ3-1</f>
        <v>4.9586776859504189E-2</v>
      </c>
      <c r="DJ3" s="7">
        <v>6685400</v>
      </c>
      <c r="DK3" s="8">
        <v>7312500</v>
      </c>
      <c r="DL3" s="44">
        <v>6750</v>
      </c>
      <c r="DM3" s="105">
        <f>(DK3-DJ3)/DK3</f>
        <v>8.5757264957264961E-2</v>
      </c>
      <c r="DN3" s="96">
        <f>(DK3-DJ3)/DJ3</f>
        <v>9.3801418015376795E-2</v>
      </c>
      <c r="DO3" s="49">
        <f>DL3/DF3-1</f>
        <v>6.2992125984252079E-2</v>
      </c>
      <c r="DP3" s="7">
        <v>7231800</v>
      </c>
      <c r="DQ3" s="8">
        <v>7800000</v>
      </c>
      <c r="DR3" s="44">
        <v>7200</v>
      </c>
      <c r="DS3" s="105">
        <f>(DQ3-DP3)/DQ3</f>
        <v>7.2846153846153852E-2</v>
      </c>
      <c r="DT3" s="96">
        <f>(DQ3-DP3)/DP3</f>
        <v>7.8569650709366959E-2</v>
      </c>
      <c r="DU3" s="49">
        <f>DR3/DL3-1</f>
        <v>6.6666666666666652E-2</v>
      </c>
      <c r="DV3" s="7">
        <v>7231800</v>
      </c>
      <c r="DW3" s="8">
        <v>7800000</v>
      </c>
      <c r="DX3" s="44">
        <v>7200</v>
      </c>
      <c r="DY3" s="105">
        <f>(DW3-DV3)/DW3</f>
        <v>7.2846153846153852E-2</v>
      </c>
      <c r="DZ3" s="96">
        <f>(DW3-DV3)/DV3</f>
        <v>7.8569650709366959E-2</v>
      </c>
      <c r="EA3" s="49">
        <f>DX3/DR3-1</f>
        <v>0</v>
      </c>
      <c r="EB3" s="7">
        <v>7513400</v>
      </c>
      <c r="EC3" s="8">
        <v>8016667</v>
      </c>
      <c r="ED3" s="44">
        <v>7400</v>
      </c>
      <c r="EE3" s="105">
        <f>(EC3-EB3)/EC3</f>
        <v>6.2777585747293738E-2</v>
      </c>
      <c r="EF3" s="96">
        <f>(EC3-EB3)/EB3</f>
        <v>6.6982591103894373E-2</v>
      </c>
      <c r="EG3" s="49">
        <f>ED3/DX3-1</f>
        <v>2.7777777777777679E-2</v>
      </c>
      <c r="EH3" s="7">
        <v>8008300</v>
      </c>
      <c r="EI3" s="8">
        <v>8558333</v>
      </c>
      <c r="EJ3" s="44">
        <v>7900</v>
      </c>
      <c r="EK3" s="105">
        <f>(EI3-EH3)/EI3</f>
        <v>6.4268707469083058E-2</v>
      </c>
      <c r="EL3" s="96">
        <f>(EI3-EH3)/EH3</f>
        <v>6.8682866525979297E-2</v>
      </c>
      <c r="EM3" s="49">
        <f>EJ3/ED3-1</f>
        <v>6.7567567567567544E-2</v>
      </c>
      <c r="EN3" s="7">
        <v>8008300</v>
      </c>
      <c r="EO3" s="8">
        <v>8558333</v>
      </c>
      <c r="EP3" s="44">
        <v>7900</v>
      </c>
      <c r="EQ3" s="105">
        <f>(EO3-EN3)/EO3</f>
        <v>6.4268707469083058E-2</v>
      </c>
      <c r="ER3" s="96">
        <f>(EO3-EN3)/EN3</f>
        <v>6.8682866525979297E-2</v>
      </c>
      <c r="ES3" s="49">
        <f>EP3/EJ3-1</f>
        <v>0</v>
      </c>
      <c r="ET3" s="7">
        <v>8260800</v>
      </c>
      <c r="EU3" s="8">
        <v>8558333</v>
      </c>
      <c r="EV3" s="44">
        <v>7900</v>
      </c>
      <c r="EW3" s="105">
        <f>(EU3-ET3)/EU3</f>
        <v>3.4765298335552031E-2</v>
      </c>
      <c r="EX3" s="96">
        <f>(EU3-ET3)/ET3</f>
        <v>3.6017455936471043E-2</v>
      </c>
      <c r="EY3" s="49">
        <f>EV3/EP3-1</f>
        <v>0</v>
      </c>
      <c r="EZ3" s="7">
        <v>8733300</v>
      </c>
      <c r="FA3" s="8">
        <v>9100000</v>
      </c>
      <c r="FB3" s="44">
        <v>8400</v>
      </c>
      <c r="FC3" s="105">
        <f>(FA3-EZ3)/FA3</f>
        <v>4.0296703296703297E-2</v>
      </c>
      <c r="FD3" s="96">
        <f>(FA3-EZ3)/EZ3</f>
        <v>4.1988709880572066E-2</v>
      </c>
      <c r="FE3" s="49">
        <f>FB3/EV3-1</f>
        <v>6.3291139240506222E-2</v>
      </c>
      <c r="FF3" s="7">
        <v>9139100</v>
      </c>
      <c r="FG3" s="8">
        <v>9533333</v>
      </c>
      <c r="FH3" s="44">
        <v>8800</v>
      </c>
      <c r="FI3" s="105">
        <f>(FG3-FF3)/FG3</f>
        <v>4.1353113334024943E-2</v>
      </c>
      <c r="FJ3" s="96">
        <f>(FG3-FF3)/FF3</f>
        <v>4.3136960969898566E-2</v>
      </c>
      <c r="FK3" s="49">
        <f>FH3/FB3-1</f>
        <v>4.7619047619047672E-2</v>
      </c>
      <c r="FL3" s="7">
        <v>9518300</v>
      </c>
      <c r="FM3" s="8">
        <v>9912500</v>
      </c>
      <c r="FN3" s="44">
        <v>9150</v>
      </c>
      <c r="FO3" s="105">
        <f>(FM3-FL3)/FM3</f>
        <v>3.9767969735182852E-2</v>
      </c>
      <c r="FP3" s="96">
        <f>(FM3-FL3)/FL3</f>
        <v>4.1414958553523215E-2</v>
      </c>
      <c r="FQ3" s="49">
        <f>FN3/FH3-1</f>
        <v>3.9772727272727293E-2</v>
      </c>
      <c r="FR3" s="7">
        <v>9951600</v>
      </c>
      <c r="FS3" s="8">
        <v>10345833</v>
      </c>
      <c r="FT3" s="44">
        <v>9550</v>
      </c>
      <c r="FU3" s="105">
        <f>(FS3-FR3)/FS3</f>
        <v>3.8105486527764368E-2</v>
      </c>
      <c r="FV3" s="96">
        <f>(FS3-FR3)/FR3</f>
        <v>3.9615036778005548E-2</v>
      </c>
      <c r="FW3" s="49">
        <f>FT3/FN3-1</f>
        <v>4.3715846994535568E-2</v>
      </c>
      <c r="FX3" s="7">
        <v>10420700</v>
      </c>
      <c r="FY3" s="8">
        <v>10833333</v>
      </c>
      <c r="FZ3" s="44">
        <v>10000</v>
      </c>
      <c r="GA3" s="105">
        <f>(FY3-FX3)/FY3</f>
        <v>3.8089201171975423E-2</v>
      </c>
      <c r="GB3" s="96">
        <f>(FY3-FX3)/FX3</f>
        <v>3.9597435872830038E-2</v>
      </c>
      <c r="GC3" s="49">
        <f>FZ3/FT3-1</f>
        <v>4.7120418848167533E-2</v>
      </c>
      <c r="GD3" s="202">
        <v>1042.07</v>
      </c>
      <c r="GE3" s="204">
        <v>1083.3333</v>
      </c>
      <c r="GF3" s="205">
        <v>1</v>
      </c>
      <c r="GG3" s="187">
        <f>(GE3-GD3)/GE3</f>
        <v>3.8089201171975486E-2</v>
      </c>
      <c r="GH3" s="188">
        <f>(GE3-GD3)/GD3</f>
        <v>3.9597435872830114E-2</v>
      </c>
      <c r="GI3" s="189">
        <f>GF3/FZ3-1</f>
        <v>-0.99990000000000001</v>
      </c>
      <c r="GJ3" s="202">
        <v>1052.21</v>
      </c>
      <c r="GK3" s="204">
        <v>1092</v>
      </c>
      <c r="GL3" s="205">
        <v>1.01</v>
      </c>
      <c r="GM3" s="187">
        <f>(GK3-GJ3)/GK3</f>
        <v>3.6437728937728904E-2</v>
      </c>
      <c r="GN3" s="188">
        <f>(GK3-GJ3)/GJ3</f>
        <v>3.7815645165888902E-2</v>
      </c>
      <c r="GO3" s="189">
        <f>GL3/GF3-1</f>
        <v>1.0000000000000009E-2</v>
      </c>
      <c r="GP3" s="243">
        <v>1062.3499999999999</v>
      </c>
      <c r="GQ3" s="248">
        <v>1118</v>
      </c>
      <c r="GR3" s="261">
        <v>1.02</v>
      </c>
      <c r="GS3" s="275">
        <f>(GQ3-GP3)/GQ3</f>
        <v>4.9776386404293466E-2</v>
      </c>
      <c r="GT3" s="276">
        <f>(GQ3-GP3)/GP3</f>
        <v>5.2383865957547036E-2</v>
      </c>
      <c r="GU3" s="277">
        <f>GR3/GL3-1</f>
        <v>9.9009900990099098E-3</v>
      </c>
      <c r="GV3" s="243">
        <v>1072.49</v>
      </c>
      <c r="GW3" s="248">
        <v>1118</v>
      </c>
      <c r="GX3" s="261">
        <v>1.03</v>
      </c>
      <c r="GY3" s="275">
        <f>(GW3-GV3)/GW3</f>
        <v>4.0706618962432911E-2</v>
      </c>
      <c r="GZ3" s="276">
        <f>(GW3-GV3)/GV3</f>
        <v>4.2433962088224593E-2</v>
      </c>
      <c r="HA3" s="277">
        <f>GX3/GR3-1</f>
        <v>9.8039215686274161E-3</v>
      </c>
      <c r="HB3" s="243">
        <v>1082.6300000000001</v>
      </c>
      <c r="HC3" s="248">
        <v>1131</v>
      </c>
      <c r="HD3" s="261">
        <v>1.04</v>
      </c>
      <c r="HE3" s="275">
        <f>(HC3-HB3)/HC3</f>
        <v>4.2767462422634739E-2</v>
      </c>
      <c r="HF3" s="276">
        <f>(HC3-HB3)/HB3</f>
        <v>4.4678237255571976E-2</v>
      </c>
      <c r="HG3" s="277">
        <f>HD3/GX3-1</f>
        <v>9.7087378640776656E-3</v>
      </c>
      <c r="HH3" s="243">
        <v>1092.77</v>
      </c>
      <c r="HI3" s="248">
        <v>1131</v>
      </c>
      <c r="HJ3" s="261">
        <v>1.05</v>
      </c>
      <c r="HK3" s="275">
        <f>(HI3-HH3)/HI3</f>
        <v>3.3801945181255545E-2</v>
      </c>
      <c r="HL3" s="276">
        <f>(HI3-HH3)/HH3</f>
        <v>3.4984488959250361E-2</v>
      </c>
      <c r="HM3" s="277">
        <f>HJ3/HD3-1</f>
        <v>9.6153846153845812E-3</v>
      </c>
      <c r="HN3" s="243">
        <v>1102.9100000000001</v>
      </c>
      <c r="HO3" s="248">
        <v>1144</v>
      </c>
      <c r="HP3" s="261">
        <v>1.06</v>
      </c>
      <c r="HQ3" s="275">
        <f>(HO3-HN3)/HO3</f>
        <v>3.5917832167832099E-2</v>
      </c>
      <c r="HR3" s="276">
        <f>(HO3-HN3)/HN3</f>
        <v>3.7255986435883175E-2</v>
      </c>
      <c r="HS3" s="277">
        <f>HP3/HJ3-1</f>
        <v>9.52380952380949E-3</v>
      </c>
      <c r="HT3" s="243">
        <v>1123.19</v>
      </c>
      <c r="HU3" s="248">
        <v>1170</v>
      </c>
      <c r="HV3" s="261">
        <v>1.08</v>
      </c>
      <c r="HW3" s="275">
        <f>(HU3-HT3)/HU3</f>
        <v>4.000854700854696E-2</v>
      </c>
      <c r="HX3" s="276">
        <f>(HU3-HT3)/HT3</f>
        <v>4.1675940847051653E-2</v>
      </c>
      <c r="HY3" s="277">
        <f>HV3/HP3-1</f>
        <v>1.8867924528301883E-2</v>
      </c>
      <c r="HZ3" s="243">
        <v>1143.47</v>
      </c>
      <c r="IA3" s="248">
        <v>1196</v>
      </c>
      <c r="IB3" s="261">
        <v>1.1000000000000001</v>
      </c>
      <c r="IC3" s="275">
        <f>(IA3-HZ3)/IA3</f>
        <v>4.3921404682274227E-2</v>
      </c>
      <c r="ID3" s="276">
        <f>(IA3-HZ3)/HZ3</f>
        <v>4.5939115149501053E-2</v>
      </c>
      <c r="IE3" s="277">
        <f>IB3/HV3-1</f>
        <v>1.8518518518518601E-2</v>
      </c>
      <c r="IF3" s="243">
        <v>1153.6099999999999</v>
      </c>
      <c r="IG3" s="248">
        <v>1196</v>
      </c>
      <c r="IH3" s="261">
        <v>1.1100000000000001</v>
      </c>
      <c r="II3" s="275">
        <f>(IG3-IF3)/IG3</f>
        <v>3.5443143812709112E-2</v>
      </c>
      <c r="IJ3" s="276">
        <f>(IG3-IF3)/IF3</f>
        <v>3.6745520583212787E-2</v>
      </c>
      <c r="IK3" s="277">
        <f>IH3/IB3-1</f>
        <v>9.0909090909090384E-3</v>
      </c>
      <c r="IL3" s="243">
        <v>1163.75</v>
      </c>
      <c r="IM3" s="248">
        <v>1209</v>
      </c>
      <c r="IN3" s="261">
        <v>1.1200000000000001</v>
      </c>
      <c r="IO3" s="275">
        <f>(IM3-IL3)/IM3</f>
        <v>3.7427626137303556E-2</v>
      </c>
      <c r="IP3" s="276">
        <f>(IM3-IL3)/IL3</f>
        <v>3.8882921589688507E-2</v>
      </c>
      <c r="IQ3" s="277">
        <f>IN3/IH3-1</f>
        <v>9.009009009008917E-3</v>
      </c>
    </row>
    <row r="4" spans="1:251" x14ac:dyDescent="0.2">
      <c r="A4" s="41" t="s">
        <v>44</v>
      </c>
      <c r="B4" s="41"/>
      <c r="C4" s="20"/>
      <c r="D4" s="148"/>
      <c r="E4" s="152">
        <v>1760</v>
      </c>
      <c r="F4" s="20"/>
      <c r="G4" s="148"/>
      <c r="H4" s="152">
        <v>1840</v>
      </c>
      <c r="I4" s="20"/>
      <c r="J4" s="148"/>
      <c r="K4" s="149">
        <v>1930</v>
      </c>
      <c r="L4" s="20"/>
      <c r="M4" s="145"/>
      <c r="N4" s="139">
        <v>2020</v>
      </c>
      <c r="O4" s="137"/>
      <c r="P4" s="138"/>
      <c r="Q4" s="139">
        <v>2120</v>
      </c>
      <c r="R4" s="137"/>
      <c r="S4" s="138"/>
      <c r="T4" s="139">
        <v>2230</v>
      </c>
      <c r="U4" s="137"/>
      <c r="V4" s="138"/>
      <c r="W4" s="139">
        <v>2350</v>
      </c>
      <c r="X4" s="137"/>
      <c r="Y4" s="138"/>
      <c r="Z4" s="139">
        <v>2470</v>
      </c>
      <c r="AA4" s="38">
        <v>2239160</v>
      </c>
      <c r="AB4" s="11">
        <v>2445763</v>
      </c>
      <c r="AC4" s="12">
        <v>2220</v>
      </c>
      <c r="AD4" s="10">
        <v>2485470</v>
      </c>
      <c r="AE4" s="11">
        <v>2721186</v>
      </c>
      <c r="AF4" s="12">
        <v>2470</v>
      </c>
      <c r="AG4" s="10">
        <v>2535180</v>
      </c>
      <c r="AH4" s="11">
        <v>2730000</v>
      </c>
      <c r="AI4" s="12">
        <v>2520</v>
      </c>
      <c r="AJ4" s="167">
        <v>2611240</v>
      </c>
      <c r="AK4" s="168">
        <v>2730000</v>
      </c>
      <c r="AL4" s="169">
        <v>2520</v>
      </c>
      <c r="AM4" s="10">
        <v>2715690</v>
      </c>
      <c r="AN4" s="11">
        <v>2925000</v>
      </c>
      <c r="AO4" s="12">
        <v>2700</v>
      </c>
      <c r="AP4" s="10">
        <v>2878630</v>
      </c>
      <c r="AQ4" s="11">
        <v>3109167</v>
      </c>
      <c r="AR4" s="12">
        <v>2870</v>
      </c>
      <c r="AS4" s="167">
        <v>2878630</v>
      </c>
      <c r="AT4" s="168">
        <v>3109167</v>
      </c>
      <c r="AU4" s="169">
        <v>2870</v>
      </c>
      <c r="AV4" s="10">
        <v>3024300</v>
      </c>
      <c r="AW4" s="11">
        <v>3250000</v>
      </c>
      <c r="AX4" s="12">
        <v>3000</v>
      </c>
      <c r="AY4" s="10"/>
      <c r="AZ4" s="11"/>
      <c r="BA4" s="12">
        <v>3000</v>
      </c>
      <c r="BB4" s="10">
        <v>3325000</v>
      </c>
      <c r="BC4" s="11">
        <v>3575000</v>
      </c>
      <c r="BD4" s="12">
        <v>3300</v>
      </c>
      <c r="BE4" s="10">
        <v>3986500</v>
      </c>
      <c r="BF4" s="11">
        <v>4279167</v>
      </c>
      <c r="BG4" s="12">
        <v>3950</v>
      </c>
      <c r="BH4" s="10">
        <v>5216900</v>
      </c>
      <c r="BI4" s="11">
        <v>5525000</v>
      </c>
      <c r="BJ4" s="12">
        <v>5100</v>
      </c>
      <c r="BK4" s="10">
        <v>4224600</v>
      </c>
      <c r="BL4" s="11">
        <v>4550000</v>
      </c>
      <c r="BM4" s="12">
        <v>4200</v>
      </c>
      <c r="BN4" s="10">
        <v>4395400</v>
      </c>
      <c r="BO4" s="11">
        <v>4690833</v>
      </c>
      <c r="BP4" s="12">
        <v>4330</v>
      </c>
      <c r="BQ4" s="10">
        <v>4526700</v>
      </c>
      <c r="BR4" s="11">
        <v>4831667</v>
      </c>
      <c r="BS4" s="12">
        <v>4460</v>
      </c>
      <c r="BT4" s="10">
        <v>4684400</v>
      </c>
      <c r="BU4" s="11">
        <v>4972500</v>
      </c>
      <c r="BV4" s="45">
        <v>4590</v>
      </c>
      <c r="BW4" s="10">
        <v>4931600</v>
      </c>
      <c r="BX4" s="11">
        <v>5221667</v>
      </c>
      <c r="BY4" s="45">
        <v>4820</v>
      </c>
      <c r="BZ4" s="10">
        <v>5094100</v>
      </c>
      <c r="CA4" s="11">
        <v>5384167</v>
      </c>
      <c r="CB4" s="12">
        <v>4970</v>
      </c>
      <c r="CC4" s="38">
        <v>5277900</v>
      </c>
      <c r="CD4" s="11">
        <v>5579167</v>
      </c>
      <c r="CE4" s="11">
        <v>5150</v>
      </c>
      <c r="CF4" s="24">
        <f>(CD4-CC4)/CD4</f>
        <v>5.3998562867897663E-2</v>
      </c>
      <c r="CG4" s="47">
        <f>CE4/CB4-1</f>
        <v>3.6217303822937641E-2</v>
      </c>
      <c r="CH4" s="38">
        <v>5849800</v>
      </c>
      <c r="CI4" s="11">
        <v>6175000</v>
      </c>
      <c r="CJ4" s="11">
        <v>5700</v>
      </c>
      <c r="CK4" s="24">
        <f>(CI4-CH4)/CI4</f>
        <v>5.2663967611336029E-2</v>
      </c>
      <c r="CL4" s="47">
        <f>CJ4/CE4-1</f>
        <v>0.10679611650485432</v>
      </c>
      <c r="CM4" s="38">
        <v>6082800</v>
      </c>
      <c r="CN4" s="11">
        <v>6500000</v>
      </c>
      <c r="CO4" s="11">
        <v>6000</v>
      </c>
      <c r="CP4" s="24">
        <f>(CN4-CM4)/CN4</f>
        <v>6.4184615384615382E-2</v>
      </c>
      <c r="CQ4" s="59">
        <f>CO4/CJ4-1</f>
        <v>5.2631578947368363E-2</v>
      </c>
      <c r="CR4" s="10">
        <v>6326400</v>
      </c>
      <c r="CS4" s="11">
        <v>6825000</v>
      </c>
      <c r="CT4" s="11">
        <v>6300</v>
      </c>
      <c r="CU4" s="24">
        <f>(CS4-CR4)/CS4</f>
        <v>7.3054945054945059E-2</v>
      </c>
      <c r="CV4" s="59">
        <f>(CS4-CR4)/CR4</f>
        <v>7.8812594840667674E-2</v>
      </c>
      <c r="CW4" s="47">
        <f>CT4/CO4-1</f>
        <v>5.0000000000000044E-2</v>
      </c>
      <c r="CX4" s="10">
        <v>6326400</v>
      </c>
      <c r="CY4" s="11">
        <v>6825000</v>
      </c>
      <c r="CZ4" s="11">
        <v>6300</v>
      </c>
      <c r="DA4" s="24">
        <f>(CY4-CX4)/CY4</f>
        <v>7.3054945054945059E-2</v>
      </c>
      <c r="DB4" s="59">
        <f>(CY4-CX4)/CX4</f>
        <v>7.8812594840667674E-2</v>
      </c>
      <c r="DC4" s="47">
        <f>CZ4/CT4-1</f>
        <v>0</v>
      </c>
      <c r="DD4" s="10">
        <v>6682800</v>
      </c>
      <c r="DE4" s="11">
        <v>7204167</v>
      </c>
      <c r="DF4" s="11">
        <v>6650</v>
      </c>
      <c r="DG4" s="24">
        <f>(DE4-DD4)/DE4</f>
        <v>7.2370199080615427E-2</v>
      </c>
      <c r="DH4" s="59">
        <f>(DE4-DD4)/DD4</f>
        <v>7.8016250673370438E-2</v>
      </c>
      <c r="DI4" s="47">
        <f>DF4/CZ4-1</f>
        <v>5.555555555555558E-2</v>
      </c>
      <c r="DJ4" s="10">
        <v>6924800</v>
      </c>
      <c r="DK4" s="11">
        <v>7529167</v>
      </c>
      <c r="DL4" s="45">
        <v>6950</v>
      </c>
      <c r="DM4" s="106">
        <f>(DK4-DJ4)/DK4</f>
        <v>8.0270101592911938E-2</v>
      </c>
      <c r="DN4" s="97">
        <f>(DK4-DJ4)/DJ4</f>
        <v>8.7275733595194083E-2</v>
      </c>
      <c r="DO4" s="47">
        <f>DL4/DF4-1</f>
        <v>4.5112781954887327E-2</v>
      </c>
      <c r="DP4" s="10">
        <v>7274000</v>
      </c>
      <c r="DQ4" s="11">
        <v>7908333</v>
      </c>
      <c r="DR4" s="45">
        <v>7300</v>
      </c>
      <c r="DS4" s="106">
        <f>(DQ4-DP4)/DQ4</f>
        <v>8.0210709387174256E-2</v>
      </c>
      <c r="DT4" s="97">
        <f>(DQ4-DP4)/DP4</f>
        <v>8.720552653285675E-2</v>
      </c>
      <c r="DU4" s="47">
        <f>DR4/DL4-1</f>
        <v>5.0359712230215736E-2</v>
      </c>
      <c r="DV4" s="10">
        <v>7274000</v>
      </c>
      <c r="DW4" s="11">
        <v>7908333</v>
      </c>
      <c r="DX4" s="45">
        <v>7300</v>
      </c>
      <c r="DY4" s="106">
        <f>(DW4-DV4)/DW4</f>
        <v>8.0210709387174256E-2</v>
      </c>
      <c r="DZ4" s="97">
        <f>(DW4-DV4)/DV4</f>
        <v>8.720552653285675E-2</v>
      </c>
      <c r="EA4" s="47">
        <f>DX4/DR4-1</f>
        <v>0</v>
      </c>
      <c r="EB4" s="10">
        <v>7592700</v>
      </c>
      <c r="EC4" s="11">
        <v>8341667</v>
      </c>
      <c r="ED4" s="45">
        <v>7700</v>
      </c>
      <c r="EE4" s="106">
        <f>(EC4-EB4)/EC4</f>
        <v>8.9786250158391603E-2</v>
      </c>
      <c r="EF4" s="97">
        <f>(EC4-EB4)/EB4</f>
        <v>9.8643038708232905E-2</v>
      </c>
      <c r="EG4" s="47">
        <f>ED4/DX4-1</f>
        <v>5.4794520547945202E-2</v>
      </c>
      <c r="EH4" s="10">
        <v>8073000</v>
      </c>
      <c r="EI4" s="11">
        <v>8883333</v>
      </c>
      <c r="EJ4" s="45">
        <v>8200</v>
      </c>
      <c r="EK4" s="106">
        <f>(EI4-EH4)/EI4</f>
        <v>9.1219478094539522E-2</v>
      </c>
      <c r="EL4" s="97">
        <f>(EI4-EH4)/EH4</f>
        <v>0.10037569676700112</v>
      </c>
      <c r="EM4" s="47">
        <f>EJ4/ED4-1</f>
        <v>6.4935064935064846E-2</v>
      </c>
      <c r="EN4" s="10">
        <v>8265300</v>
      </c>
      <c r="EO4" s="11">
        <v>9100000</v>
      </c>
      <c r="EP4" s="45">
        <v>8400</v>
      </c>
      <c r="EQ4" s="106">
        <f>(EO4-EN4)/EO4</f>
        <v>9.1725274725274725E-2</v>
      </c>
      <c r="ER4" s="97">
        <f>(EO4-EN4)/EN4</f>
        <v>0.10098846986800238</v>
      </c>
      <c r="ES4" s="47">
        <f>EP4/EJ4-1</f>
        <v>2.4390243902439046E-2</v>
      </c>
      <c r="ET4" s="10">
        <v>8480300</v>
      </c>
      <c r="EU4" s="11">
        <v>9316667</v>
      </c>
      <c r="EV4" s="45">
        <v>8600</v>
      </c>
      <c r="EW4" s="106">
        <f>(EU4-ET4)/EU4</f>
        <v>8.9771052244327285E-2</v>
      </c>
      <c r="EX4" s="97">
        <f>(EU4-ET4)/ET4</f>
        <v>9.8624694881077321E-2</v>
      </c>
      <c r="EY4" s="47">
        <f>EV4/EP4-1</f>
        <v>2.3809523809523725E-2</v>
      </c>
      <c r="EZ4" s="10">
        <v>8963800</v>
      </c>
      <c r="FA4" s="11">
        <v>9858333</v>
      </c>
      <c r="FB4" s="45">
        <v>9100</v>
      </c>
      <c r="FC4" s="106">
        <f>(FA4-EZ4)/FA4</f>
        <v>9.073876891762532E-2</v>
      </c>
      <c r="FD4" s="97">
        <f>(FA4-EZ4)/EZ4</f>
        <v>9.9793948994845935E-2</v>
      </c>
      <c r="FE4" s="47">
        <f>FB4/EV4-1</f>
        <v>5.8139534883721034E-2</v>
      </c>
      <c r="FF4" s="10">
        <v>9363300</v>
      </c>
      <c r="FG4" s="11">
        <v>10291667</v>
      </c>
      <c r="FH4" s="45">
        <v>9500</v>
      </c>
      <c r="FI4" s="106">
        <f>(FG4-FF4)/FG4</f>
        <v>9.0205697483216274E-2</v>
      </c>
      <c r="FJ4" s="97">
        <f>(FG4-FF4)/FF4</f>
        <v>9.9149551974197128E-2</v>
      </c>
      <c r="FK4" s="47">
        <f>FH4/FB4-1</f>
        <v>4.3956043956044022E-2</v>
      </c>
      <c r="FL4" s="10">
        <v>9796600</v>
      </c>
      <c r="FM4" s="11">
        <v>10725000</v>
      </c>
      <c r="FN4" s="45">
        <v>9900</v>
      </c>
      <c r="FO4" s="106">
        <f>(FM4-FL4)/FM4</f>
        <v>8.656410256410256E-2</v>
      </c>
      <c r="FP4" s="97">
        <f>(FM4-FL4)/FL4</f>
        <v>9.4767572423085561E-2</v>
      </c>
      <c r="FQ4" s="47">
        <f>FN4/FH4-1</f>
        <v>4.2105263157894646E-2</v>
      </c>
      <c r="FR4" s="10">
        <v>10284100</v>
      </c>
      <c r="FS4" s="11">
        <v>11212500</v>
      </c>
      <c r="FT4" s="45">
        <v>10350</v>
      </c>
      <c r="FU4" s="106">
        <f>(FS4-FR4)/FS4</f>
        <v>8.280044593088072E-2</v>
      </c>
      <c r="FV4" s="97">
        <f>(FS4-FR4)/FR4</f>
        <v>9.027527931467022E-2</v>
      </c>
      <c r="FW4" s="47">
        <f>FT4/FN4-1</f>
        <v>4.5454545454545414E-2</v>
      </c>
      <c r="FX4" s="10">
        <v>10830700</v>
      </c>
      <c r="FY4" s="11"/>
      <c r="FZ4" s="45"/>
      <c r="GA4" s="106"/>
      <c r="GB4" s="97"/>
      <c r="GC4" s="47"/>
      <c r="GD4" s="203">
        <v>1083.07</v>
      </c>
      <c r="GE4" s="191"/>
      <c r="GF4" s="192"/>
      <c r="GG4" s="193"/>
      <c r="GH4" s="194"/>
      <c r="GI4" s="195"/>
      <c r="GJ4" s="190"/>
      <c r="GK4" s="191"/>
      <c r="GL4" s="192"/>
      <c r="GM4" s="193"/>
      <c r="GN4" s="194"/>
      <c r="GO4" s="195"/>
      <c r="GP4" s="244"/>
      <c r="GQ4" s="249"/>
      <c r="GR4" s="262"/>
      <c r="GS4" s="278"/>
      <c r="GT4" s="279"/>
      <c r="GU4" s="280"/>
      <c r="GV4" s="244"/>
      <c r="GW4" s="249"/>
      <c r="GX4" s="262"/>
      <c r="GY4" s="278"/>
      <c r="GZ4" s="279"/>
      <c r="HA4" s="280"/>
      <c r="HB4" s="244"/>
      <c r="HC4" s="249"/>
      <c r="HD4" s="262"/>
      <c r="HE4" s="278"/>
      <c r="HF4" s="279"/>
      <c r="HG4" s="280"/>
      <c r="HH4" s="244"/>
      <c r="HI4" s="249"/>
      <c r="HJ4" s="262"/>
      <c r="HK4" s="278"/>
      <c r="HL4" s="279"/>
      <c r="HM4" s="280"/>
      <c r="HN4" s="244"/>
      <c r="HO4" s="249"/>
      <c r="HP4" s="262"/>
      <c r="HQ4" s="278"/>
      <c r="HR4" s="279"/>
      <c r="HS4" s="280"/>
      <c r="HT4" s="244"/>
      <c r="HU4" s="249"/>
      <c r="HV4" s="262"/>
      <c r="HW4" s="278"/>
      <c r="HX4" s="279"/>
      <c r="HY4" s="280"/>
      <c r="HZ4" s="244"/>
      <c r="IA4" s="249"/>
      <c r="IB4" s="262"/>
      <c r="IC4" s="278"/>
      <c r="ID4" s="279"/>
      <c r="IE4" s="280"/>
      <c r="IF4" s="244"/>
      <c r="IG4" s="249"/>
      <c r="IH4" s="262"/>
      <c r="II4" s="278"/>
      <c r="IJ4" s="279"/>
      <c r="IK4" s="280"/>
      <c r="IL4" s="244"/>
      <c r="IM4" s="249"/>
      <c r="IN4" s="262"/>
      <c r="IO4" s="278"/>
      <c r="IP4" s="279"/>
      <c r="IQ4" s="280"/>
    </row>
    <row r="5" spans="1:251" x14ac:dyDescent="0.2">
      <c r="A5" s="41" t="s">
        <v>45</v>
      </c>
      <c r="B5" s="41"/>
      <c r="C5" s="20"/>
      <c r="D5" s="148"/>
      <c r="F5" s="20"/>
      <c r="G5" s="148"/>
      <c r="I5" s="20"/>
      <c r="J5" s="148"/>
      <c r="L5" s="20"/>
      <c r="M5" s="145"/>
      <c r="O5" s="137"/>
      <c r="P5" s="138"/>
      <c r="R5" s="137"/>
      <c r="S5" s="138"/>
      <c r="U5" s="137"/>
      <c r="V5" s="138"/>
      <c r="X5" s="137"/>
      <c r="Y5" s="138"/>
      <c r="AA5" s="38"/>
      <c r="AB5" s="11"/>
      <c r="AC5" s="12"/>
      <c r="AD5" s="10"/>
      <c r="AE5" s="11"/>
      <c r="AF5" s="12"/>
      <c r="AG5" s="10"/>
      <c r="AH5" s="11"/>
      <c r="AI5" s="12"/>
      <c r="AJ5" s="167"/>
      <c r="AK5" s="168"/>
      <c r="AL5" s="169"/>
      <c r="AM5" s="10"/>
      <c r="AN5" s="11"/>
      <c r="AO5" s="12"/>
      <c r="AP5" s="10"/>
      <c r="AQ5" s="11"/>
      <c r="AR5" s="12"/>
      <c r="AS5" s="167"/>
      <c r="AT5" s="168"/>
      <c r="AU5" s="169"/>
      <c r="AV5" s="10"/>
      <c r="AW5" s="11"/>
      <c r="AX5" s="12"/>
      <c r="AY5" s="10"/>
      <c r="AZ5" s="11"/>
      <c r="BB5" s="10"/>
      <c r="BC5" s="11"/>
      <c r="BD5" s="12"/>
      <c r="BE5" s="10"/>
      <c r="BF5" s="11"/>
      <c r="BG5" s="12"/>
      <c r="BH5" s="10"/>
      <c r="BI5" s="11"/>
      <c r="BJ5" s="12"/>
      <c r="BK5" s="10"/>
      <c r="BL5" s="11"/>
      <c r="BM5" s="12"/>
      <c r="BN5" s="10"/>
      <c r="BO5" s="11"/>
      <c r="BP5" s="12"/>
      <c r="BQ5" s="10"/>
      <c r="BR5" s="11"/>
      <c r="BS5" s="12"/>
      <c r="BT5" s="10"/>
      <c r="BU5" s="11"/>
      <c r="BV5" s="45"/>
      <c r="BW5" s="10"/>
      <c r="BX5" s="11"/>
      <c r="BY5" s="45"/>
      <c r="BZ5" s="10"/>
      <c r="CA5" s="11"/>
      <c r="CB5" s="12"/>
      <c r="CC5" s="38"/>
      <c r="CD5" s="11"/>
      <c r="CE5" s="11"/>
      <c r="CF5" s="24"/>
      <c r="CG5" s="47"/>
      <c r="CH5" s="38"/>
      <c r="CI5" s="11"/>
      <c r="CJ5" s="11"/>
      <c r="CK5" s="24"/>
      <c r="CL5" s="47"/>
      <c r="CM5" s="38"/>
      <c r="CN5" s="11"/>
      <c r="CO5" s="11"/>
      <c r="CP5" s="24"/>
      <c r="CQ5" s="59"/>
      <c r="CR5" s="10"/>
      <c r="CS5" s="11"/>
      <c r="CT5" s="11"/>
      <c r="CU5" s="24"/>
      <c r="CV5" s="59"/>
      <c r="CW5" s="47"/>
      <c r="CX5" s="10"/>
      <c r="CY5" s="11"/>
      <c r="CZ5" s="11"/>
      <c r="DA5" s="24"/>
      <c r="DB5" s="59"/>
      <c r="DC5" s="47"/>
      <c r="DD5" s="10"/>
      <c r="DE5" s="11"/>
      <c r="DF5" s="11"/>
      <c r="DG5" s="24"/>
      <c r="DH5" s="59"/>
      <c r="DI5" s="47"/>
      <c r="DJ5" s="10"/>
      <c r="DK5" s="11"/>
      <c r="DL5" s="45"/>
      <c r="DM5" s="106"/>
      <c r="DN5" s="97"/>
      <c r="DO5" s="47"/>
      <c r="DP5" s="10">
        <v>7325300</v>
      </c>
      <c r="DQ5" s="11">
        <v>8016667</v>
      </c>
      <c r="DR5" s="45">
        <v>7400</v>
      </c>
      <c r="DS5" s="106">
        <f>(DQ5-DP5)/DQ5</f>
        <v>8.6241202235293052E-2</v>
      </c>
      <c r="DT5" s="97">
        <f>(DQ5-DP5)/DP5</f>
        <v>9.4380707957353288E-2</v>
      </c>
      <c r="DU5" s="47" t="e">
        <f>DR5/DL5-1</f>
        <v>#DIV/0!</v>
      </c>
      <c r="DV5" s="10">
        <v>7325300</v>
      </c>
      <c r="DW5" s="11">
        <v>8016667</v>
      </c>
      <c r="DX5" s="45">
        <v>7400</v>
      </c>
      <c r="DY5" s="106">
        <f>(DW5-DV5)/DW5</f>
        <v>8.6241202235293052E-2</v>
      </c>
      <c r="DZ5" s="97">
        <f>(DW5-DV5)/DV5</f>
        <v>9.4380707957353288E-2</v>
      </c>
      <c r="EA5" s="47">
        <f>DX5/DR5-1</f>
        <v>0</v>
      </c>
      <c r="EB5" s="10">
        <v>7639200</v>
      </c>
      <c r="EC5" s="11">
        <v>8450000</v>
      </c>
      <c r="ED5" s="45">
        <v>7800</v>
      </c>
      <c r="EE5" s="106">
        <f>(EC5-EB5)/EC5</f>
        <v>9.5952662721893497E-2</v>
      </c>
      <c r="EF5" s="97">
        <f>(EC5-EB5)/EB5</f>
        <v>0.10613676824798408</v>
      </c>
      <c r="EG5" s="47">
        <f>ED5/DX5-1</f>
        <v>5.4054054054053946E-2</v>
      </c>
      <c r="EH5" s="10">
        <v>8211900</v>
      </c>
      <c r="EI5" s="11">
        <v>9100000</v>
      </c>
      <c r="EJ5" s="45">
        <v>8400</v>
      </c>
      <c r="EK5" s="106">
        <f>(EI5-EH5)/EI5</f>
        <v>9.7593406593406595E-2</v>
      </c>
      <c r="EL5" s="97">
        <f>(EI5-EH5)/EH5</f>
        <v>0.10814793166015173</v>
      </c>
      <c r="EM5" s="47">
        <f>EJ5/ED5-1</f>
        <v>7.6923076923076872E-2</v>
      </c>
      <c r="EN5" s="10">
        <v>8402800</v>
      </c>
      <c r="EO5" s="11">
        <v>9316667</v>
      </c>
      <c r="EP5" s="45">
        <v>8600</v>
      </c>
      <c r="EQ5" s="106">
        <f>(EO5-EN5)/EO5</f>
        <v>9.8089477706995429E-2</v>
      </c>
      <c r="ER5" s="97">
        <f>(EO5-EN5)/EN5</f>
        <v>0.10875743799685819</v>
      </c>
      <c r="ES5" s="47">
        <f>EP5/EJ5-1</f>
        <v>2.3809523809523725E-2</v>
      </c>
      <c r="ET5" s="10">
        <v>8616200</v>
      </c>
      <c r="EU5" s="11">
        <v>9533333</v>
      </c>
      <c r="EV5" s="45">
        <v>8800</v>
      </c>
      <c r="EW5" s="106">
        <f>(EU5-ET5)/EU5</f>
        <v>9.6202765601495308E-2</v>
      </c>
      <c r="EX5" s="97">
        <f>(EU5-ET5)/ET5</f>
        <v>0.10644286344328126</v>
      </c>
      <c r="EY5" s="47">
        <f>EV5/EP5-1</f>
        <v>2.3255813953488413E-2</v>
      </c>
      <c r="EZ5" s="10">
        <v>9106500</v>
      </c>
      <c r="FA5" s="11">
        <v>10075000</v>
      </c>
      <c r="FB5" s="45">
        <v>9300</v>
      </c>
      <c r="FC5" s="106">
        <f>(FA5-EZ5)/FA5</f>
        <v>9.6129032258064517E-2</v>
      </c>
      <c r="FD5" s="97">
        <f>(FA5-EZ5)/EZ5</f>
        <v>0.10635260528194147</v>
      </c>
      <c r="FE5" s="47">
        <f>FB5/EV5-1</f>
        <v>5.6818181818181879E-2</v>
      </c>
      <c r="FF5" s="10">
        <v>9512500</v>
      </c>
      <c r="FG5" s="11">
        <v>10508333</v>
      </c>
      <c r="FH5" s="45">
        <v>9700</v>
      </c>
      <c r="FI5" s="106">
        <f>(FG5-FF5)/FG5</f>
        <v>9.4766029968787621E-2</v>
      </c>
      <c r="FJ5" s="97">
        <f>(FG5-FF5)/FF5</f>
        <v>0.10468678055190539</v>
      </c>
      <c r="FK5" s="47">
        <f>FH5/FB5-1</f>
        <v>4.3010752688172005E-2</v>
      </c>
      <c r="FL5" s="10">
        <v>9945500</v>
      </c>
      <c r="FM5" s="11">
        <v>10941667</v>
      </c>
      <c r="FN5" s="45">
        <v>10100</v>
      </c>
      <c r="FO5" s="106">
        <f>(FM5-FL5)/FM5</f>
        <v>9.1043439724495356E-2</v>
      </c>
      <c r="FP5" s="97">
        <f>(FM5-FL5)/FL5</f>
        <v>0.10016258609421347</v>
      </c>
      <c r="FQ5" s="47">
        <f>FN5/FH5-1</f>
        <v>4.1237113402061931E-2</v>
      </c>
      <c r="FR5" s="10">
        <v>10487100</v>
      </c>
      <c r="FS5" s="11">
        <v>11483333</v>
      </c>
      <c r="FT5" s="45">
        <v>10600</v>
      </c>
      <c r="FU5" s="106">
        <f>(FS5-FR5)/FS5</f>
        <v>8.6754690471834262E-2</v>
      </c>
      <c r="FV5" s="97">
        <f>(FS5-FR5)/FR5</f>
        <v>9.4996042757292287E-2</v>
      </c>
      <c r="FW5" s="47">
        <f>FT5/FN5-1</f>
        <v>4.9504950495049549E-2</v>
      </c>
      <c r="FX5" s="10">
        <v>10981900</v>
      </c>
      <c r="FY5" s="11">
        <v>12025000</v>
      </c>
      <c r="FZ5" s="45">
        <v>11100</v>
      </c>
      <c r="GA5" s="106">
        <f>(FY5-FX5)/FY5</f>
        <v>8.6744282744282739E-2</v>
      </c>
      <c r="GB5" s="97">
        <f>(FY5-FX5)/FX5</f>
        <v>9.4983563864176515E-2</v>
      </c>
      <c r="GC5" s="47">
        <f>FZ5/FT5-1</f>
        <v>4.7169811320754818E-2</v>
      </c>
      <c r="GD5" s="203">
        <v>1098.19</v>
      </c>
      <c r="GE5" s="206">
        <v>1202.5</v>
      </c>
      <c r="GF5" s="207">
        <v>1.1100000000000001</v>
      </c>
      <c r="GG5" s="193">
        <f>(GE5-GD5)/GE5</f>
        <v>8.6744282744282697E-2</v>
      </c>
      <c r="GH5" s="194">
        <f>(GE5-GD5)/GD5</f>
        <v>9.498356386417646E-2</v>
      </c>
      <c r="GI5" s="195">
        <f>GF5/FZ5-1</f>
        <v>-0.99990000000000001</v>
      </c>
      <c r="GJ5" s="203">
        <v>1107.82</v>
      </c>
      <c r="GK5" s="206">
        <v>1209</v>
      </c>
      <c r="GL5" s="207">
        <v>1.1200000000000001</v>
      </c>
      <c r="GM5" s="193">
        <f>(GK5-GJ5)/GK5</f>
        <v>8.368899917287019E-2</v>
      </c>
      <c r="GN5" s="194">
        <f>(GK5-GJ5)/GJ5</f>
        <v>9.1332526944810588E-2</v>
      </c>
      <c r="GO5" s="195">
        <f>GL5/GF5-1</f>
        <v>9.009009009008917E-3</v>
      </c>
      <c r="GP5" s="245">
        <v>1117.43</v>
      </c>
      <c r="GQ5" s="250">
        <v>1222</v>
      </c>
      <c r="GR5" s="263">
        <v>1.1299999999999999</v>
      </c>
      <c r="GS5" s="278">
        <f>(GQ5-GP5)/GQ5</f>
        <v>8.5572831423895199E-2</v>
      </c>
      <c r="GT5" s="279">
        <f>(GQ5-GP5)/GP5</f>
        <v>9.3580805956525182E-2</v>
      </c>
      <c r="GU5" s="280">
        <f>GR5/GL5-1</f>
        <v>8.9285714285711748E-3</v>
      </c>
      <c r="GV5" s="245">
        <v>1127.07</v>
      </c>
      <c r="GW5" s="250">
        <v>1235</v>
      </c>
      <c r="GX5" s="263">
        <v>1.1399999999999999</v>
      </c>
      <c r="GY5" s="278">
        <f>(GW5-GV5)/GW5</f>
        <v>8.7392712550607335E-2</v>
      </c>
      <c r="GZ5" s="279">
        <f>(GW5-GV5)/GV5</f>
        <v>9.5761576477060045E-2</v>
      </c>
      <c r="HA5" s="280">
        <f>GX5/GR5-1</f>
        <v>8.8495575221239076E-3</v>
      </c>
      <c r="HB5" s="245">
        <v>1136.71</v>
      </c>
      <c r="HC5" s="250">
        <v>1248</v>
      </c>
      <c r="HD5" s="263">
        <v>1.1499999999999999</v>
      </c>
      <c r="HE5" s="278">
        <f>(HC5-HB5)/HC5</f>
        <v>8.9174679487179456E-2</v>
      </c>
      <c r="HF5" s="279">
        <f>(HC5-HB5)/HB5</f>
        <v>9.7905358446745402E-2</v>
      </c>
      <c r="HG5" s="280">
        <f>HD5/GX5-1</f>
        <v>8.7719298245614308E-3</v>
      </c>
      <c r="HH5" s="245">
        <v>1146.3499999999999</v>
      </c>
      <c r="HI5" s="250">
        <v>1261</v>
      </c>
      <c r="HJ5" s="263">
        <v>1.1599999999999999</v>
      </c>
      <c r="HK5" s="278">
        <f>(HI5-HH5)/HI5</f>
        <v>9.0919904837430676E-2</v>
      </c>
      <c r="HL5" s="279">
        <f>(HI5-HH5)/HH5</f>
        <v>0.10001308500894152</v>
      </c>
      <c r="HM5" s="280">
        <f>HJ5/HD5-1</f>
        <v>8.6956521739129933E-3</v>
      </c>
      <c r="HN5" s="245">
        <v>1155.99</v>
      </c>
      <c r="HO5" s="250">
        <v>1261</v>
      </c>
      <c r="HP5" s="263">
        <v>1.17</v>
      </c>
      <c r="HQ5" s="278">
        <f>(HO5-HN5)/HO5</f>
        <v>8.3275178429817603E-2</v>
      </c>
      <c r="HR5" s="279">
        <f>(HO5-HN5)/HN5</f>
        <v>9.0839886158184752E-2</v>
      </c>
      <c r="HS5" s="280">
        <f>HP5/HJ5-1</f>
        <v>8.6206896551723755E-3</v>
      </c>
      <c r="HT5" s="245">
        <v>1175.27</v>
      </c>
      <c r="HU5" s="250">
        <v>1287</v>
      </c>
      <c r="HV5" s="263">
        <v>1.19</v>
      </c>
      <c r="HW5" s="278">
        <f>(HU5-HT5)/HU5</f>
        <v>8.6814296814296824E-2</v>
      </c>
      <c r="HX5" s="279">
        <f>(HU5-HT5)/HT5</f>
        <v>9.5067516400486718E-2</v>
      </c>
      <c r="HY5" s="280">
        <f>HV5/HP5-1</f>
        <v>1.7094017094017033E-2</v>
      </c>
      <c r="HZ5" s="245">
        <v>1194.55</v>
      </c>
      <c r="IA5" s="250">
        <v>1313</v>
      </c>
      <c r="IB5" s="263">
        <v>1.21</v>
      </c>
      <c r="IC5" s="278">
        <f>(IA5-HZ5)/IA5</f>
        <v>9.0213252094440241E-2</v>
      </c>
      <c r="ID5" s="279">
        <f>(IA5-HZ5)/HZ5</f>
        <v>9.9158679000460465E-2</v>
      </c>
      <c r="IE5" s="280">
        <f>IB5/HV5-1</f>
        <v>1.6806722689075571E-2</v>
      </c>
      <c r="IF5" s="245">
        <v>1204.19</v>
      </c>
      <c r="IG5" s="250">
        <v>1326</v>
      </c>
      <c r="IH5" s="263">
        <v>1.22</v>
      </c>
      <c r="II5" s="278">
        <f>(IG5-IF5)/IG5</f>
        <v>9.186274509803917E-2</v>
      </c>
      <c r="IJ5" s="279">
        <f>(IG5-IF5)/IF5</f>
        <v>0.1011551333261362</v>
      </c>
      <c r="IK5" s="280">
        <f>IH5/IB5-1</f>
        <v>8.2644628099173278E-3</v>
      </c>
      <c r="IL5" s="245">
        <v>1213.83</v>
      </c>
      <c r="IM5" s="250">
        <v>1326</v>
      </c>
      <c r="IN5" s="263">
        <v>1.23</v>
      </c>
      <c r="IO5" s="278">
        <f>(IM5-IL5)/IM5</f>
        <v>8.4592760180995527E-2</v>
      </c>
      <c r="IP5" s="279">
        <f>(IM5-IL5)/IL5</f>
        <v>9.2409975037690675E-2</v>
      </c>
      <c r="IQ5" s="280">
        <f>IN5/IH5-1</f>
        <v>8.1967213114753079E-3</v>
      </c>
    </row>
    <row r="6" spans="1:251" x14ac:dyDescent="0.2">
      <c r="A6" s="41" t="s">
        <v>6</v>
      </c>
      <c r="B6" s="41"/>
      <c r="C6" s="20"/>
      <c r="D6" s="148"/>
      <c r="E6" s="152">
        <v>2000</v>
      </c>
      <c r="F6" s="20"/>
      <c r="G6" s="148"/>
      <c r="H6" s="152">
        <v>2100</v>
      </c>
      <c r="I6" s="20"/>
      <c r="J6" s="148"/>
      <c r="K6" s="149">
        <v>2200</v>
      </c>
      <c r="L6" s="20"/>
      <c r="M6" s="145"/>
      <c r="N6" s="139">
        <v>2310</v>
      </c>
      <c r="O6" s="137"/>
      <c r="P6" s="138"/>
      <c r="Q6" s="139">
        <v>2420</v>
      </c>
      <c r="R6" s="137"/>
      <c r="S6" s="138"/>
      <c r="T6" s="139">
        <v>2540</v>
      </c>
      <c r="U6" s="137"/>
      <c r="V6" s="138"/>
      <c r="W6" s="139">
        <v>2670</v>
      </c>
      <c r="X6" s="137"/>
      <c r="Y6" s="138"/>
      <c r="Z6" s="139">
        <v>2810</v>
      </c>
      <c r="AA6" s="38">
        <v>2563220</v>
      </c>
      <c r="AB6" s="11">
        <v>2787288</v>
      </c>
      <c r="AC6" s="12">
        <v>2530</v>
      </c>
      <c r="AD6" s="10">
        <v>2819540</v>
      </c>
      <c r="AE6" s="11">
        <v>3062712</v>
      </c>
      <c r="AF6" s="12">
        <v>2780</v>
      </c>
      <c r="AG6" s="10">
        <v>2875930</v>
      </c>
      <c r="AH6" s="11">
        <v>3076667</v>
      </c>
      <c r="AI6" s="12">
        <v>2840</v>
      </c>
      <c r="AJ6" s="167">
        <v>2962210</v>
      </c>
      <c r="AK6" s="168">
        <v>3076667</v>
      </c>
      <c r="AL6" s="169">
        <v>2840</v>
      </c>
      <c r="AM6" s="10">
        <v>3080700</v>
      </c>
      <c r="AN6" s="11">
        <v>3304167</v>
      </c>
      <c r="AO6" s="12">
        <v>3050</v>
      </c>
      <c r="AP6" s="10">
        <v>3265540</v>
      </c>
      <c r="AQ6" s="11">
        <v>3510000</v>
      </c>
      <c r="AR6" s="12">
        <v>3240</v>
      </c>
      <c r="AS6" s="167">
        <v>3265540</v>
      </c>
      <c r="AT6" s="168">
        <v>3510000</v>
      </c>
      <c r="AU6" s="169">
        <v>3240</v>
      </c>
      <c r="AV6" s="10">
        <v>3430600</v>
      </c>
      <c r="AW6" s="11">
        <v>3683333</v>
      </c>
      <c r="AX6" s="12">
        <v>3400</v>
      </c>
      <c r="AY6" s="10"/>
      <c r="AZ6" s="11"/>
      <c r="BA6" s="12">
        <v>3400</v>
      </c>
      <c r="BB6" s="10">
        <v>3771900</v>
      </c>
      <c r="BC6" s="11">
        <v>4062500</v>
      </c>
      <c r="BD6" s="12">
        <v>3750</v>
      </c>
      <c r="BE6" s="10">
        <v>4410100</v>
      </c>
      <c r="BF6" s="11">
        <v>4712500</v>
      </c>
      <c r="BG6" s="12">
        <v>4350</v>
      </c>
      <c r="BH6" s="10">
        <v>5903600</v>
      </c>
      <c r="BI6" s="11">
        <v>6283333</v>
      </c>
      <c r="BJ6" s="12">
        <v>5800</v>
      </c>
      <c r="BK6" s="10">
        <v>4563800</v>
      </c>
      <c r="BL6" s="11">
        <v>4875000</v>
      </c>
      <c r="BM6" s="12">
        <v>4500</v>
      </c>
      <c r="BN6" s="10">
        <v>4748200</v>
      </c>
      <c r="BO6" s="11">
        <v>5037500</v>
      </c>
      <c r="BP6" s="12">
        <v>4650</v>
      </c>
      <c r="BQ6" s="10">
        <v>4890000</v>
      </c>
      <c r="BR6" s="11">
        <v>5200000</v>
      </c>
      <c r="BS6" s="12">
        <v>4800</v>
      </c>
      <c r="BT6" s="10">
        <v>5084800</v>
      </c>
      <c r="BU6" s="11">
        <v>5362500</v>
      </c>
      <c r="BV6" s="45">
        <v>4950</v>
      </c>
      <c r="BW6" s="10">
        <v>5327600</v>
      </c>
      <c r="BX6" s="11">
        <v>5633333</v>
      </c>
      <c r="BY6" s="45">
        <v>5200</v>
      </c>
      <c r="BZ6" s="10">
        <v>5497400</v>
      </c>
      <c r="CA6" s="11">
        <v>5806667</v>
      </c>
      <c r="CB6" s="12">
        <v>5360</v>
      </c>
      <c r="CC6" s="38">
        <v>5691600</v>
      </c>
      <c r="CD6" s="11">
        <v>6012500</v>
      </c>
      <c r="CE6" s="11">
        <v>5550</v>
      </c>
      <c r="CF6" s="24">
        <f>(CD6-CC6)/CD6</f>
        <v>5.3372141372141371E-2</v>
      </c>
      <c r="CG6" s="47">
        <f>CE6/CB6-1</f>
        <v>3.5447761194029814E-2</v>
      </c>
      <c r="CH6" s="38">
        <v>6262800</v>
      </c>
      <c r="CI6" s="11">
        <v>6608333</v>
      </c>
      <c r="CJ6" s="11">
        <v>6100</v>
      </c>
      <c r="CK6" s="24">
        <f>(CI6-CH6)/CI6</f>
        <v>5.2287467959014775E-2</v>
      </c>
      <c r="CL6" s="47">
        <f>CJ6/CE6-1</f>
        <v>9.9099099099099197E-2</v>
      </c>
      <c r="CM6" s="38">
        <v>6512400</v>
      </c>
      <c r="CN6" s="11">
        <v>6987500</v>
      </c>
      <c r="CO6" s="11">
        <v>6450</v>
      </c>
      <c r="CP6" s="24">
        <f>(CN6-CM6)/CN6</f>
        <v>6.7992844364937383E-2</v>
      </c>
      <c r="CQ6" s="59">
        <f>CO6/CJ6-1</f>
        <v>5.7377049180327822E-2</v>
      </c>
      <c r="CR6" s="10">
        <v>6801800</v>
      </c>
      <c r="CS6" s="11">
        <v>7366667</v>
      </c>
      <c r="CT6" s="11">
        <v>6800</v>
      </c>
      <c r="CU6" s="24">
        <f>(CS6-CR6)/CS6</f>
        <v>7.6678774810915173E-2</v>
      </c>
      <c r="CV6" s="59">
        <f>(CS6-CR6)/CR6</f>
        <v>8.3046693522302914E-2</v>
      </c>
      <c r="CW6" s="47">
        <f>CT6/CO6-1</f>
        <v>5.4263565891472965E-2</v>
      </c>
      <c r="CX6" s="10">
        <v>6801800</v>
      </c>
      <c r="CY6" s="11">
        <v>7366667</v>
      </c>
      <c r="CZ6" s="11">
        <v>6800</v>
      </c>
      <c r="DA6" s="24">
        <f>(CY6-CX6)/CY6</f>
        <v>7.6678774810915173E-2</v>
      </c>
      <c r="DB6" s="59">
        <f>(CY6-CX6)/CX6</f>
        <v>8.3046693522302914E-2</v>
      </c>
      <c r="DC6" s="47">
        <f>CZ6/CT6-1</f>
        <v>0</v>
      </c>
      <c r="DD6" s="10">
        <v>7156900</v>
      </c>
      <c r="DE6" s="11">
        <v>7745833</v>
      </c>
      <c r="DF6" s="11">
        <v>7150</v>
      </c>
      <c r="DG6" s="24">
        <f>(DE6-DD6)/DE6</f>
        <v>7.603223565496442E-2</v>
      </c>
      <c r="DH6" s="59">
        <f>(DE6-DD6)/DD6</f>
        <v>8.2288840140284203E-2</v>
      </c>
      <c r="DI6" s="47">
        <f>DF6/CZ6-1</f>
        <v>5.1470588235294157E-2</v>
      </c>
      <c r="DJ6" s="10">
        <v>7443300</v>
      </c>
      <c r="DK6" s="11">
        <v>8125000</v>
      </c>
      <c r="DL6" s="45">
        <v>7500</v>
      </c>
      <c r="DM6" s="106">
        <f>(DK6-DJ6)/DK6</f>
        <v>8.3901538461538458E-2</v>
      </c>
      <c r="DN6" s="97">
        <f>(DK6-DJ6)/DJ6</f>
        <v>9.1585721387019203E-2</v>
      </c>
      <c r="DO6" s="47">
        <f>DL6/DF6-1</f>
        <v>4.8951048951048959E-2</v>
      </c>
      <c r="DP6" s="10">
        <v>7758800</v>
      </c>
      <c r="DQ6" s="11">
        <v>8450000</v>
      </c>
      <c r="DR6" s="45">
        <v>7800</v>
      </c>
      <c r="DS6" s="106">
        <f>(DQ6-DP6)/DQ6</f>
        <v>8.1798816568047342E-2</v>
      </c>
      <c r="DT6" s="97">
        <f>(DQ6-DP6)/DP6</f>
        <v>8.9085941124916218E-2</v>
      </c>
      <c r="DU6" s="47">
        <f>DR6/DL6-1</f>
        <v>4.0000000000000036E-2</v>
      </c>
      <c r="DV6" s="10">
        <v>7758800</v>
      </c>
      <c r="DW6" s="11">
        <v>8450000</v>
      </c>
      <c r="DX6" s="45">
        <v>7800</v>
      </c>
      <c r="DY6" s="106">
        <f>(DW6-DV6)/DW6</f>
        <v>8.1798816568047342E-2</v>
      </c>
      <c r="DZ6" s="97">
        <f>(DW6-DV6)/DV6</f>
        <v>8.9085941124916218E-2</v>
      </c>
      <c r="EA6" s="47">
        <f>DX6/DR6-1</f>
        <v>0</v>
      </c>
      <c r="EB6" s="10">
        <v>8137100</v>
      </c>
      <c r="EC6" s="11">
        <v>8991667</v>
      </c>
      <c r="ED6" s="45">
        <v>8300</v>
      </c>
      <c r="EE6" s="106">
        <f>(EC6-EB6)/EC6</f>
        <v>9.5039885262654861E-2</v>
      </c>
      <c r="EF6" s="97">
        <f>(EC6-EB6)/EB6</f>
        <v>0.10502107630482604</v>
      </c>
      <c r="EG6" s="47">
        <f>ED6/DX6-1</f>
        <v>6.4102564102564097E-2</v>
      </c>
      <c r="EH6" s="10">
        <v>8903000</v>
      </c>
      <c r="EI6" s="11">
        <v>9858333</v>
      </c>
      <c r="EJ6" s="45">
        <v>9100</v>
      </c>
      <c r="EK6" s="106">
        <f>(EI6-EH6)/EI6</f>
        <v>9.6906140216606595E-2</v>
      </c>
      <c r="EL6" s="97">
        <f>(EI6-EH6)/EH6</f>
        <v>0.10730461642143098</v>
      </c>
      <c r="EM6" s="47">
        <f>EJ6/ED6-1</f>
        <v>9.6385542168674787E-2</v>
      </c>
      <c r="EN6" s="10">
        <v>9094600</v>
      </c>
      <c r="EO6" s="11">
        <v>10075000</v>
      </c>
      <c r="EP6" s="45">
        <v>9300</v>
      </c>
      <c r="EQ6" s="106">
        <f>(EO6-EN6)/EO6</f>
        <v>9.7310173697270477E-2</v>
      </c>
      <c r="ER6" s="97">
        <f>(EO6-EN6)/EN6</f>
        <v>0.10780023310535923</v>
      </c>
      <c r="ES6" s="47">
        <f>EP6/EJ6-1</f>
        <v>2.19780219780219E-2</v>
      </c>
      <c r="ET6" s="10">
        <v>9308500</v>
      </c>
      <c r="EU6" s="11">
        <v>10291667</v>
      </c>
      <c r="EV6" s="45">
        <v>9500</v>
      </c>
      <c r="EW6" s="106">
        <f>(EU6-ET6)/EU6</f>
        <v>9.5530393667031782E-2</v>
      </c>
      <c r="EX6" s="97">
        <f>(EU6-ET6)/ET6</f>
        <v>0.10562034699468228</v>
      </c>
      <c r="EY6" s="47">
        <f>EV6/EP6-1</f>
        <v>2.1505376344086002E-2</v>
      </c>
      <c r="EZ6" s="10">
        <v>9833400</v>
      </c>
      <c r="FA6" s="11">
        <v>10833333</v>
      </c>
      <c r="FB6" s="45">
        <v>10000</v>
      </c>
      <c r="FC6" s="106">
        <f>(FA6-EZ6)/FA6</f>
        <v>9.2301510532354164E-2</v>
      </c>
      <c r="FD6" s="97">
        <f>(FA6-EZ6)/EZ6</f>
        <v>0.10168741228873024</v>
      </c>
      <c r="FE6" s="47">
        <f>FB6/EV6-1</f>
        <v>5.2631578947368363E-2</v>
      </c>
      <c r="FF6" s="10">
        <v>10244200</v>
      </c>
      <c r="FG6" s="11">
        <v>11266667</v>
      </c>
      <c r="FH6" s="45">
        <v>10400</v>
      </c>
      <c r="FI6" s="106">
        <f>(FG6-FF6)/FG6</f>
        <v>9.0751506190783843E-2</v>
      </c>
      <c r="FJ6" s="97">
        <f>(FG6-FF6)/FF6</f>
        <v>9.9809355537767708E-2</v>
      </c>
      <c r="FK6" s="47">
        <f>FH6/FB6-1</f>
        <v>4.0000000000000036E-2</v>
      </c>
      <c r="FL6" s="10">
        <v>10731400</v>
      </c>
      <c r="FM6" s="11">
        <v>11754167</v>
      </c>
      <c r="FN6" s="45">
        <v>10850</v>
      </c>
      <c r="FO6" s="106">
        <f>(FM6-FL6)/FM6</f>
        <v>8.7013141807496863E-2</v>
      </c>
      <c r="FP6" s="97">
        <f>(FM6-FL6)/FL6</f>
        <v>9.5306017854147648E-2</v>
      </c>
      <c r="FQ6" s="47">
        <f>FN6/FH6-1</f>
        <v>4.3269230769230838E-2</v>
      </c>
      <c r="FR6" s="10">
        <v>11327100</v>
      </c>
      <c r="FS6" s="11">
        <v>12350000</v>
      </c>
      <c r="FT6" s="45">
        <v>11400</v>
      </c>
      <c r="FU6" s="106">
        <f>(FS6-FR6)/FS6</f>
        <v>8.2825910931174085E-2</v>
      </c>
      <c r="FV6" s="97">
        <f>(FS6-FR6)/FR6</f>
        <v>9.0305550405664292E-2</v>
      </c>
      <c r="FW6" s="47">
        <f>FT6/FN6-1</f>
        <v>5.0691244239631228E-2</v>
      </c>
      <c r="FX6" s="10">
        <v>11824200</v>
      </c>
      <c r="FY6" s="11">
        <v>12891667</v>
      </c>
      <c r="FZ6" s="45">
        <v>11900</v>
      </c>
      <c r="GA6" s="106">
        <f>(FY6-FX6)/FY6</f>
        <v>8.2802867930113308E-2</v>
      </c>
      <c r="GB6" s="97">
        <f>(FY6-FX6)/FX6</f>
        <v>9.0278158353207821E-2</v>
      </c>
      <c r="GC6" s="47">
        <f>FZ6/FT6-1</f>
        <v>4.3859649122806932E-2</v>
      </c>
      <c r="GD6" s="203">
        <v>1182.42</v>
      </c>
      <c r="GE6" s="206">
        <v>1289.1667</v>
      </c>
      <c r="GF6" s="207">
        <v>1.19</v>
      </c>
      <c r="GG6" s="193">
        <f>(GE6-GD6)/GE6</f>
        <v>8.2802867930113239E-2</v>
      </c>
      <c r="GH6" s="194">
        <f>(GE6-GD6)/GD6</f>
        <v>9.0278158353207752E-2</v>
      </c>
      <c r="GI6" s="195">
        <f>GF6/FZ6-1</f>
        <v>-0.99990000000000001</v>
      </c>
      <c r="GJ6" s="203">
        <v>1192.1199999999999</v>
      </c>
      <c r="GK6" s="206">
        <v>1300</v>
      </c>
      <c r="GL6" s="207">
        <v>1.2</v>
      </c>
      <c r="GM6" s="193">
        <f>(GK6-GJ6)/GK6</f>
        <v>8.2984615384615462E-2</v>
      </c>
      <c r="GN6" s="194">
        <f>(GK6-GJ6)/GJ6</f>
        <v>9.0494245545750529E-2</v>
      </c>
      <c r="GO6" s="195">
        <f>GL6/GF6-1</f>
        <v>8.4033613445377853E-3</v>
      </c>
      <c r="GP6" s="245">
        <v>1201.78</v>
      </c>
      <c r="GQ6" s="250">
        <v>1313</v>
      </c>
      <c r="GR6" s="263">
        <v>1.21</v>
      </c>
      <c r="GS6" s="278">
        <f>(GQ6-GP6)/GQ6</f>
        <v>8.4706778370144731E-2</v>
      </c>
      <c r="GT6" s="279">
        <f>(GQ6-GP6)/GP6</f>
        <v>9.2546056682587516E-2</v>
      </c>
      <c r="GU6" s="280">
        <f>GR6/GL6-1</f>
        <v>8.3333333333333037E-3</v>
      </c>
      <c r="GV6" s="245">
        <v>1211.48</v>
      </c>
      <c r="GW6" s="250">
        <v>1326</v>
      </c>
      <c r="GX6" s="263">
        <v>1.22</v>
      </c>
      <c r="GY6" s="278">
        <f>(GW6-GV6)/GW6</f>
        <v>8.636500754147812E-2</v>
      </c>
      <c r="GZ6" s="279">
        <f>(GW6-GV6)/GV6</f>
        <v>9.4529005844091504E-2</v>
      </c>
      <c r="HA6" s="280">
        <f>GX6/GR6-1</f>
        <v>8.2644628099173278E-3</v>
      </c>
      <c r="HB6" s="245">
        <v>1221.18</v>
      </c>
      <c r="HC6" s="250">
        <v>1326</v>
      </c>
      <c r="HD6" s="263">
        <v>1.23</v>
      </c>
      <c r="HE6" s="278">
        <f>(HC6-HB6)/HC6</f>
        <v>7.9049773755656055E-2</v>
      </c>
      <c r="HF6" s="279">
        <f>(HC6-HB6)/HB6</f>
        <v>8.5835012037537406E-2</v>
      </c>
      <c r="HG6" s="280">
        <f>HD6/GX6-1</f>
        <v>8.1967213114753079E-3</v>
      </c>
      <c r="HH6" s="245">
        <v>1230.8800000000001</v>
      </c>
      <c r="HI6" s="250">
        <v>1339</v>
      </c>
      <c r="HJ6" s="263">
        <v>1.24</v>
      </c>
      <c r="HK6" s="278">
        <f>(HI6-HH6)/HI6</f>
        <v>8.0746825989544357E-2</v>
      </c>
      <c r="HL6" s="279">
        <f>(HI6-HH6)/HH6</f>
        <v>8.783959443650062E-2</v>
      </c>
      <c r="HM6" s="280">
        <f>HJ6/HD6-1</f>
        <v>8.1300813008129413E-3</v>
      </c>
      <c r="HN6" s="245">
        <v>1240.58</v>
      </c>
      <c r="HO6" s="250">
        <v>1352</v>
      </c>
      <c r="HP6" s="263">
        <v>1.25</v>
      </c>
      <c r="HQ6" s="278">
        <f>(HO6-HN6)/HO6</f>
        <v>8.2411242603550344E-2</v>
      </c>
      <c r="HR6" s="279">
        <f>(HO6-HN6)/HN6</f>
        <v>8.981282948298383E-2</v>
      </c>
      <c r="HS6" s="280">
        <f>HP6/HJ6-1</f>
        <v>8.0645161290322509E-3</v>
      </c>
      <c r="HT6" s="245">
        <v>1259.98</v>
      </c>
      <c r="HU6" s="250">
        <v>1378</v>
      </c>
      <c r="HV6" s="263">
        <v>1.27</v>
      </c>
      <c r="HW6" s="278">
        <f>(HU6-HT6)/HU6</f>
        <v>8.5645863570391861E-2</v>
      </c>
      <c r="HX6" s="279">
        <f>(HU6-HT6)/HT6</f>
        <v>9.3668153462753367E-2</v>
      </c>
      <c r="HY6" s="280">
        <f>HV6/HP6-1</f>
        <v>1.6000000000000014E-2</v>
      </c>
      <c r="HZ6" s="245">
        <v>1279.3800000000001</v>
      </c>
      <c r="IA6" s="250">
        <v>1391</v>
      </c>
      <c r="IB6" s="263">
        <v>1.29</v>
      </c>
      <c r="IC6" s="278">
        <f>(IA6-HZ6)/IA6</f>
        <v>8.0244428468727452E-2</v>
      </c>
      <c r="ID6" s="279">
        <f>(IA6-HZ6)/HZ6</f>
        <v>8.7245384483108909E-2</v>
      </c>
      <c r="IE6" s="280">
        <f>IB6/HV6-1</f>
        <v>1.5748031496062964E-2</v>
      </c>
      <c r="IF6" s="245">
        <v>1289.19</v>
      </c>
      <c r="IG6" s="250">
        <v>1404</v>
      </c>
      <c r="IH6" s="263">
        <v>1.3</v>
      </c>
      <c r="II6" s="278">
        <f>(IG6-IF6)/IG6</f>
        <v>8.177350427350423E-2</v>
      </c>
      <c r="IJ6" s="279">
        <f>(IG6-IF6)/IF6</f>
        <v>8.9055918832755404E-2</v>
      </c>
      <c r="IK6" s="280">
        <f>IH6/IB6-1</f>
        <v>7.7519379844961378E-3</v>
      </c>
      <c r="IL6" s="245">
        <v>1298.78</v>
      </c>
      <c r="IM6" s="250">
        <v>1417</v>
      </c>
      <c r="IN6" s="263">
        <v>1.31</v>
      </c>
      <c r="IO6" s="278">
        <f>(IM6-IL6)/IM6</f>
        <v>8.3429781227946379E-2</v>
      </c>
      <c r="IP6" s="279">
        <f>(IM6-IL6)/IL6</f>
        <v>9.1023883952632487E-2</v>
      </c>
      <c r="IQ6" s="280">
        <f>IN6/IH6-1</f>
        <v>7.692307692307665E-3</v>
      </c>
    </row>
    <row r="7" spans="1:251" x14ac:dyDescent="0.2">
      <c r="A7" s="69" t="s">
        <v>48</v>
      </c>
      <c r="B7" s="41"/>
      <c r="C7" s="178"/>
      <c r="D7" s="179"/>
      <c r="E7" s="180"/>
      <c r="F7" s="178"/>
      <c r="G7" s="179"/>
      <c r="H7" s="180"/>
      <c r="I7" s="178"/>
      <c r="J7" s="179"/>
      <c r="K7" s="181"/>
      <c r="L7" s="178"/>
      <c r="M7" s="182"/>
      <c r="N7" s="183"/>
      <c r="O7" s="184"/>
      <c r="P7" s="185"/>
      <c r="Q7" s="183"/>
      <c r="R7" s="184"/>
      <c r="S7" s="185"/>
      <c r="T7" s="183"/>
      <c r="U7" s="184"/>
      <c r="V7" s="185"/>
      <c r="W7" s="183"/>
      <c r="X7" s="184"/>
      <c r="Y7" s="185"/>
      <c r="Z7" s="183"/>
      <c r="AA7" s="38"/>
      <c r="AB7" s="11"/>
      <c r="AC7" s="12"/>
      <c r="AD7" s="10"/>
      <c r="AE7" s="11"/>
      <c r="AF7" s="12"/>
      <c r="AG7" s="10"/>
      <c r="AH7" s="11"/>
      <c r="AI7" s="12"/>
      <c r="AJ7" s="167"/>
      <c r="AK7" s="168"/>
      <c r="AL7" s="169"/>
      <c r="AM7" s="10"/>
      <c r="AN7" s="11"/>
      <c r="AO7" s="12"/>
      <c r="AP7" s="10"/>
      <c r="AQ7" s="11"/>
      <c r="AR7" s="12"/>
      <c r="AS7" s="167"/>
      <c r="AT7" s="168"/>
      <c r="AU7" s="169"/>
      <c r="AV7" s="10"/>
      <c r="AW7" s="11"/>
      <c r="AX7" s="12"/>
      <c r="AY7" s="10"/>
      <c r="AZ7" s="11"/>
      <c r="BA7" s="12"/>
      <c r="BB7" s="10"/>
      <c r="BC7" s="11"/>
      <c r="BD7" s="12"/>
      <c r="BE7" s="10"/>
      <c r="BF7" s="11"/>
      <c r="BG7" s="12"/>
      <c r="BH7" s="10"/>
      <c r="BI7" s="11"/>
      <c r="BJ7" s="12"/>
      <c r="BK7" s="10"/>
      <c r="BL7" s="11"/>
      <c r="BM7" s="12"/>
      <c r="BN7" s="10"/>
      <c r="BO7" s="11"/>
      <c r="BP7" s="12"/>
      <c r="BQ7" s="10"/>
      <c r="BR7" s="11"/>
      <c r="BS7" s="12"/>
      <c r="BT7" s="10"/>
      <c r="BU7" s="11"/>
      <c r="BV7" s="45"/>
      <c r="BW7" s="10"/>
      <c r="BX7" s="11"/>
      <c r="BY7" s="45"/>
      <c r="BZ7" s="10"/>
      <c r="CA7" s="11"/>
      <c r="CB7" s="12"/>
      <c r="CC7" s="38"/>
      <c r="CD7" s="11"/>
      <c r="CE7" s="11"/>
      <c r="CF7" s="24"/>
      <c r="CG7" s="47"/>
      <c r="CH7" s="38"/>
      <c r="CI7" s="11"/>
      <c r="CJ7" s="11"/>
      <c r="CK7" s="24"/>
      <c r="CL7" s="47"/>
      <c r="CM7" s="38"/>
      <c r="CN7" s="11"/>
      <c r="CO7" s="11"/>
      <c r="CP7" s="24"/>
      <c r="CQ7" s="59"/>
      <c r="CR7" s="10"/>
      <c r="CS7" s="11"/>
      <c r="CT7" s="11"/>
      <c r="CU7" s="24"/>
      <c r="CV7" s="59"/>
      <c r="CW7" s="47"/>
      <c r="CX7" s="10"/>
      <c r="CY7" s="11"/>
      <c r="CZ7" s="11"/>
      <c r="DA7" s="24"/>
      <c r="DB7" s="59"/>
      <c r="DC7" s="47"/>
      <c r="DD7" s="10"/>
      <c r="DE7" s="11"/>
      <c r="DF7" s="11"/>
      <c r="DG7" s="24"/>
      <c r="DH7" s="59"/>
      <c r="DI7" s="47"/>
      <c r="DJ7" s="10"/>
      <c r="DK7" s="11"/>
      <c r="DL7" s="45"/>
      <c r="DM7" s="106"/>
      <c r="DN7" s="97"/>
      <c r="DO7" s="47"/>
      <c r="DP7" s="10"/>
      <c r="DQ7" s="11"/>
      <c r="DR7" s="45"/>
      <c r="DS7" s="106"/>
      <c r="DT7" s="97"/>
      <c r="DU7" s="47"/>
      <c r="DV7" s="10"/>
      <c r="DW7" s="11"/>
      <c r="DX7" s="45"/>
      <c r="DY7" s="106"/>
      <c r="DZ7" s="97"/>
      <c r="EA7" s="47"/>
      <c r="EB7" s="10"/>
      <c r="EC7" s="11"/>
      <c r="ED7" s="45"/>
      <c r="EE7" s="106"/>
      <c r="EF7" s="97"/>
      <c r="EG7" s="47"/>
      <c r="EH7" s="10"/>
      <c r="EI7" s="11"/>
      <c r="EJ7" s="45"/>
      <c r="EK7" s="106"/>
      <c r="EL7" s="97"/>
      <c r="EM7" s="47"/>
      <c r="EN7" s="10"/>
      <c r="EO7" s="11"/>
      <c r="EP7" s="45"/>
      <c r="EQ7" s="106"/>
      <c r="ER7" s="97"/>
      <c r="ES7" s="47"/>
      <c r="ET7" s="10"/>
      <c r="EU7" s="11"/>
      <c r="EV7" s="45"/>
      <c r="EW7" s="106"/>
      <c r="EX7" s="97"/>
      <c r="EY7" s="47"/>
      <c r="EZ7" s="10"/>
      <c r="FA7" s="11"/>
      <c r="FB7" s="45"/>
      <c r="FC7" s="106"/>
      <c r="FD7" s="97"/>
      <c r="FE7" s="47"/>
      <c r="FF7" s="10"/>
      <c r="FG7" s="11"/>
      <c r="FH7" s="45"/>
      <c r="FI7" s="106"/>
      <c r="FJ7" s="97"/>
      <c r="FK7" s="47"/>
      <c r="FL7" s="10"/>
      <c r="FM7" s="11"/>
      <c r="FN7" s="45"/>
      <c r="FO7" s="106"/>
      <c r="FP7" s="97"/>
      <c r="FQ7" s="47"/>
      <c r="FR7" s="10"/>
      <c r="FS7" s="11"/>
      <c r="FT7" s="45"/>
      <c r="FU7" s="106"/>
      <c r="FV7" s="97"/>
      <c r="FW7" s="47"/>
      <c r="FX7" s="10">
        <v>12600000</v>
      </c>
      <c r="FY7" s="11">
        <v>15166667</v>
      </c>
      <c r="FZ7" s="45">
        <v>13000</v>
      </c>
      <c r="GA7" s="106">
        <f>(FY7-FX7)/FY7</f>
        <v>0.16923078748943324</v>
      </c>
      <c r="GB7" s="97">
        <f>(FY7-FX7)/FX7</f>
        <v>0.20370373015873017</v>
      </c>
      <c r="GC7" s="47" t="e">
        <f>FZ7/FT7-1</f>
        <v>#DIV/0!</v>
      </c>
      <c r="GD7" s="203">
        <v>1260</v>
      </c>
      <c r="GE7" s="206">
        <v>1516.6667</v>
      </c>
      <c r="GF7" s="207">
        <v>1.4</v>
      </c>
      <c r="GG7" s="193">
        <f>(GE7-GD7)/GE7</f>
        <v>0.16923078748943324</v>
      </c>
      <c r="GH7" s="194">
        <f>(GE7-GD7)/GD7</f>
        <v>0.20370373015873014</v>
      </c>
      <c r="GI7" s="195">
        <f>GF7/FZ7-1</f>
        <v>-0.99989230769230775</v>
      </c>
      <c r="GJ7" s="203">
        <v>1268.75</v>
      </c>
      <c r="GK7" s="206">
        <v>1521</v>
      </c>
      <c r="GL7" s="207">
        <v>1.41</v>
      </c>
      <c r="GM7" s="193">
        <f>(GK7-GJ7)/GK7</f>
        <v>0.16584483892176199</v>
      </c>
      <c r="GN7" s="194">
        <f>(GK7-GJ7)/GJ7</f>
        <v>0.19881773399014779</v>
      </c>
      <c r="GO7" s="195">
        <f>GL7/GF7-1</f>
        <v>7.1428571428571175E-3</v>
      </c>
      <c r="GP7" s="245">
        <v>1277.56</v>
      </c>
      <c r="GQ7" s="250">
        <v>1534</v>
      </c>
      <c r="GR7" s="263">
        <v>1.42</v>
      </c>
      <c r="GS7" s="278">
        <f>(GQ7-GP7)/GQ7</f>
        <v>0.16717079530638856</v>
      </c>
      <c r="GT7" s="279">
        <f>(GQ7-GP7)/GP7</f>
        <v>0.20072638467077872</v>
      </c>
      <c r="GU7" s="280">
        <f>GR7/GL7-1</f>
        <v>7.0921985815601829E-3</v>
      </c>
      <c r="GV7" s="245">
        <v>1286.3599999999999</v>
      </c>
      <c r="GW7" s="250">
        <v>1547</v>
      </c>
      <c r="GX7" s="263">
        <v>1.43</v>
      </c>
      <c r="GY7" s="278">
        <f>(GW7-GV7)/GW7</f>
        <v>0.16848093083387208</v>
      </c>
      <c r="GZ7" s="279">
        <f>(GW7-GV7)/GV7</f>
        <v>0.2026182406169347</v>
      </c>
      <c r="HA7" s="280">
        <f>GX7/GR7-1</f>
        <v>7.0422535211267512E-3</v>
      </c>
      <c r="HB7" s="245">
        <v>1295.1600000000001</v>
      </c>
      <c r="HC7" s="250">
        <v>1560</v>
      </c>
      <c r="HD7" s="263">
        <v>1.44</v>
      </c>
      <c r="HE7" s="278">
        <f>(HC7-HB7)/HC7</f>
        <v>0.16976923076923073</v>
      </c>
      <c r="HF7" s="279">
        <f>(HC7-HB7)/HB7</f>
        <v>0.20448438802927815</v>
      </c>
      <c r="HG7" s="280">
        <f>HD7/GX7-1</f>
        <v>6.9930069930070893E-3</v>
      </c>
      <c r="HH7" s="245">
        <v>1303.96</v>
      </c>
      <c r="HI7" s="250">
        <v>1573</v>
      </c>
      <c r="HJ7" s="263">
        <v>1.45</v>
      </c>
      <c r="HK7" s="278">
        <f>(HI7-HH7)/HI7</f>
        <v>0.17103623649078192</v>
      </c>
      <c r="HL7" s="279">
        <f>(HI7-HH7)/HH7</f>
        <v>0.20632534740329456</v>
      </c>
      <c r="HM7" s="280">
        <f>HJ7/HD7-1</f>
        <v>6.9444444444444198E-3</v>
      </c>
      <c r="HN7" s="245">
        <v>1312.76</v>
      </c>
      <c r="HO7" s="250">
        <v>1586</v>
      </c>
      <c r="HP7" s="263">
        <v>1.46</v>
      </c>
      <c r="HQ7" s="278">
        <f>(HO7-HN7)/HO7</f>
        <v>0.17228247162673394</v>
      </c>
      <c r="HR7" s="279">
        <f>(HO7-HN7)/HN7</f>
        <v>0.20814162527804017</v>
      </c>
      <c r="HS7" s="280">
        <f>HP7/HJ7-1</f>
        <v>6.8965517241379448E-3</v>
      </c>
      <c r="HT7" s="245">
        <v>1330.36</v>
      </c>
      <c r="HU7" s="250">
        <v>1599</v>
      </c>
      <c r="HV7" s="263">
        <v>1.48</v>
      </c>
      <c r="HW7" s="278">
        <f>(HU7-HT7)/HU7</f>
        <v>0.16800500312695441</v>
      </c>
      <c r="HX7" s="279">
        <f>(HU7-HT7)/HT7</f>
        <v>0.20193030457921174</v>
      </c>
      <c r="HY7" s="280">
        <f>HV7/HP7-1</f>
        <v>1.3698630136986356E-2</v>
      </c>
      <c r="HZ7" s="245">
        <v>1347.96</v>
      </c>
      <c r="IA7" s="250">
        <v>1625</v>
      </c>
      <c r="IB7" s="263">
        <v>1.5</v>
      </c>
      <c r="IC7" s="278">
        <f>(IA7-HZ7)/IA7</f>
        <v>0.17048615384615382</v>
      </c>
      <c r="ID7" s="279">
        <f>(IA7-HZ7)/HZ7</f>
        <v>0.20552538650998542</v>
      </c>
      <c r="IE7" s="280">
        <f>IB7/HV7-1</f>
        <v>1.3513513513513598E-2</v>
      </c>
      <c r="IF7" s="245">
        <v>1356.76</v>
      </c>
      <c r="IG7" s="250">
        <v>1638</v>
      </c>
      <c r="IH7" s="263">
        <v>1.51</v>
      </c>
      <c r="II7" s="278">
        <f>(IG7-IF7)/IG7</f>
        <v>0.17169719169719169</v>
      </c>
      <c r="IJ7" s="279">
        <f>(IG7-IF7)/IF7</f>
        <v>0.20728795070609393</v>
      </c>
      <c r="IK7" s="280">
        <f>IH7/IB7-1</f>
        <v>6.6666666666665986E-3</v>
      </c>
      <c r="IL7" s="245">
        <v>1365.56</v>
      </c>
      <c r="IM7" s="250">
        <v>1651</v>
      </c>
      <c r="IN7" s="263">
        <v>1.52</v>
      </c>
      <c r="IO7" s="278">
        <f>(IM7-IL7)/IM7</f>
        <v>0.17288915808600852</v>
      </c>
      <c r="IP7" s="279">
        <f>(IM7-IL7)/IL7</f>
        <v>0.20902779811945288</v>
      </c>
      <c r="IQ7" s="280">
        <f>IN7/IH7-1</f>
        <v>6.6225165562914245E-3</v>
      </c>
    </row>
    <row r="8" spans="1:251" ht="13.3" thickBot="1" x14ac:dyDescent="0.25">
      <c r="A8" s="73" t="s">
        <v>3</v>
      </c>
      <c r="B8" s="73"/>
      <c r="C8" s="146"/>
      <c r="D8" s="150"/>
      <c r="E8" s="153">
        <v>1400</v>
      </c>
      <c r="F8" s="146"/>
      <c r="G8" s="150"/>
      <c r="H8" s="153">
        <v>1470</v>
      </c>
      <c r="I8" s="146"/>
      <c r="J8" s="150"/>
      <c r="K8" s="17">
        <v>1540</v>
      </c>
      <c r="L8" s="146"/>
      <c r="M8" s="147"/>
      <c r="N8" s="142">
        <v>1610</v>
      </c>
      <c r="O8" s="140"/>
      <c r="P8" s="141"/>
      <c r="Q8" s="142">
        <v>1690</v>
      </c>
      <c r="R8" s="140"/>
      <c r="S8" s="141"/>
      <c r="T8" s="142">
        <v>1940</v>
      </c>
      <c r="U8" s="140"/>
      <c r="V8" s="141"/>
      <c r="W8" s="142">
        <v>2130</v>
      </c>
      <c r="X8" s="140"/>
      <c r="Y8" s="141"/>
      <c r="Z8" s="142">
        <v>2240</v>
      </c>
      <c r="AA8" s="38">
        <v>1642230</v>
      </c>
      <c r="AB8" s="11">
        <v>2054237</v>
      </c>
      <c r="AC8" s="12">
        <v>2020</v>
      </c>
      <c r="AD8" s="31">
        <v>1888560</v>
      </c>
      <c r="AE8" s="11">
        <v>2257627</v>
      </c>
      <c r="AF8" s="12">
        <v>2220</v>
      </c>
      <c r="AG8" s="31">
        <v>1926330</v>
      </c>
      <c r="AH8" s="11">
        <v>2270000</v>
      </c>
      <c r="AI8" s="12">
        <v>2270</v>
      </c>
      <c r="AJ8" s="170">
        <v>1984120</v>
      </c>
      <c r="AK8" s="168">
        <v>2270000</v>
      </c>
      <c r="AL8" s="169">
        <v>2270</v>
      </c>
      <c r="AM8" s="31">
        <v>2026350</v>
      </c>
      <c r="AN8" s="11">
        <v>2430000</v>
      </c>
      <c r="AO8" s="12">
        <v>2430</v>
      </c>
      <c r="AP8" s="31">
        <v>2187290</v>
      </c>
      <c r="AQ8" s="11">
        <v>2580000</v>
      </c>
      <c r="AR8" s="12">
        <v>2580</v>
      </c>
      <c r="AS8" s="170">
        <v>2274780</v>
      </c>
      <c r="AT8" s="168">
        <v>2580000</v>
      </c>
      <c r="AU8" s="169">
        <v>2580</v>
      </c>
      <c r="AV8" s="31">
        <v>2503300</v>
      </c>
      <c r="AW8" s="11">
        <v>2850000</v>
      </c>
      <c r="AX8" s="12">
        <v>2850</v>
      </c>
      <c r="AY8" s="10"/>
      <c r="AZ8" s="11"/>
      <c r="BA8" s="12">
        <v>2850</v>
      </c>
      <c r="BB8" s="31">
        <v>2751900</v>
      </c>
      <c r="BC8" s="11">
        <v>3150000</v>
      </c>
      <c r="BD8" s="12">
        <v>3150</v>
      </c>
      <c r="BE8" s="31">
        <v>3476000</v>
      </c>
      <c r="BF8" s="11">
        <v>3900000</v>
      </c>
      <c r="BG8" s="12">
        <v>3900</v>
      </c>
      <c r="BH8" s="31">
        <v>4617300</v>
      </c>
      <c r="BI8" s="11">
        <v>5100000</v>
      </c>
      <c r="BJ8" s="12">
        <v>5100</v>
      </c>
      <c r="BK8" s="31">
        <v>3994800</v>
      </c>
      <c r="BL8" s="11">
        <v>4450000</v>
      </c>
      <c r="BM8" s="12">
        <v>4450</v>
      </c>
      <c r="BN8" s="31">
        <v>4156400</v>
      </c>
      <c r="BO8" s="11">
        <v>4580000</v>
      </c>
      <c r="BP8" s="12">
        <v>4580</v>
      </c>
      <c r="BQ8" s="31">
        <v>4280500</v>
      </c>
      <c r="BR8" s="11">
        <v>4720000</v>
      </c>
      <c r="BS8" s="12">
        <v>4720</v>
      </c>
      <c r="BT8" s="31">
        <v>4450900</v>
      </c>
      <c r="BU8" s="11">
        <v>4860000</v>
      </c>
      <c r="BV8" s="45">
        <v>4860</v>
      </c>
      <c r="BW8" s="31">
        <v>4681300</v>
      </c>
      <c r="BX8" s="11">
        <v>5100000</v>
      </c>
      <c r="BY8" s="45">
        <v>5100</v>
      </c>
      <c r="BZ8" s="30">
        <v>4893500</v>
      </c>
      <c r="CA8" s="11">
        <v>5360000</v>
      </c>
      <c r="CB8" s="12">
        <v>5360</v>
      </c>
      <c r="CC8" s="50">
        <v>5331200</v>
      </c>
      <c r="CD8" s="11">
        <v>5750000</v>
      </c>
      <c r="CE8" s="11">
        <v>5750</v>
      </c>
      <c r="CF8" s="24">
        <f>(CD8-CC8)/CD8</f>
        <v>7.283478260869565E-2</v>
      </c>
      <c r="CG8" s="47">
        <f>CE8/CB8-1</f>
        <v>7.2761194029850706E-2</v>
      </c>
      <c r="CH8" s="50">
        <v>5852000</v>
      </c>
      <c r="CI8" s="11">
        <v>6300000</v>
      </c>
      <c r="CJ8" s="11">
        <v>6300</v>
      </c>
      <c r="CK8" s="24">
        <f>(CI8-CH8)/CI8</f>
        <v>7.1111111111111111E-2</v>
      </c>
      <c r="CL8" s="47">
        <f>CJ8/CE8-1</f>
        <v>9.565217391304337E-2</v>
      </c>
      <c r="CM8" s="50">
        <v>6085100</v>
      </c>
      <c r="CN8" s="11">
        <v>6600000</v>
      </c>
      <c r="CO8" s="11">
        <v>6600</v>
      </c>
      <c r="CP8" s="24">
        <f>(CN8-CM8)/CN8</f>
        <v>7.801515151515151E-2</v>
      </c>
      <c r="CQ8" s="59">
        <f>CO8/CJ8-1</f>
        <v>4.7619047619047672E-2</v>
      </c>
      <c r="CR8" s="30">
        <v>6287100</v>
      </c>
      <c r="CS8" s="11">
        <v>6950000</v>
      </c>
      <c r="CT8" s="11">
        <v>6950</v>
      </c>
      <c r="CU8" s="24">
        <f>(CS8-CR8)/CS8</f>
        <v>9.5381294964028779E-2</v>
      </c>
      <c r="CV8" s="59">
        <f>(CS8-CR8)/CR8</f>
        <v>0.10543811932369455</v>
      </c>
      <c r="CW8" s="47">
        <f>CT8/CO8-1</f>
        <v>5.3030303030302983E-2</v>
      </c>
      <c r="CX8" s="30">
        <v>6287100</v>
      </c>
      <c r="CY8" s="11">
        <v>6950000</v>
      </c>
      <c r="CZ8" s="11">
        <v>6950</v>
      </c>
      <c r="DA8" s="24">
        <f>(CY8-CX8)/CY8</f>
        <v>9.5381294964028779E-2</v>
      </c>
      <c r="DB8" s="59">
        <f>(CY8-CX8)/CX8</f>
        <v>0.10543811932369455</v>
      </c>
      <c r="DC8" s="47">
        <f>CZ8/CT8-1</f>
        <v>0</v>
      </c>
      <c r="DD8" s="30">
        <v>6608800</v>
      </c>
      <c r="DE8" s="11">
        <v>7300000</v>
      </c>
      <c r="DF8" s="11">
        <v>7300</v>
      </c>
      <c r="DG8" s="24">
        <f>(DE8-DD8)/DE8</f>
        <v>9.4684931506849312E-2</v>
      </c>
      <c r="DH8" s="59">
        <f>(DE8-DD8)/DD8</f>
        <v>0.10458782229754267</v>
      </c>
      <c r="DI8" s="47">
        <f>DF8/CZ8-1</f>
        <v>5.0359712230215736E-2</v>
      </c>
      <c r="DJ8" s="70">
        <v>6934600</v>
      </c>
      <c r="DK8" s="71"/>
      <c r="DL8" s="90"/>
      <c r="DM8" s="107"/>
      <c r="DN8" s="98"/>
      <c r="DO8" s="72"/>
      <c r="DP8" s="70"/>
      <c r="DQ8" s="71"/>
      <c r="DR8" s="90"/>
      <c r="DS8" s="107"/>
      <c r="DT8" s="98"/>
      <c r="DU8" s="72"/>
      <c r="DV8" s="70"/>
      <c r="DW8" s="71"/>
      <c r="DX8" s="90"/>
      <c r="DY8" s="107"/>
      <c r="DZ8" s="98"/>
      <c r="EA8" s="72"/>
      <c r="EB8" s="70"/>
      <c r="EC8" s="71"/>
      <c r="ED8" s="90"/>
      <c r="EE8" s="107"/>
      <c r="EF8" s="98"/>
      <c r="EG8" s="72"/>
      <c r="EH8" s="70"/>
      <c r="EI8" s="71"/>
      <c r="EJ8" s="90"/>
      <c r="EK8" s="107"/>
      <c r="EL8" s="98"/>
      <c r="EM8" s="72"/>
      <c r="EN8" s="70"/>
      <c r="EO8" s="71"/>
      <c r="EP8" s="90"/>
      <c r="EQ8" s="107"/>
      <c r="ER8" s="98"/>
      <c r="ES8" s="72"/>
      <c r="ET8" s="70"/>
      <c r="EU8" s="71"/>
      <c r="EV8" s="90"/>
      <c r="EW8" s="107"/>
      <c r="EX8" s="98"/>
      <c r="EY8" s="72"/>
      <c r="EZ8" s="70"/>
      <c r="FA8" s="71"/>
      <c r="FB8" s="90"/>
      <c r="FC8" s="107"/>
      <c r="FD8" s="98"/>
      <c r="FE8" s="72"/>
      <c r="FF8" s="70"/>
      <c r="FG8" s="71"/>
      <c r="FH8" s="90"/>
      <c r="FI8" s="107"/>
      <c r="FJ8" s="98"/>
      <c r="FK8" s="72"/>
      <c r="FL8" s="70"/>
      <c r="FM8" s="71"/>
      <c r="FN8" s="90"/>
      <c r="FO8" s="107"/>
      <c r="FP8" s="98"/>
      <c r="FQ8" s="72"/>
      <c r="FR8" s="70"/>
      <c r="FS8" s="71"/>
      <c r="FT8" s="90"/>
      <c r="FU8" s="107"/>
      <c r="FV8" s="98"/>
      <c r="FW8" s="72"/>
      <c r="FX8" s="70"/>
      <c r="FY8" s="71"/>
      <c r="FZ8" s="90"/>
      <c r="GA8" s="107"/>
      <c r="GB8" s="98"/>
      <c r="GC8" s="72"/>
      <c r="GD8" s="196"/>
      <c r="GE8" s="197"/>
      <c r="GF8" s="198"/>
      <c r="GG8" s="199"/>
      <c r="GH8" s="200"/>
      <c r="GI8" s="201"/>
      <c r="GJ8" s="196"/>
      <c r="GK8" s="197"/>
      <c r="GL8" s="198"/>
      <c r="GM8" s="199"/>
      <c r="GN8" s="200"/>
      <c r="GO8" s="201"/>
      <c r="GP8" s="244"/>
      <c r="GQ8" s="249"/>
      <c r="GR8" s="262"/>
      <c r="GS8" s="278"/>
      <c r="GT8" s="279"/>
      <c r="GU8" s="280"/>
      <c r="GV8" s="244"/>
      <c r="GW8" s="249"/>
      <c r="GX8" s="262"/>
      <c r="GY8" s="278"/>
      <c r="GZ8" s="279"/>
      <c r="HA8" s="280"/>
      <c r="HB8" s="244"/>
      <c r="HC8" s="249"/>
      <c r="HD8" s="262"/>
      <c r="HE8" s="278"/>
      <c r="HF8" s="279"/>
      <c r="HG8" s="280"/>
      <c r="HH8" s="244"/>
      <c r="HI8" s="249"/>
      <c r="HJ8" s="262"/>
      <c r="HK8" s="278"/>
      <c r="HL8" s="279"/>
      <c r="HM8" s="280"/>
      <c r="HN8" s="244"/>
      <c r="HO8" s="249"/>
      <c r="HP8" s="262"/>
      <c r="HQ8" s="278"/>
      <c r="HR8" s="279"/>
      <c r="HS8" s="280"/>
      <c r="HT8" s="244"/>
      <c r="HU8" s="249"/>
      <c r="HV8" s="262"/>
      <c r="HW8" s="278"/>
      <c r="HX8" s="279"/>
      <c r="HY8" s="280"/>
      <c r="HZ8" s="244"/>
      <c r="IA8" s="249"/>
      <c r="IB8" s="262"/>
      <c r="IC8" s="278"/>
      <c r="ID8" s="279"/>
      <c r="IE8" s="280"/>
      <c r="IF8" s="244"/>
      <c r="IG8" s="249"/>
      <c r="IH8" s="262"/>
      <c r="II8" s="278"/>
      <c r="IJ8" s="279"/>
      <c r="IK8" s="280"/>
      <c r="IL8" s="244"/>
      <c r="IM8" s="249"/>
      <c r="IN8" s="262"/>
      <c r="IO8" s="278"/>
      <c r="IP8" s="279"/>
      <c r="IQ8" s="280"/>
    </row>
    <row r="9" spans="1:251" ht="13.3" thickBot="1" x14ac:dyDescent="0.25">
      <c r="A9" s="42" t="s">
        <v>4</v>
      </c>
      <c r="B9" s="42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3"/>
      <c r="AA9" s="13"/>
      <c r="AB9" s="14">
        <v>1789831</v>
      </c>
      <c r="AC9" s="15">
        <v>1760</v>
      </c>
      <c r="AD9" s="13">
        <v>1563840</v>
      </c>
      <c r="AE9" s="14">
        <v>1942373</v>
      </c>
      <c r="AF9" s="15">
        <v>1910</v>
      </c>
      <c r="AG9" s="13">
        <v>1706780</v>
      </c>
      <c r="AH9" s="14">
        <v>1950000</v>
      </c>
      <c r="AI9" s="15">
        <v>1950</v>
      </c>
      <c r="AJ9" s="171">
        <v>1757980</v>
      </c>
      <c r="AK9" s="172">
        <v>1950000</v>
      </c>
      <c r="AL9" s="173">
        <v>1950</v>
      </c>
      <c r="AM9" s="13">
        <v>1828300</v>
      </c>
      <c r="AN9" s="14">
        <v>2090000</v>
      </c>
      <c r="AO9" s="15">
        <v>2090</v>
      </c>
      <c r="AP9" s="13">
        <v>1938000</v>
      </c>
      <c r="AQ9" s="14">
        <v>2220000</v>
      </c>
      <c r="AR9" s="15">
        <v>2220</v>
      </c>
      <c r="AS9" s="171">
        <v>2073660</v>
      </c>
      <c r="AT9" s="172">
        <v>2220000</v>
      </c>
      <c r="AU9" s="173">
        <v>2220</v>
      </c>
      <c r="AV9" s="13">
        <v>2283400</v>
      </c>
      <c r="AW9" s="14">
        <v>2220000</v>
      </c>
      <c r="AX9" s="15">
        <v>2220</v>
      </c>
      <c r="AY9" s="13"/>
      <c r="AZ9" s="14"/>
      <c r="BA9" s="15">
        <v>2220</v>
      </c>
      <c r="BB9" s="13"/>
      <c r="BC9" s="14"/>
      <c r="BD9" s="15"/>
      <c r="BE9" s="13"/>
      <c r="BF9" s="14"/>
      <c r="BG9" s="15"/>
      <c r="BH9" s="13"/>
      <c r="BI9" s="14"/>
      <c r="BJ9" s="15"/>
      <c r="BK9" s="13"/>
      <c r="BL9" s="14"/>
      <c r="BM9" s="15"/>
      <c r="BN9" s="13"/>
      <c r="BO9" s="14"/>
      <c r="BP9" s="15"/>
      <c r="BQ9" s="13"/>
      <c r="BR9" s="14"/>
      <c r="BS9" s="15"/>
      <c r="BT9" s="13"/>
      <c r="BU9" s="14"/>
      <c r="BV9" s="46"/>
      <c r="BW9" s="10"/>
      <c r="BX9" s="11"/>
      <c r="BY9" s="45"/>
      <c r="BZ9" s="10"/>
      <c r="CA9" s="11"/>
      <c r="CB9" s="12"/>
      <c r="CC9" s="38"/>
      <c r="CD9" s="11"/>
      <c r="CE9" s="11"/>
      <c r="CF9" s="24"/>
      <c r="CG9" s="47"/>
      <c r="CH9" s="38"/>
      <c r="CI9" s="11"/>
      <c r="CJ9" s="11"/>
      <c r="CK9" s="24"/>
      <c r="CL9" s="47"/>
      <c r="CM9" s="38"/>
      <c r="CN9" s="11"/>
      <c r="CO9" s="11"/>
      <c r="CP9" s="24"/>
      <c r="CQ9" s="59"/>
      <c r="CR9" s="10"/>
      <c r="CS9" s="11"/>
      <c r="CT9" s="11"/>
      <c r="CU9" s="24"/>
      <c r="CV9" s="59"/>
      <c r="CW9" s="47"/>
      <c r="CX9" s="10">
        <v>4992800</v>
      </c>
      <c r="CY9" s="11"/>
      <c r="CZ9" s="11"/>
      <c r="DA9" s="24"/>
      <c r="DB9" s="59"/>
      <c r="DC9" s="47"/>
      <c r="DD9" s="10">
        <v>5242900</v>
      </c>
      <c r="DE9" s="11"/>
      <c r="DF9" s="11"/>
      <c r="DG9" s="24"/>
      <c r="DH9" s="59"/>
      <c r="DI9" s="47"/>
      <c r="DJ9" s="10">
        <v>5512000</v>
      </c>
      <c r="DK9" s="11"/>
      <c r="DL9" s="45"/>
      <c r="DM9" s="106"/>
      <c r="DN9" s="97"/>
      <c r="DO9" s="47"/>
      <c r="DP9" s="10">
        <v>5939200</v>
      </c>
      <c r="DQ9" s="11"/>
      <c r="DR9" s="45"/>
      <c r="DS9" s="106"/>
      <c r="DT9" s="97"/>
      <c r="DU9" s="47"/>
      <c r="DV9" s="10"/>
      <c r="DW9" s="11"/>
      <c r="DX9" s="45"/>
      <c r="DY9" s="106"/>
      <c r="DZ9" s="97"/>
      <c r="EA9" s="47"/>
      <c r="EB9" s="10">
        <v>6489600</v>
      </c>
      <c r="EC9" s="11"/>
      <c r="ED9" s="45"/>
      <c r="EE9" s="106"/>
      <c r="EF9" s="97"/>
      <c r="EG9" s="47"/>
      <c r="EH9" s="10">
        <v>6489600</v>
      </c>
      <c r="EI9" s="11"/>
      <c r="EJ9" s="45"/>
      <c r="EK9" s="106"/>
      <c r="EL9" s="97"/>
      <c r="EM9" s="47"/>
      <c r="EN9" s="10">
        <v>6619400</v>
      </c>
      <c r="EO9" s="11"/>
      <c r="EP9" s="45"/>
      <c r="EQ9" s="106"/>
      <c r="ER9" s="97"/>
      <c r="ES9" s="47"/>
      <c r="ET9" s="10">
        <v>6771600</v>
      </c>
      <c r="EU9" s="11"/>
      <c r="EV9" s="45"/>
      <c r="EW9" s="106"/>
      <c r="EX9" s="97"/>
      <c r="EY9" s="47"/>
      <c r="EZ9" s="10">
        <v>7110200</v>
      </c>
      <c r="FA9" s="11"/>
      <c r="FB9" s="45"/>
      <c r="FC9" s="106"/>
      <c r="FD9" s="97"/>
      <c r="FE9" s="47"/>
      <c r="FF9" s="10">
        <v>7418800</v>
      </c>
      <c r="FG9" s="11"/>
      <c r="FH9" s="45"/>
      <c r="FI9" s="106"/>
      <c r="FJ9" s="97"/>
      <c r="FK9" s="47"/>
      <c r="FL9" s="10">
        <v>7786800</v>
      </c>
      <c r="FM9" s="11"/>
      <c r="FN9" s="45"/>
      <c r="FO9" s="106"/>
      <c r="FP9" s="97"/>
      <c r="FQ9" s="47"/>
      <c r="FR9" s="10">
        <v>8237100</v>
      </c>
      <c r="FS9" s="11"/>
      <c r="FT9" s="45"/>
      <c r="FU9" s="106"/>
      <c r="FV9" s="97"/>
      <c r="FW9" s="47"/>
      <c r="FX9" s="10">
        <v>8679000</v>
      </c>
      <c r="FY9" s="11"/>
      <c r="FZ9" s="45"/>
      <c r="GA9" s="106"/>
      <c r="GB9" s="97"/>
      <c r="GC9" s="47"/>
      <c r="GD9" s="203">
        <v>874.5</v>
      </c>
      <c r="GE9" s="191"/>
      <c r="GF9" s="192"/>
      <c r="GG9" s="193"/>
      <c r="GH9" s="194"/>
      <c r="GI9" s="195"/>
      <c r="GJ9" s="190"/>
      <c r="GK9" s="191"/>
      <c r="GL9" s="192"/>
      <c r="GM9" s="193"/>
      <c r="GN9" s="194"/>
      <c r="GO9" s="195"/>
      <c r="GP9" s="244"/>
      <c r="GQ9" s="249"/>
      <c r="GR9" s="262"/>
      <c r="GS9" s="278"/>
      <c r="GT9" s="279"/>
      <c r="GU9" s="280"/>
      <c r="GV9" s="244"/>
      <c r="GW9" s="249"/>
      <c r="GX9" s="262"/>
      <c r="GY9" s="278"/>
      <c r="GZ9" s="279"/>
      <c r="HA9" s="280"/>
      <c r="HB9" s="244"/>
      <c r="HC9" s="249"/>
      <c r="HD9" s="262"/>
      <c r="HE9" s="278"/>
      <c r="HF9" s="279"/>
      <c r="HG9" s="280"/>
      <c r="HH9" s="244"/>
      <c r="HI9" s="249"/>
      <c r="HJ9" s="262"/>
      <c r="HK9" s="278"/>
      <c r="HL9" s="279"/>
      <c r="HM9" s="280"/>
      <c r="HN9" s="244"/>
      <c r="HO9" s="249"/>
      <c r="HP9" s="262"/>
      <c r="HQ9" s="278"/>
      <c r="HR9" s="279"/>
      <c r="HS9" s="280"/>
      <c r="HT9" s="244"/>
      <c r="HU9" s="249"/>
      <c r="HV9" s="262"/>
      <c r="HW9" s="278"/>
      <c r="HX9" s="279"/>
      <c r="HY9" s="280"/>
      <c r="HZ9" s="244"/>
      <c r="IA9" s="249"/>
      <c r="IB9" s="262"/>
      <c r="IC9" s="278"/>
      <c r="ID9" s="279"/>
      <c r="IE9" s="280"/>
      <c r="IF9" s="244"/>
      <c r="IG9" s="249"/>
      <c r="IH9" s="262"/>
      <c r="II9" s="278"/>
      <c r="IJ9" s="279"/>
      <c r="IK9" s="280"/>
      <c r="IL9" s="244"/>
      <c r="IM9" s="249"/>
      <c r="IN9" s="262"/>
      <c r="IO9" s="278"/>
      <c r="IP9" s="279"/>
      <c r="IQ9" s="280"/>
    </row>
    <row r="10" spans="1:251" ht="13.3" thickBot="1" x14ac:dyDescent="0.25">
      <c r="A10" s="75" t="s">
        <v>9</v>
      </c>
      <c r="B10" s="75" t="s">
        <v>46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13">
        <v>5240700</v>
      </c>
      <c r="BX10" s="14">
        <v>5700000</v>
      </c>
      <c r="BY10" s="46">
        <v>5700</v>
      </c>
      <c r="BZ10" s="13">
        <v>5527800</v>
      </c>
      <c r="CA10" s="14">
        <v>5999000</v>
      </c>
      <c r="CB10" s="15">
        <v>5990</v>
      </c>
      <c r="CC10" s="39">
        <v>5983800</v>
      </c>
      <c r="CD10" s="14">
        <v>6450000</v>
      </c>
      <c r="CE10" s="14">
        <v>6450</v>
      </c>
      <c r="CF10" s="25">
        <f>(CD10-CC10)/CD10</f>
        <v>7.2279069767441861E-2</v>
      </c>
      <c r="CG10" s="48">
        <f>CE10/CB10-1</f>
        <v>7.6794657762938145E-2</v>
      </c>
      <c r="CH10" s="39">
        <v>6602100</v>
      </c>
      <c r="CI10" s="14">
        <v>7100000</v>
      </c>
      <c r="CJ10" s="14">
        <v>7100</v>
      </c>
      <c r="CK10" s="25">
        <f>(CI10-CH10)/CI10</f>
        <v>7.0126760563380283E-2</v>
      </c>
      <c r="CL10" s="48">
        <f>CJ10/CE10-1</f>
        <v>0.10077519379844957</v>
      </c>
      <c r="CM10" s="39">
        <v>6746200</v>
      </c>
      <c r="CN10" s="14">
        <v>7450000</v>
      </c>
      <c r="CO10" s="14">
        <v>7450</v>
      </c>
      <c r="CP10" s="25">
        <f>(CN10-CM10)/CN10</f>
        <v>9.4469798657718124E-2</v>
      </c>
      <c r="CQ10" s="60">
        <f>CO10/CJ10-1</f>
        <v>4.9295774647887258E-2</v>
      </c>
      <c r="CR10" s="67">
        <v>7038600</v>
      </c>
      <c r="CS10" s="62">
        <v>7850000</v>
      </c>
      <c r="CT10" s="62">
        <v>7850</v>
      </c>
      <c r="CU10" s="63">
        <f>(CS10-CR10)/CS10</f>
        <v>0.10336305732484076</v>
      </c>
      <c r="CV10" s="64">
        <f>(CS10-CR10)/CR10</f>
        <v>0.11527860654107351</v>
      </c>
      <c r="CW10" s="65">
        <f>CT10/CO10-1</f>
        <v>5.3691275167785157E-2</v>
      </c>
      <c r="CX10" s="67">
        <v>7038600</v>
      </c>
      <c r="CY10" s="62">
        <v>7850000</v>
      </c>
      <c r="CZ10" s="62">
        <v>7850</v>
      </c>
      <c r="DA10" s="63">
        <f>(CY10-CX10)/CY10</f>
        <v>0.10336305732484076</v>
      </c>
      <c r="DB10" s="64">
        <f>(CY10-CX10)/CX10</f>
        <v>0.11527860654107351</v>
      </c>
      <c r="DC10" s="65">
        <f>CZ10/CT10-1</f>
        <v>0</v>
      </c>
      <c r="DD10" s="67">
        <v>7368100</v>
      </c>
      <c r="DE10" s="62">
        <v>8250000</v>
      </c>
      <c r="DF10" s="62">
        <v>8250</v>
      </c>
      <c r="DG10" s="63">
        <f t="shared" ref="DG10:DG16" si="0">(DE10-DD10)/DE10</f>
        <v>0.1068969696969697</v>
      </c>
      <c r="DH10" s="64">
        <f t="shared" ref="DH10:DH16" si="1">(DE10-DD10)/DD10</f>
        <v>0.11969164370733296</v>
      </c>
      <c r="DI10" s="65">
        <f>DF10/CZ10-1</f>
        <v>5.0955414012738842E-2</v>
      </c>
      <c r="DJ10" s="81">
        <v>7376600</v>
      </c>
      <c r="DK10" s="82">
        <v>8600000</v>
      </c>
      <c r="DL10" s="91">
        <v>8600</v>
      </c>
      <c r="DM10" s="108">
        <f t="shared" ref="DM10:DM16" si="2">(DK10-DJ10)/DK10</f>
        <v>0.14225581395348838</v>
      </c>
      <c r="DN10" s="99">
        <f t="shared" ref="DN10:DN16" si="3">(DK10-DJ10)/DJ10</f>
        <v>0.16584876501369195</v>
      </c>
      <c r="DO10" s="80">
        <f t="shared" ref="DO10:DO16" si="4">DL10/DF10-1</f>
        <v>4.2424242424242475E-2</v>
      </c>
      <c r="DP10" s="81">
        <v>8100000</v>
      </c>
      <c r="DQ10" s="82">
        <v>9300000</v>
      </c>
      <c r="DR10" s="91">
        <v>9300</v>
      </c>
      <c r="DS10" s="108">
        <f t="shared" ref="DS10:DS21" si="5">(DQ10-DP10)/DQ10</f>
        <v>0.12903225806451613</v>
      </c>
      <c r="DT10" s="99">
        <f t="shared" ref="DT10:DT21" si="6">(DQ10-DP10)/DP10</f>
        <v>0.14814814814814814</v>
      </c>
      <c r="DU10" s="80">
        <f t="shared" ref="DU10:DU16" si="7">DR10/DL10-1</f>
        <v>8.1395348837209225E-2</v>
      </c>
      <c r="DV10" s="81">
        <v>8100000</v>
      </c>
      <c r="DW10" s="82">
        <v>9300000</v>
      </c>
      <c r="DX10" s="91">
        <v>9300</v>
      </c>
      <c r="DY10" s="108">
        <f t="shared" ref="DY10:DY21" si="8">(DW10-DV10)/DW10</f>
        <v>0.12903225806451613</v>
      </c>
      <c r="DZ10" s="99">
        <f t="shared" ref="DZ10:DZ21" si="9">(DW10-DV10)/DV10</f>
        <v>0.14814814814814814</v>
      </c>
      <c r="EA10" s="80">
        <f t="shared" ref="EA10:EA16" si="10">DX10/DR10-1</f>
        <v>0</v>
      </c>
      <c r="EB10" s="81">
        <v>8416300</v>
      </c>
      <c r="EC10" s="82">
        <v>9800000</v>
      </c>
      <c r="ED10" s="91">
        <v>9800</v>
      </c>
      <c r="EE10" s="108">
        <f t="shared" ref="EE10:EE22" si="11">(EC10-EB10)/EC10</f>
        <v>0.14119387755102042</v>
      </c>
      <c r="EF10" s="99">
        <f t="shared" ref="EF10:EF22" si="12">(EC10-EB10)/EB10</f>
        <v>0.16440716229221866</v>
      </c>
      <c r="EG10" s="80">
        <f t="shared" ref="EG10:EG16" si="13">ED10/DX10-1</f>
        <v>5.3763440860215006E-2</v>
      </c>
      <c r="EH10" s="81">
        <v>9087400</v>
      </c>
      <c r="EI10" s="82">
        <v>10600000</v>
      </c>
      <c r="EJ10" s="91">
        <v>10600</v>
      </c>
      <c r="EK10" s="108">
        <f t="shared" ref="EK10:EK22" si="14">(EI10-EH10)/EI10</f>
        <v>0.14269811320754716</v>
      </c>
      <c r="EL10" s="99">
        <f t="shared" ref="EL10:EL22" si="15">(EI10-EH10)/EH10</f>
        <v>0.16645024979642142</v>
      </c>
      <c r="EM10" s="80">
        <f t="shared" ref="EM10:EM16" si="16">EJ10/ED10-1</f>
        <v>8.163265306122458E-2</v>
      </c>
      <c r="EN10" s="81">
        <v>9199100</v>
      </c>
      <c r="EO10" s="82">
        <v>10900000</v>
      </c>
      <c r="EP10" s="91">
        <v>10900</v>
      </c>
      <c r="EQ10" s="108">
        <f t="shared" ref="EQ10:EQ22" si="17">(EO10-EN10)/EO10</f>
        <v>0.15604587155963304</v>
      </c>
      <c r="ER10" s="99">
        <f t="shared" ref="ER10:ER22" si="18">(EO10-EN10)/EN10</f>
        <v>0.18489852268156667</v>
      </c>
      <c r="ES10" s="80">
        <f t="shared" ref="ES10:ES16" si="19">EP10/EJ10-1</f>
        <v>2.8301886792452935E-2</v>
      </c>
      <c r="ET10" s="81">
        <v>9408700</v>
      </c>
      <c r="EU10" s="82">
        <v>11100000</v>
      </c>
      <c r="EV10" s="91">
        <v>11100</v>
      </c>
      <c r="EW10" s="108">
        <f t="shared" ref="EW10:EW21" si="20">(EU10-ET10)/EU10</f>
        <v>0.15236936936936937</v>
      </c>
      <c r="EX10" s="99">
        <f t="shared" ref="EX10:EX21" si="21">(EU10-ET10)/ET10</f>
        <v>0.17975915907617418</v>
      </c>
      <c r="EY10" s="80">
        <f t="shared" ref="EY10:EY16" si="22">EV10/EP10-1</f>
        <v>1.8348623853210899E-2</v>
      </c>
      <c r="EZ10" s="81">
        <v>9938600</v>
      </c>
      <c r="FA10" s="82">
        <v>11600000</v>
      </c>
      <c r="FB10" s="91">
        <v>11600</v>
      </c>
      <c r="FC10" s="108">
        <f>(FA10-EZ10)/FA10</f>
        <v>0.14322413793103447</v>
      </c>
      <c r="FD10" s="99">
        <f>(FA10-EZ10)/EZ10</f>
        <v>0.16716640170647779</v>
      </c>
      <c r="FE10" s="80">
        <f>FB10/EV10-1</f>
        <v>4.5045045045045029E-2</v>
      </c>
      <c r="FF10" s="81">
        <v>10353900</v>
      </c>
      <c r="FG10" s="82">
        <v>12100000</v>
      </c>
      <c r="FH10" s="91">
        <v>12100</v>
      </c>
      <c r="FI10" s="108">
        <f>(FG10-FF10)/FG10</f>
        <v>0.14430578512396694</v>
      </c>
      <c r="FJ10" s="99">
        <f>(FG10-FF10)/FF10</f>
        <v>0.16864176783627424</v>
      </c>
      <c r="FK10" s="80">
        <f>FH10/FB10-1</f>
        <v>4.31034482758621E-2</v>
      </c>
      <c r="FL10" s="81">
        <v>10853600</v>
      </c>
      <c r="FM10" s="82">
        <v>12600000</v>
      </c>
      <c r="FN10" s="91">
        <v>12600</v>
      </c>
      <c r="FO10" s="108">
        <f t="shared" ref="FO10:FO17" si="23">(FM10-FL10)/FM10</f>
        <v>0.13860317460317462</v>
      </c>
      <c r="FP10" s="99">
        <f t="shared" ref="FP10:FP17" si="24">(FM10-FL10)/FL10</f>
        <v>0.16090513746590993</v>
      </c>
      <c r="FQ10" s="80">
        <f>FN10/FH10-1</f>
        <v>4.1322314049586861E-2</v>
      </c>
      <c r="FR10" s="81">
        <v>11453600</v>
      </c>
      <c r="FS10" s="82">
        <v>13200000</v>
      </c>
      <c r="FT10" s="91">
        <v>13200</v>
      </c>
      <c r="FU10" s="108">
        <f>(FS10-FR10)/FS10</f>
        <v>0.13230303030303031</v>
      </c>
      <c r="FV10" s="99">
        <f>(FS10-FR10)/FR10</f>
        <v>0.15247607739051477</v>
      </c>
      <c r="FW10" s="80">
        <f>FT10/FN10-1</f>
        <v>4.7619047619047672E-2</v>
      </c>
      <c r="FX10" s="81">
        <v>11974300</v>
      </c>
      <c r="FY10" s="82">
        <v>13800000</v>
      </c>
      <c r="FZ10" s="91">
        <v>13800</v>
      </c>
      <c r="GA10" s="108">
        <f>(FY10-FX10)/FY10</f>
        <v>0.13229710144927537</v>
      </c>
      <c r="GB10" s="99">
        <f>(FY10-FX10)/FX10</f>
        <v>0.15246820273418907</v>
      </c>
      <c r="GC10" s="80">
        <f>FZ10/FT10-1</f>
        <v>4.5454545454545414E-2</v>
      </c>
      <c r="GD10" s="208">
        <v>1197.43</v>
      </c>
      <c r="GE10" s="209">
        <v>1380</v>
      </c>
      <c r="GF10" s="210">
        <v>1.38</v>
      </c>
      <c r="GG10" s="108">
        <f>(GE10-GD10)/GE10</f>
        <v>0.13229710144927531</v>
      </c>
      <c r="GH10" s="99">
        <f>(GE10-GD10)/GD10</f>
        <v>0.15246820273418898</v>
      </c>
      <c r="GI10" s="80">
        <f>GF10/FZ10-1</f>
        <v>-0.99990000000000001</v>
      </c>
      <c r="GJ10" s="208">
        <v>1205.8499999999999</v>
      </c>
      <c r="GK10" s="209">
        <v>1392</v>
      </c>
      <c r="GL10" s="210">
        <v>1.39</v>
      </c>
      <c r="GM10" s="108">
        <f>(GK10-GJ10)/GK10</f>
        <v>0.13372844827586214</v>
      </c>
      <c r="GN10" s="99">
        <f>(GK10-GJ10)/GJ10</f>
        <v>0.15437243438238596</v>
      </c>
      <c r="GO10" s="80">
        <f>GL10/GF10-1</f>
        <v>7.2463768115942351E-3</v>
      </c>
      <c r="GP10" s="242">
        <v>1214.33</v>
      </c>
      <c r="GQ10" s="251">
        <v>1404</v>
      </c>
      <c r="GR10" s="264">
        <v>1.4</v>
      </c>
      <c r="GS10" s="281">
        <f>(GQ10-GP10)/GQ10</f>
        <v>0.13509259259259265</v>
      </c>
      <c r="GT10" s="282">
        <f>(GQ10-GP10)/GP10</f>
        <v>0.15619312707418914</v>
      </c>
      <c r="GU10" s="283">
        <f>GR10/GL10-1</f>
        <v>7.194244604316502E-3</v>
      </c>
      <c r="GV10" s="242">
        <v>1222.8</v>
      </c>
      <c r="GW10" s="251">
        <v>1404</v>
      </c>
      <c r="GX10" s="264">
        <v>1.41</v>
      </c>
      <c r="GY10" s="281">
        <f>(GW10-GV10)/GW10</f>
        <v>0.1290598290598291</v>
      </c>
      <c r="GZ10" s="282">
        <f>(GW10-GV10)/GV10</f>
        <v>0.14818449460255156</v>
      </c>
      <c r="HA10" s="283">
        <f>GX10/GR10-1</f>
        <v>7.1428571428571175E-3</v>
      </c>
      <c r="HB10" s="242">
        <v>1231.27</v>
      </c>
      <c r="HC10" s="251">
        <v>1416</v>
      </c>
      <c r="HD10" s="264">
        <v>1.42</v>
      </c>
      <c r="HE10" s="281">
        <f>(HC10-HB10)/HC10</f>
        <v>0.1304590395480226</v>
      </c>
      <c r="HF10" s="282">
        <f>(HC10-HB10)/HB10</f>
        <v>0.15003208069716636</v>
      </c>
      <c r="HG10" s="283">
        <f>HD10/GX10-1</f>
        <v>7.0921985815601829E-3</v>
      </c>
      <c r="HH10" s="242">
        <v>1239.74</v>
      </c>
      <c r="HI10" s="251">
        <v>1428</v>
      </c>
      <c r="HJ10" s="264">
        <v>1.43</v>
      </c>
      <c r="HK10" s="281">
        <f>(HI10-HH10)/HI10</f>
        <v>0.1318347338935574</v>
      </c>
      <c r="HL10" s="282">
        <f>(HI10-HH10)/HH10</f>
        <v>0.1518544210882927</v>
      </c>
      <c r="HM10" s="283">
        <f>HJ10/HD10-1</f>
        <v>7.0422535211267512E-3</v>
      </c>
      <c r="HN10" s="242">
        <v>1248.21</v>
      </c>
      <c r="HO10" s="251">
        <v>1440</v>
      </c>
      <c r="HP10" s="264">
        <v>1.44</v>
      </c>
      <c r="HQ10" s="281">
        <f>(HO10-HN10)/HO10</f>
        <v>0.13318749999999999</v>
      </c>
      <c r="HR10" s="282">
        <f>(HO10-HN10)/HN10</f>
        <v>0.15365202970653974</v>
      </c>
      <c r="HS10" s="283">
        <f>HP10/HJ10-1</f>
        <v>6.9930069930070893E-3</v>
      </c>
      <c r="HT10" s="242">
        <v>1248.21</v>
      </c>
      <c r="HU10" s="251">
        <v>1440</v>
      </c>
      <c r="HV10" s="264">
        <v>1.44</v>
      </c>
      <c r="HW10" s="281">
        <f>(HU10-HT10)/HU10</f>
        <v>0.13318749999999999</v>
      </c>
      <c r="HX10" s="282">
        <f>(HU10-HT10)/HT10</f>
        <v>0.15365202970653974</v>
      </c>
      <c r="HY10" s="283">
        <f>HV10/HP10-1</f>
        <v>0</v>
      </c>
      <c r="HZ10" s="242">
        <v>1265.1600000000001</v>
      </c>
      <c r="IA10" s="251">
        <v>1464</v>
      </c>
      <c r="IB10" s="264">
        <v>1.46</v>
      </c>
      <c r="IC10" s="281">
        <f>(IA10-HZ10)/IA10</f>
        <v>0.13581967213114748</v>
      </c>
      <c r="ID10" s="282">
        <f>(IA10-HZ10)/HZ10</f>
        <v>0.15716589206108311</v>
      </c>
      <c r="IE10" s="283">
        <f>IB10/HV10-1</f>
        <v>1.388888888888884E-2</v>
      </c>
      <c r="IF10" s="242">
        <v>1282.1099999999999</v>
      </c>
      <c r="IG10" s="251">
        <v>1476</v>
      </c>
      <c r="IH10" s="264">
        <v>1.48</v>
      </c>
      <c r="II10" s="281">
        <f>(IG10-IF10)/IG10</f>
        <v>0.13136178861788625</v>
      </c>
      <c r="IJ10" s="282">
        <f>(IG10-IF10)/IF10</f>
        <v>0.15122727379086046</v>
      </c>
      <c r="IK10" s="283">
        <f>IH10/IB10-1</f>
        <v>1.3698630136986356E-2</v>
      </c>
      <c r="IL10" s="242">
        <v>1290.58</v>
      </c>
      <c r="IM10" s="251">
        <v>1488</v>
      </c>
      <c r="IN10" s="264">
        <v>1.49</v>
      </c>
      <c r="IO10" s="281">
        <f>(IM10-IL10)/IM10</f>
        <v>0.13267473118279574</v>
      </c>
      <c r="IP10" s="282">
        <f>(IM10-IL10)/IL10</f>
        <v>0.15296998248849361</v>
      </c>
      <c r="IQ10" s="283">
        <f>IN10/IH10-1</f>
        <v>6.7567567567567988E-3</v>
      </c>
    </row>
    <row r="11" spans="1:251" x14ac:dyDescent="0.2">
      <c r="A11" s="74" t="s">
        <v>19</v>
      </c>
      <c r="B11" s="74" t="s">
        <v>40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61"/>
      <c r="CG11" s="61"/>
      <c r="CH11" s="36"/>
      <c r="CI11" s="36"/>
      <c r="CJ11" s="36"/>
      <c r="CK11" s="61"/>
      <c r="CL11" s="61"/>
      <c r="CM11" s="36"/>
      <c r="CN11" s="36"/>
      <c r="CO11" s="36"/>
      <c r="CP11" s="61"/>
      <c r="CQ11" s="61"/>
      <c r="CR11" s="67"/>
      <c r="CS11" s="62"/>
      <c r="CT11" s="62"/>
      <c r="CU11" s="63"/>
      <c r="CV11" s="64"/>
      <c r="CW11" s="65"/>
      <c r="CX11" s="67"/>
      <c r="CY11" s="62"/>
      <c r="CZ11" s="62"/>
      <c r="DA11" s="63"/>
      <c r="DB11" s="64"/>
      <c r="DC11" s="65"/>
      <c r="DD11" s="67">
        <v>6608800</v>
      </c>
      <c r="DE11" s="62">
        <v>7300000</v>
      </c>
      <c r="DF11" s="62">
        <v>7300</v>
      </c>
      <c r="DG11" s="63">
        <f t="shared" si="0"/>
        <v>9.4684931506849312E-2</v>
      </c>
      <c r="DH11" s="64">
        <f t="shared" si="1"/>
        <v>0.10458782229754267</v>
      </c>
      <c r="DI11" s="65"/>
      <c r="DJ11" s="83">
        <v>6867300</v>
      </c>
      <c r="DK11" s="84">
        <v>7650000</v>
      </c>
      <c r="DL11" s="92">
        <v>7650</v>
      </c>
      <c r="DM11" s="109">
        <f t="shared" si="2"/>
        <v>0.10231372549019607</v>
      </c>
      <c r="DN11" s="100">
        <f t="shared" si="3"/>
        <v>0.11397492464287275</v>
      </c>
      <c r="DO11" s="85">
        <f t="shared" si="4"/>
        <v>4.7945205479452024E-2</v>
      </c>
      <c r="DP11" s="83">
        <v>7232200</v>
      </c>
      <c r="DQ11" s="84"/>
      <c r="DR11" s="92"/>
      <c r="DS11" s="109" t="e">
        <f t="shared" si="5"/>
        <v>#DIV/0!</v>
      </c>
      <c r="DT11" s="100">
        <f t="shared" si="6"/>
        <v>-1</v>
      </c>
      <c r="DU11" s="85">
        <f t="shared" si="7"/>
        <v>-1</v>
      </c>
      <c r="DV11" s="83">
        <v>7232200</v>
      </c>
      <c r="DW11" s="84">
        <v>8000000</v>
      </c>
      <c r="DX11" s="92">
        <v>8000</v>
      </c>
      <c r="DY11" s="109">
        <f t="shared" si="8"/>
        <v>9.5975000000000005E-2</v>
      </c>
      <c r="DZ11" s="100">
        <f t="shared" si="9"/>
        <v>0.10616409944415255</v>
      </c>
      <c r="EA11" s="85" t="e">
        <f t="shared" si="10"/>
        <v>#DIV/0!</v>
      </c>
      <c r="EB11" s="83">
        <v>7513800</v>
      </c>
      <c r="EC11" s="84">
        <v>8500000</v>
      </c>
      <c r="ED11" s="92">
        <v>8500</v>
      </c>
      <c r="EE11" s="109">
        <f t="shared" si="11"/>
        <v>0.11602352941176471</v>
      </c>
      <c r="EF11" s="100">
        <f t="shared" si="12"/>
        <v>0.13125182996619553</v>
      </c>
      <c r="EG11" s="85">
        <f t="shared" si="13"/>
        <v>6.25E-2</v>
      </c>
      <c r="EH11" s="83">
        <v>8117100</v>
      </c>
      <c r="EI11" s="84">
        <v>9200000</v>
      </c>
      <c r="EJ11" s="92">
        <v>9200</v>
      </c>
      <c r="EK11" s="109">
        <f t="shared" si="14"/>
        <v>0.11770652173913043</v>
      </c>
      <c r="EL11" s="100">
        <f t="shared" si="15"/>
        <v>0.13340971529240739</v>
      </c>
      <c r="EM11" s="85">
        <f t="shared" si="16"/>
        <v>8.2352941176470518E-2</v>
      </c>
      <c r="EN11" s="83">
        <v>8289100</v>
      </c>
      <c r="EO11" s="84">
        <v>9400000</v>
      </c>
      <c r="EP11" s="92">
        <v>9400</v>
      </c>
      <c r="EQ11" s="109">
        <f t="shared" si="17"/>
        <v>0.11818085106382979</v>
      </c>
      <c r="ER11" s="100">
        <f t="shared" si="18"/>
        <v>0.13401937484165952</v>
      </c>
      <c r="ES11" s="85">
        <f t="shared" si="19"/>
        <v>2.1739130434782705E-2</v>
      </c>
      <c r="ET11" s="83">
        <v>8483600</v>
      </c>
      <c r="EU11" s="84">
        <v>9600000</v>
      </c>
      <c r="EV11" s="92">
        <v>9600</v>
      </c>
      <c r="EW11" s="109">
        <f t="shared" si="20"/>
        <v>0.11629166666666667</v>
      </c>
      <c r="EX11" s="100">
        <f t="shared" si="21"/>
        <v>0.13159507756141262</v>
      </c>
      <c r="EY11" s="85">
        <f t="shared" si="22"/>
        <v>2.1276595744680771E-2</v>
      </c>
      <c r="EZ11" s="83">
        <v>8967300</v>
      </c>
      <c r="FA11" s="84">
        <v>10100000</v>
      </c>
      <c r="FB11" s="92">
        <v>10100</v>
      </c>
      <c r="FC11" s="109">
        <f>(FA11-EZ11)/FA11</f>
        <v>0.11214851485148515</v>
      </c>
      <c r="FD11" s="100">
        <f>(FA11-EZ11)/EZ11</f>
        <v>0.12631449823246685</v>
      </c>
      <c r="FE11" s="85">
        <f>FB11/EV11-1</f>
        <v>5.2083333333333259E-2</v>
      </c>
      <c r="FF11" s="83">
        <v>9340900</v>
      </c>
      <c r="FG11" s="84">
        <v>10500000</v>
      </c>
      <c r="FH11" s="92">
        <v>10500</v>
      </c>
      <c r="FI11" s="109">
        <f>(FG11-FF11)/FG11</f>
        <v>0.11039047619047619</v>
      </c>
      <c r="FJ11" s="100">
        <f>(FG11-FF11)/FF11</f>
        <v>0.12408868524446252</v>
      </c>
      <c r="FK11" s="85">
        <f>FH11/FB11-1</f>
        <v>3.9603960396039639E-2</v>
      </c>
      <c r="FL11" s="83">
        <v>9790300</v>
      </c>
      <c r="FM11" s="84">
        <v>10950000</v>
      </c>
      <c r="FN11" s="92">
        <v>10950</v>
      </c>
      <c r="FO11" s="109">
        <f t="shared" si="23"/>
        <v>0.10590867579908676</v>
      </c>
      <c r="FP11" s="100">
        <f t="shared" si="24"/>
        <v>0.11845397995975608</v>
      </c>
      <c r="FQ11" s="85">
        <f>FN11/FH11-1</f>
        <v>4.2857142857142927E-2</v>
      </c>
      <c r="FR11" s="83">
        <v>10340300</v>
      </c>
      <c r="FS11" s="84">
        <v>11500000</v>
      </c>
      <c r="FT11" s="92">
        <v>11500</v>
      </c>
      <c r="FU11" s="109">
        <f>(FS11-FR11)/FS11</f>
        <v>0.10084347826086956</v>
      </c>
      <c r="FV11" s="100">
        <f>(FS11-FR11)/FR11</f>
        <v>0.11215341914644643</v>
      </c>
      <c r="FW11" s="85">
        <f>FT11/FN11-1</f>
        <v>5.0228310502283158E-2</v>
      </c>
      <c r="FX11" s="83">
        <v>10880000</v>
      </c>
      <c r="FY11" s="84"/>
      <c r="FZ11" s="92"/>
      <c r="GA11" s="109"/>
      <c r="GB11" s="100"/>
      <c r="GC11" s="85"/>
      <c r="GD11" s="218">
        <v>1088</v>
      </c>
      <c r="GE11" s="84"/>
      <c r="GF11" s="92"/>
      <c r="GG11" s="109"/>
      <c r="GH11" s="100"/>
      <c r="GI11" s="85"/>
      <c r="GJ11" s="83"/>
      <c r="GK11" s="84"/>
      <c r="GL11" s="92"/>
      <c r="GM11" s="109"/>
      <c r="GN11" s="100"/>
      <c r="GO11" s="85"/>
      <c r="GP11" s="252"/>
      <c r="GQ11" s="253"/>
      <c r="GR11" s="265"/>
      <c r="GS11" s="284"/>
      <c r="GT11" s="285"/>
      <c r="GU11" s="286"/>
      <c r="GV11" s="252"/>
      <c r="GW11" s="253"/>
      <c r="GX11" s="265"/>
      <c r="GY11" s="284"/>
      <c r="GZ11" s="285"/>
      <c r="HA11" s="286"/>
      <c r="HB11" s="252"/>
      <c r="HC11" s="253"/>
      <c r="HD11" s="265"/>
      <c r="HE11" s="284"/>
      <c r="HF11" s="285"/>
      <c r="HG11" s="286"/>
      <c r="HH11" s="252"/>
      <c r="HI11" s="253"/>
      <c r="HJ11" s="265"/>
      <c r="HK11" s="284"/>
      <c r="HL11" s="285"/>
      <c r="HM11" s="286"/>
      <c r="HN11" s="252"/>
      <c r="HO11" s="253"/>
      <c r="HP11" s="265"/>
      <c r="HQ11" s="284"/>
      <c r="HR11" s="285"/>
      <c r="HS11" s="286"/>
      <c r="HT11" s="252"/>
      <c r="HU11" s="253"/>
      <c r="HV11" s="265"/>
      <c r="HW11" s="284"/>
      <c r="HX11" s="285"/>
      <c r="HY11" s="286"/>
      <c r="HZ11" s="252"/>
      <c r="IA11" s="253"/>
      <c r="IB11" s="265"/>
      <c r="IC11" s="284"/>
      <c r="ID11" s="285"/>
      <c r="IE11" s="286"/>
      <c r="IF11" s="252"/>
      <c r="IG11" s="253"/>
      <c r="IH11" s="265"/>
      <c r="II11" s="284"/>
      <c r="IJ11" s="285"/>
      <c r="IK11" s="286"/>
      <c r="IL11" s="252"/>
      <c r="IM11" s="253"/>
      <c r="IN11" s="265"/>
      <c r="IO11" s="284"/>
      <c r="IP11" s="285"/>
      <c r="IQ11" s="286"/>
    </row>
    <row r="12" spans="1:251" ht="13.3" thickBot="1" x14ac:dyDescent="0.25">
      <c r="A12" s="75" t="s">
        <v>20</v>
      </c>
      <c r="B12" s="75" t="s">
        <v>28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61"/>
      <c r="CG12" s="61"/>
      <c r="CH12" s="36"/>
      <c r="CI12" s="36"/>
      <c r="CJ12" s="36"/>
      <c r="CK12" s="61"/>
      <c r="CL12" s="61"/>
      <c r="CM12" s="36"/>
      <c r="CN12" s="36"/>
      <c r="CO12" s="36"/>
      <c r="CP12" s="61"/>
      <c r="CQ12" s="61"/>
      <c r="CR12" s="67"/>
      <c r="CS12" s="62"/>
      <c r="CT12" s="62"/>
      <c r="CU12" s="63"/>
      <c r="CV12" s="64"/>
      <c r="CW12" s="65"/>
      <c r="CX12" s="67"/>
      <c r="CY12" s="62"/>
      <c r="CZ12" s="62"/>
      <c r="DA12" s="63"/>
      <c r="DB12" s="64"/>
      <c r="DC12" s="65"/>
      <c r="DD12" s="67">
        <v>6673600</v>
      </c>
      <c r="DE12" s="62">
        <v>7300000</v>
      </c>
      <c r="DF12" s="62">
        <v>7300</v>
      </c>
      <c r="DG12" s="63">
        <f t="shared" si="0"/>
        <v>8.5808219178082193E-2</v>
      </c>
      <c r="DH12" s="64">
        <f t="shared" si="1"/>
        <v>9.386238312155358E-2</v>
      </c>
      <c r="DI12" s="65"/>
      <c r="DJ12" s="77">
        <v>6934600</v>
      </c>
      <c r="DK12" s="78">
        <v>7650000</v>
      </c>
      <c r="DL12" s="93">
        <v>7650</v>
      </c>
      <c r="DM12" s="110">
        <f t="shared" si="2"/>
        <v>9.351633986928104E-2</v>
      </c>
      <c r="DN12" s="101">
        <f t="shared" si="3"/>
        <v>0.10316384506676665</v>
      </c>
      <c r="DO12" s="80">
        <f t="shared" si="4"/>
        <v>4.7945205479452024E-2</v>
      </c>
      <c r="DP12" s="77">
        <v>7301600</v>
      </c>
      <c r="DQ12" s="78">
        <v>8000000</v>
      </c>
      <c r="DR12" s="93">
        <v>8000</v>
      </c>
      <c r="DS12" s="110">
        <f t="shared" si="5"/>
        <v>8.7300000000000003E-2</v>
      </c>
      <c r="DT12" s="101">
        <f t="shared" si="6"/>
        <v>9.5650268434315761E-2</v>
      </c>
      <c r="DU12" s="80">
        <f t="shared" si="7"/>
        <v>4.5751633986928164E-2</v>
      </c>
      <c r="DV12" s="77">
        <v>7301600</v>
      </c>
      <c r="DW12" s="78">
        <v>8000000</v>
      </c>
      <c r="DX12" s="93">
        <v>8000</v>
      </c>
      <c r="DY12" s="110">
        <f t="shared" si="8"/>
        <v>8.7300000000000003E-2</v>
      </c>
      <c r="DZ12" s="101">
        <f t="shared" si="9"/>
        <v>9.5650268434315761E-2</v>
      </c>
      <c r="EA12" s="80">
        <f t="shared" si="10"/>
        <v>0</v>
      </c>
      <c r="EB12" s="77">
        <v>7586000</v>
      </c>
      <c r="EC12" s="78">
        <v>8500000</v>
      </c>
      <c r="ED12" s="93">
        <v>8500</v>
      </c>
      <c r="EE12" s="110">
        <f t="shared" si="11"/>
        <v>0.10752941176470589</v>
      </c>
      <c r="EF12" s="101">
        <f t="shared" si="12"/>
        <v>0.1204851041392038</v>
      </c>
      <c r="EG12" s="80">
        <f t="shared" si="13"/>
        <v>6.25E-2</v>
      </c>
      <c r="EH12" s="77">
        <v>8195300</v>
      </c>
      <c r="EI12" s="78">
        <v>9200000</v>
      </c>
      <c r="EJ12" s="93">
        <v>9200</v>
      </c>
      <c r="EK12" s="110">
        <f t="shared" si="14"/>
        <v>0.10920652173913044</v>
      </c>
      <c r="EL12" s="101">
        <f t="shared" si="15"/>
        <v>0.12259465791368224</v>
      </c>
      <c r="EM12" s="80">
        <f t="shared" si="16"/>
        <v>8.2352941176470518E-2</v>
      </c>
      <c r="EN12" s="77">
        <v>8369000</v>
      </c>
      <c r="EO12" s="78">
        <v>9400000</v>
      </c>
      <c r="EP12" s="93">
        <v>9400</v>
      </c>
      <c r="EQ12" s="110">
        <f t="shared" si="17"/>
        <v>0.10968085106382978</v>
      </c>
      <c r="ER12" s="101">
        <f t="shared" si="18"/>
        <v>0.12319273509379854</v>
      </c>
      <c r="ES12" s="80">
        <f t="shared" si="19"/>
        <v>2.1739130434782705E-2</v>
      </c>
      <c r="ET12" s="77">
        <v>8569300</v>
      </c>
      <c r="EU12" s="78">
        <v>9600000</v>
      </c>
      <c r="EV12" s="93">
        <v>9600</v>
      </c>
      <c r="EW12" s="110">
        <f t="shared" si="20"/>
        <v>0.10736458333333333</v>
      </c>
      <c r="EX12" s="101">
        <f t="shared" si="21"/>
        <v>0.1202782024202677</v>
      </c>
      <c r="EY12" s="80">
        <f t="shared" si="22"/>
        <v>2.1276595744680771E-2</v>
      </c>
      <c r="EZ12" s="77">
        <v>9057300</v>
      </c>
      <c r="FA12" s="78">
        <v>10100000</v>
      </c>
      <c r="FB12" s="93">
        <v>10100</v>
      </c>
      <c r="FC12" s="110">
        <f>(FA12-EZ12)/FA12</f>
        <v>0.10323762376237623</v>
      </c>
      <c r="FD12" s="101">
        <f>(FA12-EZ12)/EZ12</f>
        <v>0.11512260828282159</v>
      </c>
      <c r="FE12" s="80">
        <f>FB12/EV12-1</f>
        <v>5.2083333333333259E-2</v>
      </c>
      <c r="FF12" s="77">
        <v>9434700</v>
      </c>
      <c r="FG12" s="78">
        <v>10500000</v>
      </c>
      <c r="FH12" s="93">
        <v>10500</v>
      </c>
      <c r="FI12" s="110">
        <f>(FG12-FF12)/FG12</f>
        <v>0.10145714285714286</v>
      </c>
      <c r="FJ12" s="101">
        <f>(FG12-FF12)/FF12</f>
        <v>0.11291297020572991</v>
      </c>
      <c r="FK12" s="80">
        <f>FH12/FB12-1</f>
        <v>3.9603960396039639E-2</v>
      </c>
      <c r="FL12" s="77">
        <v>9888800</v>
      </c>
      <c r="FM12" s="78">
        <v>10950000</v>
      </c>
      <c r="FN12" s="93">
        <v>10950</v>
      </c>
      <c r="FO12" s="110">
        <f t="shared" si="23"/>
        <v>9.6913242009132414E-2</v>
      </c>
      <c r="FP12" s="101">
        <f t="shared" si="24"/>
        <v>0.10731332416471159</v>
      </c>
      <c r="FQ12" s="80">
        <f>FN12/FH12-1</f>
        <v>4.2857142857142927E-2</v>
      </c>
      <c r="FR12" s="77">
        <v>10444500</v>
      </c>
      <c r="FS12" s="78">
        <v>11500000</v>
      </c>
      <c r="FT12" s="93">
        <v>11500</v>
      </c>
      <c r="FU12" s="110">
        <f>(FS12-FR12)/FS12</f>
        <v>9.1782608695652176E-2</v>
      </c>
      <c r="FV12" s="101">
        <f>(FS12-FR12)/FR12</f>
        <v>0.10105797309588779</v>
      </c>
      <c r="FW12" s="80">
        <f>FT12/FN12-1</f>
        <v>5.0228310502283158E-2</v>
      </c>
      <c r="FX12" s="77">
        <v>10989800</v>
      </c>
      <c r="FY12" s="78"/>
      <c r="FZ12" s="93"/>
      <c r="GA12" s="110"/>
      <c r="GB12" s="101"/>
      <c r="GC12" s="80"/>
      <c r="GD12" s="214">
        <v>1098.98</v>
      </c>
      <c r="GE12" s="78"/>
      <c r="GF12" s="93"/>
      <c r="GG12" s="110"/>
      <c r="GH12" s="101"/>
      <c r="GI12" s="80"/>
      <c r="GJ12" s="77"/>
      <c r="GK12" s="78"/>
      <c r="GL12" s="93"/>
      <c r="GM12" s="110"/>
      <c r="GN12" s="101"/>
      <c r="GO12" s="80"/>
      <c r="GP12" s="254"/>
      <c r="GQ12" s="255"/>
      <c r="GR12" s="266"/>
      <c r="GS12" s="287"/>
      <c r="GT12" s="288"/>
      <c r="GU12" s="283"/>
      <c r="GV12" s="254"/>
      <c r="GW12" s="255"/>
      <c r="GX12" s="266"/>
      <c r="GY12" s="287"/>
      <c r="GZ12" s="288"/>
      <c r="HA12" s="283"/>
      <c r="HB12" s="254"/>
      <c r="HC12" s="255"/>
      <c r="HD12" s="266"/>
      <c r="HE12" s="287"/>
      <c r="HF12" s="288"/>
      <c r="HG12" s="283"/>
      <c r="HH12" s="254"/>
      <c r="HI12" s="255"/>
      <c r="HJ12" s="266"/>
      <c r="HK12" s="287"/>
      <c r="HL12" s="288"/>
      <c r="HM12" s="283"/>
      <c r="HN12" s="254"/>
      <c r="HO12" s="255"/>
      <c r="HP12" s="266"/>
      <c r="HQ12" s="287"/>
      <c r="HR12" s="288"/>
      <c r="HS12" s="283"/>
      <c r="HT12" s="254"/>
      <c r="HU12" s="255"/>
      <c r="HV12" s="266"/>
      <c r="HW12" s="287"/>
      <c r="HX12" s="288"/>
      <c r="HY12" s="283"/>
      <c r="HZ12" s="254"/>
      <c r="IA12" s="255"/>
      <c r="IB12" s="266"/>
      <c r="IC12" s="287"/>
      <c r="ID12" s="288"/>
      <c r="IE12" s="283"/>
      <c r="IF12" s="254"/>
      <c r="IG12" s="255"/>
      <c r="IH12" s="266"/>
      <c r="II12" s="287"/>
      <c r="IJ12" s="288"/>
      <c r="IK12" s="283"/>
      <c r="IL12" s="254"/>
      <c r="IM12" s="255"/>
      <c r="IN12" s="266"/>
      <c r="IO12" s="287"/>
      <c r="IP12" s="288"/>
      <c r="IQ12" s="283"/>
    </row>
    <row r="13" spans="1:251" x14ac:dyDescent="0.2">
      <c r="A13" s="74" t="s">
        <v>23</v>
      </c>
      <c r="B13" s="74" t="s">
        <v>41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61"/>
      <c r="CG13" s="61"/>
      <c r="CH13" s="36"/>
      <c r="CI13" s="36"/>
      <c r="CJ13" s="36"/>
      <c r="CK13" s="61"/>
      <c r="CL13" s="61"/>
      <c r="CM13" s="36"/>
      <c r="CN13" s="36"/>
      <c r="CO13" s="36"/>
      <c r="CP13" s="61"/>
      <c r="CQ13" s="61"/>
      <c r="CR13" s="10"/>
      <c r="CS13" s="11"/>
      <c r="CT13" s="11"/>
      <c r="CU13" s="24"/>
      <c r="CV13" s="24"/>
      <c r="CW13" s="47"/>
      <c r="CX13" s="10">
        <v>6941400</v>
      </c>
      <c r="CY13" s="11">
        <v>7600000</v>
      </c>
      <c r="CZ13" s="11">
        <v>7600</v>
      </c>
      <c r="DA13" s="63">
        <f>(CY13-CX13)/CY13</f>
        <v>8.66578947368421E-2</v>
      </c>
      <c r="DB13" s="64">
        <f>(CY13-CX13)/CX13</f>
        <v>9.4879995389978961E-2</v>
      </c>
      <c r="DC13" s="47"/>
      <c r="DD13" s="10">
        <v>7260000</v>
      </c>
      <c r="DE13" s="11">
        <v>7950000</v>
      </c>
      <c r="DF13" s="11">
        <v>7950</v>
      </c>
      <c r="DG13" s="63">
        <f t="shared" si="0"/>
        <v>8.6792452830188674E-2</v>
      </c>
      <c r="DH13" s="64">
        <f t="shared" si="1"/>
        <v>9.5041322314049589E-2</v>
      </c>
      <c r="DI13" s="65">
        <f t="shared" ref="DI13:DI18" si="25">DF13/CZ13-1</f>
        <v>4.6052631578947345E-2</v>
      </c>
      <c r="DJ13" s="86">
        <v>7268500</v>
      </c>
      <c r="DK13" s="87">
        <v>8050000</v>
      </c>
      <c r="DL13" s="94">
        <v>8050</v>
      </c>
      <c r="DM13" s="109">
        <f t="shared" si="2"/>
        <v>9.7080745341614913E-2</v>
      </c>
      <c r="DN13" s="100">
        <f t="shared" si="3"/>
        <v>0.10751874527068858</v>
      </c>
      <c r="DO13" s="85">
        <f t="shared" si="4"/>
        <v>1.2578616352201255E-2</v>
      </c>
      <c r="DP13" s="86">
        <v>7616700</v>
      </c>
      <c r="DQ13" s="87"/>
      <c r="DR13" s="94"/>
      <c r="DS13" s="109" t="e">
        <f t="shared" si="5"/>
        <v>#DIV/0!</v>
      </c>
      <c r="DT13" s="100">
        <f t="shared" si="6"/>
        <v>-1</v>
      </c>
      <c r="DU13" s="85">
        <f t="shared" si="7"/>
        <v>-1</v>
      </c>
      <c r="DV13" s="86">
        <v>7616700</v>
      </c>
      <c r="DW13" s="87">
        <v>8400000</v>
      </c>
      <c r="DX13" s="94">
        <v>8400</v>
      </c>
      <c r="DY13" s="109">
        <f t="shared" si="8"/>
        <v>9.325E-2</v>
      </c>
      <c r="DZ13" s="100">
        <f t="shared" si="9"/>
        <v>0.10283981251723187</v>
      </c>
      <c r="EA13" s="85" t="e">
        <f t="shared" si="10"/>
        <v>#DIV/0!</v>
      </c>
      <c r="EB13" s="86">
        <v>7698400</v>
      </c>
      <c r="EC13" s="87">
        <v>8700000</v>
      </c>
      <c r="ED13" s="94">
        <v>8700</v>
      </c>
      <c r="EE13" s="109">
        <f t="shared" si="11"/>
        <v>0.11512643678160919</v>
      </c>
      <c r="EF13" s="100">
        <f t="shared" si="12"/>
        <v>0.13010495687415566</v>
      </c>
      <c r="EG13" s="85">
        <f t="shared" si="13"/>
        <v>3.5714285714285809E-2</v>
      </c>
      <c r="EH13" s="86">
        <v>8302700</v>
      </c>
      <c r="EI13" s="87">
        <v>9400000</v>
      </c>
      <c r="EJ13" s="94">
        <v>9400</v>
      </c>
      <c r="EK13" s="109">
        <f t="shared" si="14"/>
        <v>0.11673404255319149</v>
      </c>
      <c r="EL13" s="100">
        <f t="shared" si="15"/>
        <v>0.13216182687559469</v>
      </c>
      <c r="EM13" s="85">
        <f t="shared" si="16"/>
        <v>8.0459770114942541E-2</v>
      </c>
      <c r="EN13" s="86">
        <v>8475500</v>
      </c>
      <c r="EO13" s="87">
        <v>9600000</v>
      </c>
      <c r="EP13" s="94">
        <v>9600</v>
      </c>
      <c r="EQ13" s="109">
        <f t="shared" si="17"/>
        <v>0.11713541666666667</v>
      </c>
      <c r="ER13" s="100">
        <f t="shared" si="18"/>
        <v>0.13267653825732995</v>
      </c>
      <c r="ES13" s="85">
        <f t="shared" si="19"/>
        <v>2.1276595744680771E-2</v>
      </c>
      <c r="ET13" s="86">
        <v>8669900</v>
      </c>
      <c r="EU13" s="87">
        <v>9800000</v>
      </c>
      <c r="EV13" s="94">
        <v>9800</v>
      </c>
      <c r="EW13" s="109">
        <f t="shared" si="20"/>
        <v>0.11531632653061225</v>
      </c>
      <c r="EX13" s="100">
        <f t="shared" si="21"/>
        <v>0.13034752419289727</v>
      </c>
      <c r="EY13" s="85">
        <f t="shared" si="22"/>
        <v>2.0833333333333259E-2</v>
      </c>
      <c r="EZ13" s="86">
        <v>9162900</v>
      </c>
      <c r="FA13" s="87">
        <v>10300000</v>
      </c>
      <c r="FB13" s="94">
        <v>10300</v>
      </c>
      <c r="FC13" s="109">
        <f>(FA13-EZ13)/FA13</f>
        <v>0.11039805825242718</v>
      </c>
      <c r="FD13" s="100">
        <f>(FA13-EZ13)/EZ13</f>
        <v>0.12409826583286951</v>
      </c>
      <c r="FE13" s="85">
        <f>FB13/EV13-1</f>
        <v>5.1020408163265252E-2</v>
      </c>
      <c r="FF13" s="86">
        <v>9544900</v>
      </c>
      <c r="FG13" s="87">
        <v>10700000</v>
      </c>
      <c r="FH13" s="94">
        <v>10700</v>
      </c>
      <c r="FI13" s="109">
        <f>(FG13-FF13)/FG13</f>
        <v>0.10795327102803738</v>
      </c>
      <c r="FJ13" s="100">
        <f>(FG13-FF13)/FF13</f>
        <v>0.12101750673134344</v>
      </c>
      <c r="FK13" s="85">
        <f>FH13/FB13-1</f>
        <v>3.8834951456310662E-2</v>
      </c>
      <c r="FL13" s="86">
        <v>9994200</v>
      </c>
      <c r="FM13" s="87">
        <v>11150000</v>
      </c>
      <c r="FN13" s="94">
        <v>11150</v>
      </c>
      <c r="FO13" s="109">
        <f t="shared" si="23"/>
        <v>0.1036591928251121</v>
      </c>
      <c r="FP13" s="100">
        <f t="shared" si="24"/>
        <v>0.11564707530367613</v>
      </c>
      <c r="FQ13" s="85">
        <f>FN13/FH13-1</f>
        <v>4.20560747663552E-2</v>
      </c>
      <c r="FR13" s="86">
        <v>10544200</v>
      </c>
      <c r="FS13" s="87">
        <v>11700000</v>
      </c>
      <c r="FT13" s="94">
        <v>11700</v>
      </c>
      <c r="FU13" s="109">
        <f>(FS13-FR13)/FS13</f>
        <v>9.8786324786324792E-2</v>
      </c>
      <c r="FV13" s="100">
        <f>(FS13-FR13)/FR13</f>
        <v>0.10961476451508886</v>
      </c>
      <c r="FW13" s="85">
        <f>FT13/FN13-1</f>
        <v>4.9327354260089606E-2</v>
      </c>
      <c r="FX13" s="86">
        <v>11085200</v>
      </c>
      <c r="FY13" s="87">
        <v>12300000</v>
      </c>
      <c r="FZ13" s="94">
        <v>12300</v>
      </c>
      <c r="GA13" s="109">
        <f>(FY13-FX13)/FY13</f>
        <v>9.8764227642276423E-2</v>
      </c>
      <c r="GB13" s="100">
        <f>(FY13-FX13)/FX13</f>
        <v>0.10958755818568902</v>
      </c>
      <c r="GC13" s="85">
        <f>FZ13/FT13-1</f>
        <v>5.1282051282051322E-2</v>
      </c>
      <c r="GD13" s="211">
        <v>1108.52</v>
      </c>
      <c r="GE13" s="212">
        <v>1230</v>
      </c>
      <c r="GF13" s="213">
        <v>1.23</v>
      </c>
      <c r="GG13" s="109">
        <f>(GE13-GD13)/GE13</f>
        <v>9.8764227642276436E-2</v>
      </c>
      <c r="GH13" s="100">
        <f>(GE13-GD13)/GD13</f>
        <v>0.10958755818568905</v>
      </c>
      <c r="GI13" s="85">
        <f>GF13/FZ13-1</f>
        <v>-0.99990000000000001</v>
      </c>
      <c r="GJ13" s="211">
        <v>1117.27</v>
      </c>
      <c r="GK13" s="212">
        <v>1236</v>
      </c>
      <c r="GL13" s="213">
        <v>1.24</v>
      </c>
      <c r="GM13" s="109">
        <f>(GK13-GJ13)/GK13</f>
        <v>9.6059870550161824E-2</v>
      </c>
      <c r="GN13" s="100">
        <f>(GK13-GJ13)/GJ13</f>
        <v>0.10626795671592365</v>
      </c>
      <c r="GO13" s="85">
        <f>GL13/GF13-1</f>
        <v>8.1300813008129413E-3</v>
      </c>
      <c r="GP13" s="256">
        <v>1126.0899999999999</v>
      </c>
      <c r="GQ13" s="257">
        <v>1248</v>
      </c>
      <c r="GR13" s="267">
        <v>1.25</v>
      </c>
      <c r="GS13" s="284">
        <f>(GQ13-GP13)/GQ13</f>
        <v>9.7684294871794933E-2</v>
      </c>
      <c r="GT13" s="285">
        <f>(GQ13-GP13)/GP13</f>
        <v>0.10825955296645924</v>
      </c>
      <c r="GU13" s="286">
        <f>GR13/GL13-1</f>
        <v>8.0645161290322509E-3</v>
      </c>
      <c r="GV13" s="256">
        <v>1134.8699999999999</v>
      </c>
      <c r="GW13" s="257">
        <v>1260</v>
      </c>
      <c r="GX13" s="267">
        <v>1.26</v>
      </c>
      <c r="GY13" s="284">
        <f>(GW13-GV13)/GW13</f>
        <v>9.9309523809523903E-2</v>
      </c>
      <c r="GZ13" s="285">
        <f>(GW13-GV13)/GV13</f>
        <v>0.11025932485659161</v>
      </c>
      <c r="HA13" s="286">
        <f>GX13/GR13-1</f>
        <v>8.0000000000000071E-3</v>
      </c>
      <c r="HB13" s="256">
        <v>1143.6500000000001</v>
      </c>
      <c r="HC13" s="257">
        <v>1272</v>
      </c>
      <c r="HD13" s="267">
        <v>1.27</v>
      </c>
      <c r="HE13" s="284">
        <f>(HC13-HB13)/HC13</f>
        <v>0.10090408805031439</v>
      </c>
      <c r="HF13" s="285">
        <f>(HC13-HB13)/HB13</f>
        <v>0.11222839155335977</v>
      </c>
      <c r="HG13" s="286">
        <f>HD13/GX13-1</f>
        <v>7.9365079365079083E-3</v>
      </c>
      <c r="HH13" s="256">
        <v>1152.43</v>
      </c>
      <c r="HI13" s="257">
        <v>1284</v>
      </c>
      <c r="HJ13" s="267">
        <v>1.28</v>
      </c>
      <c r="HK13" s="284">
        <f>(HI13-HH13)/HI13</f>
        <v>0.10246884735202487</v>
      </c>
      <c r="HL13" s="285">
        <f>(HI13-HH13)/HH13</f>
        <v>0.11416745485626019</v>
      </c>
      <c r="HM13" s="286">
        <f>HJ13/HD13-1</f>
        <v>7.8740157480314821E-3</v>
      </c>
      <c r="HN13" s="256">
        <v>1161.21</v>
      </c>
      <c r="HO13" s="257">
        <v>1284</v>
      </c>
      <c r="HP13" s="267">
        <v>1.29</v>
      </c>
      <c r="HQ13" s="284">
        <f>(HO13-HN13)/HO13</f>
        <v>9.5630841121495294E-2</v>
      </c>
      <c r="HR13" s="285">
        <f>(HO13-HN13)/HN13</f>
        <v>0.10574314723435034</v>
      </c>
      <c r="HS13" s="286">
        <f>HP13/HJ13-1</f>
        <v>7.8125E-3</v>
      </c>
      <c r="HT13" s="256">
        <v>1161.21</v>
      </c>
      <c r="HU13" s="257">
        <v>1284</v>
      </c>
      <c r="HV13" s="267">
        <v>1.29</v>
      </c>
      <c r="HW13" s="284">
        <f>(HU13-HT13)/HU13</f>
        <v>9.5630841121495294E-2</v>
      </c>
      <c r="HX13" s="285">
        <f>(HU13-HT13)/HT13</f>
        <v>0.10574314723435034</v>
      </c>
      <c r="HY13" s="286">
        <f>HV13/HP13-1</f>
        <v>0</v>
      </c>
      <c r="HZ13" s="256">
        <v>1178.78</v>
      </c>
      <c r="IA13" s="305">
        <v>1308</v>
      </c>
      <c r="IB13" s="267">
        <v>1.31</v>
      </c>
      <c r="IC13" s="284">
        <f>(IA13-HZ13)/IA13</f>
        <v>9.8792048929663631E-2</v>
      </c>
      <c r="ID13" s="285">
        <f>(IA13-HZ13)/HZ13</f>
        <v>0.10962181238229358</v>
      </c>
      <c r="IE13" s="286">
        <f>IB13/HV13-1</f>
        <v>1.5503875968992276E-2</v>
      </c>
      <c r="IF13" s="256">
        <v>1196.3499999999999</v>
      </c>
      <c r="IG13" s="305">
        <v>1332</v>
      </c>
      <c r="IH13" s="267">
        <v>1.33</v>
      </c>
      <c r="II13" s="284">
        <f>(IG13-IF13)/IG13</f>
        <v>0.1018393393393394</v>
      </c>
      <c r="IJ13" s="285">
        <f>(IG13-IF13)/IF13</f>
        <v>0.11338655075855736</v>
      </c>
      <c r="IK13" s="286">
        <f>IH13/IB13-1</f>
        <v>1.5267175572519109E-2</v>
      </c>
      <c r="IL13" s="256">
        <v>1205.1300000000001</v>
      </c>
      <c r="IM13" s="305">
        <v>1344</v>
      </c>
      <c r="IN13" s="267">
        <v>1.34</v>
      </c>
      <c r="IO13" s="284">
        <f>(IM13-IL13)/IM13</f>
        <v>0.10332589285714278</v>
      </c>
      <c r="IP13" s="285">
        <f>(IM13-IL13)/IL13</f>
        <v>0.11523238156879331</v>
      </c>
      <c r="IQ13" s="286">
        <f>IN13/IH13-1</f>
        <v>7.5187969924812581E-3</v>
      </c>
    </row>
    <row r="14" spans="1:251" ht="13.3" thickBot="1" x14ac:dyDescent="0.25">
      <c r="A14" s="75" t="s">
        <v>24</v>
      </c>
      <c r="B14" s="75" t="s">
        <v>29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61"/>
      <c r="CG14" s="61"/>
      <c r="CH14" s="36"/>
      <c r="CI14" s="36"/>
      <c r="CJ14" s="36"/>
      <c r="CK14" s="61"/>
      <c r="CL14" s="61"/>
      <c r="CM14" s="36"/>
      <c r="CN14" s="36"/>
      <c r="CO14" s="36"/>
      <c r="CP14" s="61"/>
      <c r="CQ14" s="61"/>
      <c r="CR14" s="10"/>
      <c r="CS14" s="11"/>
      <c r="CT14" s="11"/>
      <c r="CU14" s="24"/>
      <c r="CV14" s="24"/>
      <c r="CW14" s="47"/>
      <c r="CX14" s="10"/>
      <c r="CY14" s="11"/>
      <c r="CZ14" s="11"/>
      <c r="DA14" s="63"/>
      <c r="DB14" s="64"/>
      <c r="DC14" s="47"/>
      <c r="DD14" s="10"/>
      <c r="DE14" s="11"/>
      <c r="DF14" s="11"/>
      <c r="DG14" s="63"/>
      <c r="DH14" s="64"/>
      <c r="DI14" s="65"/>
      <c r="DJ14" s="77">
        <v>7339900</v>
      </c>
      <c r="DK14" s="78">
        <v>8050000</v>
      </c>
      <c r="DL14" s="93">
        <v>8050</v>
      </c>
      <c r="DM14" s="110">
        <f>(DK14-DJ14)/DK14</f>
        <v>8.8211180124223604E-2</v>
      </c>
      <c r="DN14" s="101">
        <f>(DK14-DJ14)/DJ14</f>
        <v>9.6745187264131657E-2</v>
      </c>
      <c r="DO14" s="80" t="e">
        <f t="shared" si="4"/>
        <v>#DIV/0!</v>
      </c>
      <c r="DP14" s="77">
        <v>7690100</v>
      </c>
      <c r="DQ14" s="78">
        <v>8400000</v>
      </c>
      <c r="DR14" s="93">
        <v>8400</v>
      </c>
      <c r="DS14" s="110">
        <f t="shared" si="5"/>
        <v>8.451190476190476E-2</v>
      </c>
      <c r="DT14" s="101">
        <f t="shared" si="6"/>
        <v>9.231349397277018E-2</v>
      </c>
      <c r="DU14" s="80">
        <f t="shared" si="7"/>
        <v>4.3478260869565188E-2</v>
      </c>
      <c r="DV14" s="77">
        <v>7690100</v>
      </c>
      <c r="DW14" s="78">
        <v>8400000</v>
      </c>
      <c r="DX14" s="93">
        <v>8400</v>
      </c>
      <c r="DY14" s="110">
        <f t="shared" si="8"/>
        <v>8.451190476190476E-2</v>
      </c>
      <c r="DZ14" s="101">
        <f t="shared" si="9"/>
        <v>9.231349397277018E-2</v>
      </c>
      <c r="EA14" s="80">
        <f t="shared" si="10"/>
        <v>0</v>
      </c>
      <c r="EB14" s="77">
        <v>7772600</v>
      </c>
      <c r="EC14" s="78">
        <v>8700000</v>
      </c>
      <c r="ED14" s="93">
        <v>8700</v>
      </c>
      <c r="EE14" s="110">
        <f t="shared" si="11"/>
        <v>0.10659770114942528</v>
      </c>
      <c r="EF14" s="101">
        <f t="shared" si="12"/>
        <v>0.119316573604714</v>
      </c>
      <c r="EG14" s="80">
        <f t="shared" si="13"/>
        <v>3.5714285714285809E-2</v>
      </c>
      <c r="EH14" s="77">
        <v>8382800</v>
      </c>
      <c r="EI14" s="78">
        <v>9400000</v>
      </c>
      <c r="EJ14" s="93">
        <v>9400</v>
      </c>
      <c r="EK14" s="110">
        <f t="shared" si="14"/>
        <v>0.1082127659574468</v>
      </c>
      <c r="EL14" s="101">
        <f t="shared" si="15"/>
        <v>0.12134370377439518</v>
      </c>
      <c r="EM14" s="80">
        <f t="shared" si="16"/>
        <v>8.0459770114942541E-2</v>
      </c>
      <c r="EN14" s="77">
        <v>8557300</v>
      </c>
      <c r="EO14" s="78">
        <v>9600000</v>
      </c>
      <c r="EP14" s="93">
        <v>9600</v>
      </c>
      <c r="EQ14" s="110">
        <f t="shared" si="17"/>
        <v>0.10861458333333333</v>
      </c>
      <c r="ER14" s="101">
        <f t="shared" si="18"/>
        <v>0.12184918140067545</v>
      </c>
      <c r="ES14" s="80">
        <f t="shared" si="19"/>
        <v>2.1276595744680771E-2</v>
      </c>
      <c r="ET14" s="77">
        <v>8753500</v>
      </c>
      <c r="EU14" s="78">
        <v>9800000</v>
      </c>
      <c r="EV14" s="93">
        <v>9800</v>
      </c>
      <c r="EW14" s="110">
        <f t="shared" si="20"/>
        <v>0.10678571428571429</v>
      </c>
      <c r="EX14" s="101">
        <f t="shared" si="21"/>
        <v>0.11955217912834866</v>
      </c>
      <c r="EY14" s="80">
        <f t="shared" si="22"/>
        <v>2.0833333333333259E-2</v>
      </c>
      <c r="EZ14" s="77">
        <v>9250700</v>
      </c>
      <c r="FA14" s="78">
        <v>10300000</v>
      </c>
      <c r="FB14" s="93">
        <v>10300</v>
      </c>
      <c r="FC14" s="110">
        <f>(FA14-EZ14)/FA14</f>
        <v>0.10187378640776699</v>
      </c>
      <c r="FD14" s="101">
        <f>(FA14-EZ14)/EZ14</f>
        <v>0.11342925400239982</v>
      </c>
      <c r="FE14" s="80">
        <f>FB14/EV14-1</f>
        <v>5.1020408163265252E-2</v>
      </c>
      <c r="FF14" s="77">
        <v>9636400</v>
      </c>
      <c r="FG14" s="78">
        <v>10700000</v>
      </c>
      <c r="FH14" s="93">
        <v>10700</v>
      </c>
      <c r="FI14" s="110">
        <f>(FG14-FF14)/FG14</f>
        <v>9.9401869158878511E-2</v>
      </c>
      <c r="FJ14" s="101">
        <f>(FG14-FF14)/FF14</f>
        <v>0.1103731684031381</v>
      </c>
      <c r="FK14" s="80">
        <f>FH14/FB14-1</f>
        <v>3.8834951456310662E-2</v>
      </c>
      <c r="FL14" s="77">
        <v>10090200</v>
      </c>
      <c r="FM14" s="78">
        <v>11150000</v>
      </c>
      <c r="FN14" s="93">
        <v>11150</v>
      </c>
      <c r="FO14" s="110">
        <f t="shared" si="23"/>
        <v>9.5049327354260096E-2</v>
      </c>
      <c r="FP14" s="101">
        <f t="shared" si="24"/>
        <v>0.10503260589482864</v>
      </c>
      <c r="FQ14" s="80">
        <f>FN14/FH14-1</f>
        <v>4.20560747663552E-2</v>
      </c>
      <c r="FR14" s="77">
        <v>10645600</v>
      </c>
      <c r="FS14" s="78">
        <v>11700000</v>
      </c>
      <c r="FT14" s="93">
        <v>11700</v>
      </c>
      <c r="FU14" s="110">
        <f>(FS14-FR14)/FS14</f>
        <v>9.0119658119658122E-2</v>
      </c>
      <c r="FV14" s="101">
        <f>(FS14-FR14)/FR14</f>
        <v>9.9045615089802364E-2</v>
      </c>
      <c r="FW14" s="80">
        <f>FT14/FN14-1</f>
        <v>4.9327354260089606E-2</v>
      </c>
      <c r="FX14" s="77">
        <v>11191900</v>
      </c>
      <c r="FY14" s="78">
        <v>12300000</v>
      </c>
      <c r="FZ14" s="93">
        <v>12300</v>
      </c>
      <c r="GA14" s="110">
        <f>(FY14-FX14)/FY14</f>
        <v>9.0089430894308944E-2</v>
      </c>
      <c r="GB14" s="101">
        <f>(FY14-FX14)/FX14</f>
        <v>9.9009104799006431E-2</v>
      </c>
      <c r="GC14" s="80">
        <f>FZ14/FT14-1</f>
        <v>5.1282051282051322E-2</v>
      </c>
      <c r="GD14" s="214">
        <v>1119.19</v>
      </c>
      <c r="GE14" s="215">
        <v>1230</v>
      </c>
      <c r="GF14" s="216">
        <v>1.23</v>
      </c>
      <c r="GG14" s="110">
        <f>(GE14-GD14)/GE14</f>
        <v>9.0089430894308903E-2</v>
      </c>
      <c r="GH14" s="101">
        <f>(GE14-GD14)/GD14</f>
        <v>9.9009104799006376E-2</v>
      </c>
      <c r="GI14" s="80">
        <f>GF14/FZ14-1</f>
        <v>-0.99990000000000001</v>
      </c>
      <c r="GJ14" s="214">
        <v>1128.03</v>
      </c>
      <c r="GK14" s="215">
        <v>1236</v>
      </c>
      <c r="GL14" s="216">
        <v>1.24</v>
      </c>
      <c r="GM14" s="110">
        <f>(GK14-GJ14)/GK14</f>
        <v>8.7354368932038851E-2</v>
      </c>
      <c r="GN14" s="101">
        <f>(GK14-GJ14)/GJ14</f>
        <v>9.5715539480332998E-2</v>
      </c>
      <c r="GO14" s="80">
        <f>GL14/GF14-1</f>
        <v>8.1300813008129413E-3</v>
      </c>
      <c r="GP14" s="258">
        <v>1136.94</v>
      </c>
      <c r="GQ14" s="259">
        <v>1248</v>
      </c>
      <c r="GR14" s="268">
        <v>1.25</v>
      </c>
      <c r="GS14" s="287">
        <f>(GQ14-GP14)/GQ14</f>
        <v>8.8990384615384568E-2</v>
      </c>
      <c r="GT14" s="288">
        <f>(GQ14-GP14)/GP14</f>
        <v>9.7683255053037044E-2</v>
      </c>
      <c r="GU14" s="283">
        <f>GR14/GL14-1</f>
        <v>8.0645161290322509E-3</v>
      </c>
      <c r="GV14" s="258">
        <v>1145.81</v>
      </c>
      <c r="GW14" s="259">
        <v>1260</v>
      </c>
      <c r="GX14" s="268">
        <v>1.26</v>
      </c>
      <c r="GY14" s="287">
        <f>(GW14-GV14)/GW14</f>
        <v>9.0626984126984167E-2</v>
      </c>
      <c r="GZ14" s="288">
        <f>(GW14-GV14)/GV14</f>
        <v>9.9658756687408964E-2</v>
      </c>
      <c r="HA14" s="283">
        <f>GX14/GR14-1</f>
        <v>8.0000000000000071E-3</v>
      </c>
      <c r="HB14" s="258">
        <v>1154.68</v>
      </c>
      <c r="HC14" s="259">
        <v>1272</v>
      </c>
      <c r="HD14" s="268">
        <v>1.27</v>
      </c>
      <c r="HE14" s="287">
        <f>(HC14-HB14)/HC14</f>
        <v>9.2232704402515672E-2</v>
      </c>
      <c r="HF14" s="288">
        <f>(HC14-HB14)/HB14</f>
        <v>0.10160390757612493</v>
      </c>
      <c r="HG14" s="283">
        <f>HD14/GX14-1</f>
        <v>7.9365079365079083E-3</v>
      </c>
      <c r="HH14" s="258">
        <v>1163.55</v>
      </c>
      <c r="HI14" s="259">
        <v>1284</v>
      </c>
      <c r="HJ14" s="268">
        <v>1.28</v>
      </c>
      <c r="HK14" s="287">
        <f>(HI14-HH14)/HI14</f>
        <v>9.3808411214953313E-2</v>
      </c>
      <c r="HL14" s="288">
        <f>(HI14-HH14)/HH14</f>
        <v>0.10351940183060465</v>
      </c>
      <c r="HM14" s="283">
        <f>HJ14/HD14-1</f>
        <v>7.8740157480314821E-3</v>
      </c>
      <c r="HN14" s="258">
        <v>1172.42</v>
      </c>
      <c r="HO14" s="259">
        <v>1284</v>
      </c>
      <c r="HP14" s="268">
        <v>1.29</v>
      </c>
      <c r="HQ14" s="287">
        <f>(HO14-HN14)/HO14</f>
        <v>8.6900311526479701E-2</v>
      </c>
      <c r="HR14" s="288">
        <f>(HO14-HN14)/HN14</f>
        <v>9.517067262585073E-2</v>
      </c>
      <c r="HS14" s="283">
        <f>HP14/HJ14-1</f>
        <v>7.8125E-3</v>
      </c>
      <c r="HT14" s="258">
        <v>1172.42</v>
      </c>
      <c r="HU14" s="259">
        <v>1284</v>
      </c>
      <c r="HV14" s="268">
        <v>1.29</v>
      </c>
      <c r="HW14" s="287">
        <f>(HU14-HT14)/HU14</f>
        <v>8.6900311526479701E-2</v>
      </c>
      <c r="HX14" s="288">
        <f>(HU14-HT14)/HT14</f>
        <v>9.517067262585073E-2</v>
      </c>
      <c r="HY14" s="283">
        <f>HV14/HP14-1</f>
        <v>0</v>
      </c>
      <c r="HZ14" s="258">
        <v>1190.1600000000001</v>
      </c>
      <c r="IA14" s="259">
        <v>1308</v>
      </c>
      <c r="IB14" s="268">
        <v>1.31</v>
      </c>
      <c r="IC14" s="287">
        <f>(IA14-HZ14)/IA14</f>
        <v>9.0091743119265988E-2</v>
      </c>
      <c r="ID14" s="288">
        <f>(IA14-HZ14)/HZ14</f>
        <v>9.901189755999186E-2</v>
      </c>
      <c r="IE14" s="283">
        <f>IB14/HV14-1</f>
        <v>1.5503875968992276E-2</v>
      </c>
      <c r="IF14" s="258">
        <v>1207.9000000000001</v>
      </c>
      <c r="IG14" s="259">
        <v>1332</v>
      </c>
      <c r="IH14" s="268">
        <v>1.33</v>
      </c>
      <c r="II14" s="287">
        <f>(IG14-IF14)/IG14</f>
        <v>9.31681681681681E-2</v>
      </c>
      <c r="IJ14" s="288">
        <f>(IG14-IF14)/IF14</f>
        <v>0.10274029307061834</v>
      </c>
      <c r="IK14" s="283">
        <f>IH14/IB14-1</f>
        <v>1.5267175572519109E-2</v>
      </c>
      <c r="IL14" s="258">
        <v>1216.77</v>
      </c>
      <c r="IM14" s="259">
        <v>1344</v>
      </c>
      <c r="IN14" s="268">
        <v>1.34</v>
      </c>
      <c r="IO14" s="287">
        <f>(IM14-IL14)/IM14</f>
        <v>9.4665178571428588E-2</v>
      </c>
      <c r="IP14" s="288">
        <f>(IM14-IL14)/IL14</f>
        <v>0.10456372198525607</v>
      </c>
      <c r="IQ14" s="283">
        <f>IN14/IH14-1</f>
        <v>7.5187969924812581E-3</v>
      </c>
    </row>
    <row r="15" spans="1:251" x14ac:dyDescent="0.2">
      <c r="A15" s="74" t="s">
        <v>21</v>
      </c>
      <c r="B15" s="74" t="s">
        <v>42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61"/>
      <c r="CG15" s="61"/>
      <c r="CH15" s="36"/>
      <c r="CI15" s="36"/>
      <c r="CJ15" s="36"/>
      <c r="CK15" s="61"/>
      <c r="CL15" s="61"/>
      <c r="CM15" s="36"/>
      <c r="CN15" s="36"/>
      <c r="CO15" s="36"/>
      <c r="CP15" s="61"/>
      <c r="CQ15" s="61"/>
      <c r="CR15" s="10"/>
      <c r="CS15" s="11"/>
      <c r="CT15" s="11"/>
      <c r="CU15" s="24"/>
      <c r="CV15" s="24"/>
      <c r="CW15" s="47"/>
      <c r="CX15" s="10">
        <v>6397500</v>
      </c>
      <c r="CY15" s="11">
        <v>7050000</v>
      </c>
      <c r="CZ15" s="11">
        <v>7050</v>
      </c>
      <c r="DA15" s="63">
        <f>(CY15-CX15)/CY15</f>
        <v>9.2553191489361697E-2</v>
      </c>
      <c r="DB15" s="64">
        <f>(CY15-CX15)/CX15</f>
        <v>0.10199296600234467</v>
      </c>
      <c r="DC15" s="47"/>
      <c r="DD15" s="10">
        <v>6713100</v>
      </c>
      <c r="DE15" s="11">
        <v>7400000</v>
      </c>
      <c r="DF15" s="11">
        <v>7400</v>
      </c>
      <c r="DG15" s="63">
        <f t="shared" si="0"/>
        <v>9.2824324324324331E-2</v>
      </c>
      <c r="DH15" s="64">
        <f t="shared" si="1"/>
        <v>0.1023223250063309</v>
      </c>
      <c r="DI15" s="65">
        <f t="shared" si="25"/>
        <v>4.9645390070921946E-2</v>
      </c>
      <c r="DJ15" s="86">
        <v>7518900</v>
      </c>
      <c r="DK15" s="87">
        <v>7750000</v>
      </c>
      <c r="DL15" s="94">
        <v>7750</v>
      </c>
      <c r="DM15" s="109">
        <f t="shared" si="2"/>
        <v>2.9819354838709677E-2</v>
      </c>
      <c r="DN15" s="100">
        <f t="shared" si="3"/>
        <v>3.0735878918458817E-2</v>
      </c>
      <c r="DO15" s="85">
        <f t="shared" si="4"/>
        <v>4.7297297297297369E-2</v>
      </c>
      <c r="DP15" s="86">
        <v>7913000</v>
      </c>
      <c r="DQ15" s="87"/>
      <c r="DR15" s="94"/>
      <c r="DS15" s="109" t="e">
        <f t="shared" si="5"/>
        <v>#DIV/0!</v>
      </c>
      <c r="DT15" s="100">
        <f t="shared" si="6"/>
        <v>-1</v>
      </c>
      <c r="DU15" s="85">
        <f t="shared" si="7"/>
        <v>-1</v>
      </c>
      <c r="DV15" s="86">
        <v>7913000</v>
      </c>
      <c r="DW15" s="87">
        <v>8100000</v>
      </c>
      <c r="DX15" s="94">
        <v>8100</v>
      </c>
      <c r="DY15" s="109">
        <f t="shared" si="8"/>
        <v>2.308641975308642E-2</v>
      </c>
      <c r="DZ15" s="100">
        <f t="shared" si="9"/>
        <v>2.3631997978010869E-2</v>
      </c>
      <c r="EA15" s="85" t="e">
        <f t="shared" si="10"/>
        <v>#DIV/0!</v>
      </c>
      <c r="EB15" s="86">
        <v>8221500</v>
      </c>
      <c r="EC15" s="87">
        <v>8600000</v>
      </c>
      <c r="ED15" s="94">
        <v>8600</v>
      </c>
      <c r="EE15" s="109">
        <f t="shared" si="11"/>
        <v>4.4011627906976741E-2</v>
      </c>
      <c r="EF15" s="100">
        <f t="shared" si="12"/>
        <v>4.603782764702305E-2</v>
      </c>
      <c r="EG15" s="85">
        <f t="shared" si="13"/>
        <v>6.1728395061728447E-2</v>
      </c>
      <c r="EH15" s="86">
        <v>8870100</v>
      </c>
      <c r="EI15" s="87">
        <v>9300000</v>
      </c>
      <c r="EJ15" s="94">
        <v>9300</v>
      </c>
      <c r="EK15" s="109">
        <f t="shared" si="14"/>
        <v>4.6225806451612901E-2</v>
      </c>
      <c r="EL15" s="100">
        <f t="shared" si="15"/>
        <v>4.8466195420570228E-2</v>
      </c>
      <c r="EM15" s="85">
        <f t="shared" si="16"/>
        <v>8.1395348837209225E-2</v>
      </c>
      <c r="EN15" s="86">
        <v>9056400</v>
      </c>
      <c r="EO15" s="87">
        <v>9500000</v>
      </c>
      <c r="EP15" s="94">
        <v>9500</v>
      </c>
      <c r="EQ15" s="109">
        <f t="shared" si="17"/>
        <v>4.6694736842105261E-2</v>
      </c>
      <c r="ER15" s="100">
        <f t="shared" si="18"/>
        <v>4.8981935426880438E-2</v>
      </c>
      <c r="ES15" s="85">
        <f t="shared" si="19"/>
        <v>2.1505376344086002E-2</v>
      </c>
      <c r="ET15" s="86">
        <v>9237600</v>
      </c>
      <c r="EU15" s="87">
        <v>9700000</v>
      </c>
      <c r="EV15" s="94">
        <v>9700</v>
      </c>
      <c r="EW15" s="109">
        <f t="shared" si="20"/>
        <v>4.7670103092783508E-2</v>
      </c>
      <c r="EX15" s="100">
        <f t="shared" si="21"/>
        <v>5.0056291677491989E-2</v>
      </c>
      <c r="EY15" s="85">
        <f t="shared" si="22"/>
        <v>2.1052631578947434E-2</v>
      </c>
      <c r="EZ15" s="86">
        <v>9786900</v>
      </c>
      <c r="FA15" s="87"/>
      <c r="FB15" s="94"/>
      <c r="FC15" s="109"/>
      <c r="FD15" s="100"/>
      <c r="FE15" s="85"/>
      <c r="FF15" s="86">
        <v>10205200</v>
      </c>
      <c r="FG15" s="87"/>
      <c r="FH15" s="94"/>
      <c r="FI15" s="109"/>
      <c r="FJ15" s="100"/>
      <c r="FK15" s="85"/>
      <c r="FL15" s="86">
        <v>10707100</v>
      </c>
      <c r="FM15" s="87"/>
      <c r="FN15" s="94"/>
      <c r="FO15" s="109" t="e">
        <f t="shared" si="23"/>
        <v>#DIV/0!</v>
      </c>
      <c r="FP15" s="100">
        <f t="shared" si="24"/>
        <v>-1</v>
      </c>
      <c r="FQ15" s="85"/>
      <c r="FR15" s="86">
        <v>11320200</v>
      </c>
      <c r="FS15" s="87"/>
      <c r="FT15" s="94"/>
      <c r="FU15" s="109"/>
      <c r="FV15" s="100"/>
      <c r="FW15" s="85"/>
      <c r="FX15" s="86"/>
      <c r="FY15" s="87"/>
      <c r="FZ15" s="94"/>
      <c r="GA15" s="109"/>
      <c r="GB15" s="100"/>
      <c r="GC15" s="85"/>
      <c r="GD15" s="86"/>
      <c r="GE15" s="87"/>
      <c r="GF15" s="94"/>
      <c r="GG15" s="109"/>
      <c r="GH15" s="100"/>
      <c r="GI15" s="85"/>
      <c r="GJ15" s="86"/>
      <c r="GK15" s="87"/>
      <c r="GL15" s="94"/>
      <c r="GM15" s="109"/>
      <c r="GN15" s="100"/>
      <c r="GO15" s="85"/>
      <c r="GP15" s="289"/>
      <c r="GQ15" s="301"/>
      <c r="GR15" s="231"/>
      <c r="GS15" s="224"/>
      <c r="GT15" s="225"/>
      <c r="GU15" s="226"/>
      <c r="GV15" s="289"/>
      <c r="GW15" s="290"/>
      <c r="GX15" s="269"/>
      <c r="GY15" s="284"/>
      <c r="GZ15" s="285"/>
      <c r="HA15" s="286"/>
      <c r="HB15" s="289"/>
      <c r="HC15" s="301"/>
      <c r="HD15" s="231"/>
      <c r="HE15" s="224"/>
      <c r="HF15" s="225"/>
      <c r="HG15" s="226"/>
      <c r="HH15" s="289"/>
      <c r="HI15" s="290"/>
      <c r="HJ15" s="231"/>
      <c r="HK15" s="224"/>
      <c r="HL15" s="225"/>
      <c r="HM15" s="226"/>
      <c r="HN15" s="289"/>
      <c r="HO15" s="290"/>
      <c r="HP15" s="231"/>
      <c r="HQ15" s="224"/>
      <c r="HR15" s="225"/>
      <c r="HS15" s="226"/>
      <c r="HT15" s="289"/>
      <c r="HU15" s="290"/>
      <c r="HV15" s="231"/>
      <c r="HW15" s="224"/>
      <c r="HX15" s="225"/>
      <c r="HY15" s="226"/>
      <c r="HZ15" s="289"/>
      <c r="IA15" s="290"/>
      <c r="IB15" s="231"/>
      <c r="IC15" s="224"/>
      <c r="ID15" s="225"/>
      <c r="IE15" s="226"/>
      <c r="IF15" s="289"/>
      <c r="IG15" s="290"/>
      <c r="IH15" s="231"/>
      <c r="II15" s="224"/>
      <c r="IJ15" s="225"/>
      <c r="IK15" s="226"/>
      <c r="IL15" s="289"/>
      <c r="IM15" s="290"/>
      <c r="IN15" s="231"/>
      <c r="IO15" s="224"/>
      <c r="IP15" s="225"/>
      <c r="IQ15" s="226"/>
    </row>
    <row r="16" spans="1:251" ht="13.3" thickBot="1" x14ac:dyDescent="0.25">
      <c r="A16" s="75" t="s">
        <v>22</v>
      </c>
      <c r="B16" s="75" t="s">
        <v>30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61"/>
      <c r="CG16" s="61"/>
      <c r="CH16" s="36"/>
      <c r="CI16" s="36"/>
      <c r="CJ16" s="36"/>
      <c r="CK16" s="61"/>
      <c r="CL16" s="61"/>
      <c r="CM16" s="36"/>
      <c r="CN16" s="36"/>
      <c r="CO16" s="36"/>
      <c r="CP16" s="61"/>
      <c r="CQ16" s="61"/>
      <c r="CR16" s="10"/>
      <c r="CS16" s="11"/>
      <c r="CT16" s="11"/>
      <c r="CU16" s="24"/>
      <c r="CV16" s="24"/>
      <c r="CW16" s="47"/>
      <c r="CX16" s="10"/>
      <c r="CY16" s="11"/>
      <c r="CZ16" s="11"/>
      <c r="DA16" s="24"/>
      <c r="DB16" s="24"/>
      <c r="DC16" s="47"/>
      <c r="DD16" s="10">
        <v>6777900</v>
      </c>
      <c r="DE16" s="11">
        <v>7400000</v>
      </c>
      <c r="DF16" s="11">
        <v>7400</v>
      </c>
      <c r="DG16" s="24">
        <f t="shared" si="0"/>
        <v>8.4067567567567572E-2</v>
      </c>
      <c r="DH16" s="24">
        <f t="shared" si="1"/>
        <v>9.1783590787707106E-2</v>
      </c>
      <c r="DI16" s="65"/>
      <c r="DJ16" s="77">
        <v>7591600</v>
      </c>
      <c r="DK16" s="78">
        <v>7750000</v>
      </c>
      <c r="DL16" s="93">
        <v>7750</v>
      </c>
      <c r="DM16" s="110">
        <f t="shared" si="2"/>
        <v>2.0438709677419356E-2</v>
      </c>
      <c r="DN16" s="102">
        <f t="shared" si="3"/>
        <v>2.0865166763264661E-2</v>
      </c>
      <c r="DO16" s="79">
        <f t="shared" si="4"/>
        <v>4.7297297297297369E-2</v>
      </c>
      <c r="DP16" s="77">
        <v>7987900</v>
      </c>
      <c r="DQ16" s="78">
        <v>8100000</v>
      </c>
      <c r="DR16" s="93">
        <v>8100</v>
      </c>
      <c r="DS16" s="110">
        <f t="shared" si="5"/>
        <v>1.3839506172839506E-2</v>
      </c>
      <c r="DT16" s="102">
        <f t="shared" si="6"/>
        <v>1.4033726010591019E-2</v>
      </c>
      <c r="DU16" s="79">
        <f t="shared" si="7"/>
        <v>4.5161290322580649E-2</v>
      </c>
      <c r="DV16" s="77">
        <v>7987900</v>
      </c>
      <c r="DW16" s="78">
        <v>8100000</v>
      </c>
      <c r="DX16" s="93">
        <v>8100</v>
      </c>
      <c r="DY16" s="110">
        <f t="shared" si="8"/>
        <v>1.3839506172839506E-2</v>
      </c>
      <c r="DZ16" s="102">
        <f t="shared" si="9"/>
        <v>1.4033726010591019E-2</v>
      </c>
      <c r="EA16" s="79">
        <f t="shared" si="10"/>
        <v>0</v>
      </c>
      <c r="EB16" s="77">
        <v>8295000</v>
      </c>
      <c r="EC16" s="78">
        <v>8600000</v>
      </c>
      <c r="ED16" s="93">
        <v>8600</v>
      </c>
      <c r="EE16" s="110">
        <f t="shared" si="11"/>
        <v>3.5465116279069765E-2</v>
      </c>
      <c r="EF16" s="102">
        <f t="shared" si="12"/>
        <v>3.6769138034960819E-2</v>
      </c>
      <c r="EG16" s="79">
        <f t="shared" si="13"/>
        <v>6.1728395061728447E-2</v>
      </c>
      <c r="EH16" s="77">
        <v>8952000</v>
      </c>
      <c r="EI16" s="78">
        <v>9300000</v>
      </c>
      <c r="EJ16" s="93">
        <v>9300</v>
      </c>
      <c r="EK16" s="110">
        <f t="shared" si="14"/>
        <v>3.741935483870968E-2</v>
      </c>
      <c r="EL16" s="102">
        <f t="shared" si="15"/>
        <v>3.8873994638069703E-2</v>
      </c>
      <c r="EM16" s="79">
        <f t="shared" si="16"/>
        <v>8.1395348837209225E-2</v>
      </c>
      <c r="EN16" s="77">
        <v>9140000</v>
      </c>
      <c r="EO16" s="78">
        <v>9500000</v>
      </c>
      <c r="EP16" s="93">
        <v>9500</v>
      </c>
      <c r="EQ16" s="110">
        <f t="shared" si="17"/>
        <v>3.7894736842105266E-2</v>
      </c>
      <c r="ER16" s="102">
        <f t="shared" si="18"/>
        <v>3.9387308533916851E-2</v>
      </c>
      <c r="ES16" s="79">
        <f t="shared" si="19"/>
        <v>2.1505376344086002E-2</v>
      </c>
      <c r="ET16" s="77">
        <v>9332000</v>
      </c>
      <c r="EU16" s="78">
        <v>9700000</v>
      </c>
      <c r="EV16" s="93">
        <v>9700</v>
      </c>
      <c r="EW16" s="110">
        <f t="shared" si="20"/>
        <v>3.7938144329896908E-2</v>
      </c>
      <c r="EX16" s="102">
        <f t="shared" si="21"/>
        <v>3.9434204886412347E-2</v>
      </c>
      <c r="EY16" s="79">
        <f t="shared" si="22"/>
        <v>2.1052631578947434E-2</v>
      </c>
      <c r="EZ16" s="77">
        <v>9884100</v>
      </c>
      <c r="FA16" s="78"/>
      <c r="FB16" s="93"/>
      <c r="FC16" s="110"/>
      <c r="FD16" s="102"/>
      <c r="FE16" s="79"/>
      <c r="FF16" s="77">
        <v>10309700</v>
      </c>
      <c r="FG16" s="78"/>
      <c r="FH16" s="93"/>
      <c r="FI16" s="110"/>
      <c r="FJ16" s="102"/>
      <c r="FK16" s="79"/>
      <c r="FL16" s="77">
        <v>10816900</v>
      </c>
      <c r="FM16" s="78"/>
      <c r="FN16" s="93"/>
      <c r="FO16" s="110" t="e">
        <f t="shared" si="23"/>
        <v>#DIV/0!</v>
      </c>
      <c r="FP16" s="102">
        <f t="shared" si="24"/>
        <v>-1</v>
      </c>
      <c r="FQ16" s="79"/>
      <c r="FR16" s="77">
        <v>11436400</v>
      </c>
      <c r="FS16" s="78"/>
      <c r="FT16" s="93"/>
      <c r="FU16" s="110"/>
      <c r="FV16" s="102"/>
      <c r="FW16" s="79"/>
      <c r="FX16" s="77"/>
      <c r="FY16" s="78"/>
      <c r="FZ16" s="93"/>
      <c r="GA16" s="110"/>
      <c r="GB16" s="102"/>
      <c r="GC16" s="79"/>
      <c r="GD16" s="77"/>
      <c r="GE16" s="78"/>
      <c r="GF16" s="93"/>
      <c r="GG16" s="110"/>
      <c r="GH16" s="102"/>
      <c r="GI16" s="79"/>
      <c r="GJ16" s="77"/>
      <c r="GK16" s="78"/>
      <c r="GL16" s="93"/>
      <c r="GM16" s="110"/>
      <c r="GN16" s="102"/>
      <c r="GO16" s="79"/>
      <c r="GP16" s="254"/>
      <c r="GQ16" s="227"/>
      <c r="GR16" s="228"/>
      <c r="GS16" s="229"/>
      <c r="GT16" s="232"/>
      <c r="GU16" s="233"/>
      <c r="GV16" s="254"/>
      <c r="GW16" s="255"/>
      <c r="GX16" s="266"/>
      <c r="GY16" s="287"/>
      <c r="GZ16" s="291"/>
      <c r="HA16" s="292"/>
      <c r="HB16" s="254"/>
      <c r="HC16" s="227"/>
      <c r="HD16" s="228"/>
      <c r="HE16" s="229"/>
      <c r="HF16" s="232"/>
      <c r="HG16" s="233"/>
      <c r="HH16" s="254"/>
      <c r="HI16" s="255"/>
      <c r="HJ16" s="228"/>
      <c r="HK16" s="229"/>
      <c r="HL16" s="232"/>
      <c r="HM16" s="233"/>
      <c r="HN16" s="254"/>
      <c r="HO16" s="255"/>
      <c r="HP16" s="228"/>
      <c r="HQ16" s="229"/>
      <c r="HR16" s="232"/>
      <c r="HS16" s="233"/>
      <c r="HT16" s="254"/>
      <c r="HU16" s="255"/>
      <c r="HV16" s="228"/>
      <c r="HW16" s="229"/>
      <c r="HX16" s="232"/>
      <c r="HY16" s="233"/>
      <c r="HZ16" s="254"/>
      <c r="IA16" s="255"/>
      <c r="IB16" s="228"/>
      <c r="IC16" s="229"/>
      <c r="ID16" s="232"/>
      <c r="IE16" s="233"/>
      <c r="IF16" s="254"/>
      <c r="IG16" s="255"/>
      <c r="IH16" s="228"/>
      <c r="II16" s="229"/>
      <c r="IJ16" s="232"/>
      <c r="IK16" s="233"/>
      <c r="IL16" s="254"/>
      <c r="IM16" s="255"/>
      <c r="IN16" s="228"/>
      <c r="IO16" s="229"/>
      <c r="IP16" s="232"/>
      <c r="IQ16" s="233"/>
    </row>
    <row r="17" spans="1:256" x14ac:dyDescent="0.2">
      <c r="A17" s="69" t="s">
        <v>17</v>
      </c>
      <c r="B17" s="69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61"/>
      <c r="CG17" s="61"/>
      <c r="CH17" s="36"/>
      <c r="CI17" s="36"/>
      <c r="CJ17" s="36"/>
      <c r="CK17" s="61"/>
      <c r="CL17" s="61"/>
      <c r="CM17" s="36"/>
      <c r="CN17" s="36"/>
      <c r="CO17" s="36"/>
      <c r="CP17" s="61"/>
      <c r="CQ17" s="61"/>
      <c r="CR17" s="10"/>
      <c r="CS17" s="11"/>
      <c r="CT17" s="11"/>
      <c r="CU17" s="24"/>
      <c r="CV17" s="24"/>
      <c r="CW17" s="47"/>
      <c r="CX17" s="10">
        <v>5097500</v>
      </c>
      <c r="CY17" s="11"/>
      <c r="CZ17" s="11"/>
      <c r="DA17" s="24"/>
      <c r="DB17" s="24"/>
      <c r="DC17" s="47"/>
      <c r="DD17" s="10">
        <v>5347600</v>
      </c>
      <c r="DE17" s="11"/>
      <c r="DF17" s="11"/>
      <c r="DG17" s="24"/>
      <c r="DH17" s="24"/>
      <c r="DI17" s="65"/>
      <c r="DJ17" s="7">
        <v>5616600</v>
      </c>
      <c r="DK17" s="8"/>
      <c r="DL17" s="44"/>
      <c r="DM17" s="105"/>
      <c r="DN17" s="103"/>
      <c r="DO17" s="88"/>
      <c r="DP17" s="7">
        <v>6075700</v>
      </c>
      <c r="DQ17" s="8"/>
      <c r="DR17" s="44"/>
      <c r="DS17" s="105" t="e">
        <f t="shared" si="5"/>
        <v>#DIV/0!</v>
      </c>
      <c r="DT17" s="103">
        <f t="shared" si="6"/>
        <v>-1</v>
      </c>
      <c r="DU17" s="88"/>
      <c r="DV17" s="7">
        <v>6372000</v>
      </c>
      <c r="DW17" s="8"/>
      <c r="DX17" s="44"/>
      <c r="DY17" s="105" t="e">
        <f t="shared" si="8"/>
        <v>#DIV/0!</v>
      </c>
      <c r="DZ17" s="103">
        <f t="shared" si="9"/>
        <v>-1</v>
      </c>
      <c r="EA17" s="88"/>
      <c r="EB17" s="7">
        <v>6489600</v>
      </c>
      <c r="EC17" s="8"/>
      <c r="ED17" s="44"/>
      <c r="EE17" s="105" t="e">
        <f t="shared" si="11"/>
        <v>#DIV/0!</v>
      </c>
      <c r="EF17" s="103">
        <f t="shared" si="12"/>
        <v>-1</v>
      </c>
      <c r="EG17" s="88"/>
      <c r="EH17" s="7">
        <v>6489600</v>
      </c>
      <c r="EI17" s="8"/>
      <c r="EJ17" s="44"/>
      <c r="EK17" s="105" t="e">
        <f t="shared" si="14"/>
        <v>#DIV/0!</v>
      </c>
      <c r="EL17" s="103">
        <f t="shared" si="15"/>
        <v>-1</v>
      </c>
      <c r="EM17" s="88"/>
      <c r="EN17" s="7">
        <v>6725900</v>
      </c>
      <c r="EO17" s="8"/>
      <c r="EP17" s="44"/>
      <c r="EQ17" s="105" t="e">
        <f t="shared" si="17"/>
        <v>#DIV/0!</v>
      </c>
      <c r="ER17" s="103">
        <f t="shared" si="18"/>
        <v>-1</v>
      </c>
      <c r="ES17" s="88"/>
      <c r="ET17" s="7"/>
      <c r="EU17" s="8"/>
      <c r="EV17" s="44"/>
      <c r="EW17" s="105" t="e">
        <f t="shared" si="20"/>
        <v>#DIV/0!</v>
      </c>
      <c r="EX17" s="103" t="e">
        <f t="shared" si="21"/>
        <v>#DIV/0!</v>
      </c>
      <c r="EY17" s="88"/>
      <c r="EZ17" s="7"/>
      <c r="FA17" s="8"/>
      <c r="FB17" s="44"/>
      <c r="FC17" s="105"/>
      <c r="FD17" s="103"/>
      <c r="FE17" s="88"/>
      <c r="FF17" s="7">
        <v>7523000</v>
      </c>
      <c r="FG17" s="8"/>
      <c r="FH17" s="44"/>
      <c r="FI17" s="105"/>
      <c r="FJ17" s="103"/>
      <c r="FK17" s="88"/>
      <c r="FL17" s="7">
        <v>7891400</v>
      </c>
      <c r="FM17" s="8"/>
      <c r="FN17" s="44"/>
      <c r="FO17" s="105" t="e">
        <f t="shared" si="23"/>
        <v>#DIV/0!</v>
      </c>
      <c r="FP17" s="103">
        <f t="shared" si="24"/>
        <v>-1</v>
      </c>
      <c r="FQ17" s="88"/>
      <c r="FR17" s="7">
        <v>8341600</v>
      </c>
      <c r="FS17" s="8"/>
      <c r="FT17" s="44"/>
      <c r="FU17" s="105"/>
      <c r="FV17" s="103"/>
      <c r="FW17" s="88"/>
      <c r="FX17" s="7">
        <v>9133100</v>
      </c>
      <c r="FY17" s="8"/>
      <c r="FZ17" s="44"/>
      <c r="GA17" s="105"/>
      <c r="GB17" s="103"/>
      <c r="GC17" s="88"/>
      <c r="GD17" s="219">
        <v>930.76</v>
      </c>
      <c r="GE17" s="8"/>
      <c r="GF17" s="44"/>
      <c r="GG17" s="105"/>
      <c r="GH17" s="103"/>
      <c r="GI17" s="88"/>
      <c r="GJ17" s="7"/>
      <c r="GK17" s="8"/>
      <c r="GL17" s="44"/>
      <c r="GM17" s="105"/>
      <c r="GN17" s="103"/>
      <c r="GO17" s="88"/>
      <c r="GP17" s="293"/>
      <c r="GQ17" s="302"/>
      <c r="GR17" s="234"/>
      <c r="GS17" s="235"/>
      <c r="GT17" s="236"/>
      <c r="GU17" s="237"/>
      <c r="GV17" s="293"/>
      <c r="GW17" s="294"/>
      <c r="GX17" s="270"/>
      <c r="GY17" s="295"/>
      <c r="GZ17" s="296"/>
      <c r="HA17" s="297"/>
      <c r="HB17" s="293"/>
      <c r="HC17" s="302"/>
      <c r="HD17" s="234"/>
      <c r="HE17" s="235"/>
      <c r="HF17" s="236"/>
      <c r="HG17" s="237"/>
      <c r="HH17" s="293"/>
      <c r="HI17" s="294"/>
      <c r="HJ17" s="234"/>
      <c r="HK17" s="235"/>
      <c r="HL17" s="236"/>
      <c r="HM17" s="237"/>
      <c r="HN17" s="293"/>
      <c r="HO17" s="294"/>
      <c r="HP17" s="234"/>
      <c r="HQ17" s="235"/>
      <c r="HR17" s="236"/>
      <c r="HS17" s="237"/>
      <c r="HT17" s="293"/>
      <c r="HU17" s="294"/>
      <c r="HV17" s="234"/>
      <c r="HW17" s="235"/>
      <c r="HX17" s="236"/>
      <c r="HY17" s="237"/>
      <c r="HZ17" s="293"/>
      <c r="IA17" s="294"/>
      <c r="IB17" s="234"/>
      <c r="IC17" s="235"/>
      <c r="ID17" s="236"/>
      <c r="IE17" s="237"/>
      <c r="IF17" s="293"/>
      <c r="IG17" s="294"/>
      <c r="IH17" s="234"/>
      <c r="II17" s="235"/>
      <c r="IJ17" s="236"/>
      <c r="IK17" s="237"/>
      <c r="IL17" s="293"/>
      <c r="IM17" s="294"/>
      <c r="IN17" s="234"/>
      <c r="IO17" s="235"/>
      <c r="IP17" s="236"/>
      <c r="IQ17" s="237"/>
    </row>
    <row r="18" spans="1:256" ht="13.3" thickBot="1" x14ac:dyDescent="0.25">
      <c r="A18" s="75" t="s">
        <v>18</v>
      </c>
      <c r="B18" s="75" t="s">
        <v>47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61"/>
      <c r="CG18" s="61"/>
      <c r="CH18" s="36"/>
      <c r="CI18" s="36"/>
      <c r="CJ18" s="36"/>
      <c r="CK18" s="61"/>
      <c r="CL18" s="61"/>
      <c r="CM18" s="36"/>
      <c r="CN18" s="36"/>
      <c r="CO18" s="36"/>
      <c r="CP18" s="61"/>
      <c r="CQ18" s="61"/>
      <c r="CR18" s="10"/>
      <c r="CS18" s="11"/>
      <c r="CT18" s="11"/>
      <c r="CU18" s="24"/>
      <c r="CV18" s="24"/>
      <c r="CW18" s="47"/>
      <c r="CX18" s="10">
        <v>7148800</v>
      </c>
      <c r="CY18" s="11">
        <v>7950000</v>
      </c>
      <c r="CZ18" s="11">
        <v>7950</v>
      </c>
      <c r="DA18" s="63">
        <f>(CY18-CX18)/CY18</f>
        <v>0.10077987421383648</v>
      </c>
      <c r="DB18" s="64">
        <f>(CY18-CX18)/CX18</f>
        <v>0.11207475380483438</v>
      </c>
      <c r="DC18" s="47"/>
      <c r="DD18" s="10">
        <v>7472200</v>
      </c>
      <c r="DE18" s="11">
        <v>8350000</v>
      </c>
      <c r="DF18" s="11">
        <v>8350</v>
      </c>
      <c r="DG18" s="63">
        <f>(DE18-DD18)/DE18</f>
        <v>0.10512574850299401</v>
      </c>
      <c r="DH18" s="64">
        <f>(DE18-DD18)/DD18</f>
        <v>0.11747544230614812</v>
      </c>
      <c r="DI18" s="65">
        <f t="shared" si="25"/>
        <v>5.031446540880502E-2</v>
      </c>
      <c r="DJ18" s="81">
        <v>8068900</v>
      </c>
      <c r="DK18" s="82">
        <v>8700000</v>
      </c>
      <c r="DL18" s="91">
        <v>8700</v>
      </c>
      <c r="DM18" s="108">
        <f>(DK18-DJ18)/DK18</f>
        <v>7.2540229885057469E-2</v>
      </c>
      <c r="DN18" s="99">
        <f>(DK18-DJ18)/DJ18</f>
        <v>7.8213882933237486E-2</v>
      </c>
      <c r="DO18" s="80">
        <f>DL18/DF18-1</f>
        <v>4.1916167664670656E-2</v>
      </c>
      <c r="DP18" s="81">
        <v>8850200</v>
      </c>
      <c r="DQ18" s="82">
        <v>9400000</v>
      </c>
      <c r="DR18" s="91">
        <v>9400</v>
      </c>
      <c r="DS18" s="108">
        <f t="shared" si="5"/>
        <v>5.8489361702127658E-2</v>
      </c>
      <c r="DT18" s="99">
        <f t="shared" si="6"/>
        <v>6.2122889878194844E-2</v>
      </c>
      <c r="DU18" s="80">
        <f>DR18/DL18-1</f>
        <v>8.0459770114942541E-2</v>
      </c>
      <c r="DV18" s="81">
        <v>8850200</v>
      </c>
      <c r="DW18" s="82">
        <v>9400000</v>
      </c>
      <c r="DX18" s="91">
        <v>9400</v>
      </c>
      <c r="DY18" s="108">
        <f t="shared" si="8"/>
        <v>5.8489361702127658E-2</v>
      </c>
      <c r="DZ18" s="99">
        <f t="shared" si="9"/>
        <v>6.2122889878194844E-2</v>
      </c>
      <c r="EA18" s="80">
        <f>DX18/DR18-1</f>
        <v>0</v>
      </c>
      <c r="EB18" s="81">
        <v>9204200</v>
      </c>
      <c r="EC18" s="82">
        <v>9900000</v>
      </c>
      <c r="ED18" s="91">
        <v>9900</v>
      </c>
      <c r="EE18" s="108">
        <f t="shared" si="11"/>
        <v>7.028282828282828E-2</v>
      </c>
      <c r="EF18" s="99">
        <f t="shared" si="12"/>
        <v>7.5595923600095608E-2</v>
      </c>
      <c r="EG18" s="80">
        <f>ED18/DX18-1</f>
        <v>5.3191489361702038E-2</v>
      </c>
      <c r="EH18" s="81">
        <v>9917000</v>
      </c>
      <c r="EI18" s="82">
        <v>10700000</v>
      </c>
      <c r="EJ18" s="91">
        <v>10700</v>
      </c>
      <c r="EK18" s="108">
        <f t="shared" si="14"/>
        <v>7.3177570093457947E-2</v>
      </c>
      <c r="EL18" s="99">
        <f t="shared" si="15"/>
        <v>7.8955329232630836E-2</v>
      </c>
      <c r="EM18" s="80">
        <f>EJ18/ED18-1</f>
        <v>8.0808080808080884E-2</v>
      </c>
      <c r="EN18" s="81">
        <v>10036100</v>
      </c>
      <c r="EO18" s="82">
        <v>11000000</v>
      </c>
      <c r="EP18" s="91"/>
      <c r="EQ18" s="108">
        <f t="shared" si="17"/>
        <v>8.7627272727272734E-2</v>
      </c>
      <c r="ER18" s="99">
        <f t="shared" si="18"/>
        <v>9.6043283745678096E-2</v>
      </c>
      <c r="ES18" s="80">
        <f>EP18/EJ18-1</f>
        <v>-1</v>
      </c>
      <c r="ET18" s="81">
        <v>10236900</v>
      </c>
      <c r="EU18" s="82">
        <v>11200000</v>
      </c>
      <c r="EV18" s="91">
        <v>11200</v>
      </c>
      <c r="EW18" s="108">
        <f t="shared" si="20"/>
        <v>8.5991071428571431E-2</v>
      </c>
      <c r="EX18" s="99">
        <f t="shared" si="21"/>
        <v>9.4081215993122913E-2</v>
      </c>
      <c r="EY18" s="80" t="e">
        <f>EV18/EP18-1</f>
        <v>#DIV/0!</v>
      </c>
      <c r="EZ18" s="81">
        <v>10835900</v>
      </c>
      <c r="FA18" s="82"/>
      <c r="FB18" s="91"/>
      <c r="FC18" s="108"/>
      <c r="FD18" s="99"/>
      <c r="FE18" s="80"/>
      <c r="FF18" s="81">
        <v>11334600</v>
      </c>
      <c r="FG18" s="82"/>
      <c r="FH18" s="91"/>
      <c r="FI18" s="108"/>
      <c r="FJ18" s="99"/>
      <c r="FK18" s="80"/>
      <c r="FL18" s="81">
        <v>11892400</v>
      </c>
      <c r="FM18" s="82"/>
      <c r="FN18" s="91"/>
      <c r="FO18" s="108"/>
      <c r="FP18" s="99"/>
      <c r="FQ18" s="80"/>
      <c r="FR18" s="81">
        <v>12561200</v>
      </c>
      <c r="FS18" s="82"/>
      <c r="FT18" s="91"/>
      <c r="FU18" s="108"/>
      <c r="FV18" s="99"/>
      <c r="FW18" s="80"/>
      <c r="FX18" s="81">
        <v>13141600</v>
      </c>
      <c r="FY18" s="82"/>
      <c r="FZ18" s="91"/>
      <c r="GA18" s="108"/>
      <c r="GB18" s="99"/>
      <c r="GC18" s="80"/>
      <c r="GD18" s="208">
        <v>1314.16</v>
      </c>
      <c r="GE18" s="82"/>
      <c r="GF18" s="91"/>
      <c r="GG18" s="108"/>
      <c r="GH18" s="99"/>
      <c r="GI18" s="80"/>
      <c r="GJ18" s="208">
        <v>1324.54</v>
      </c>
      <c r="GK18" s="82"/>
      <c r="GL18" s="91"/>
      <c r="GM18" s="108"/>
      <c r="GN18" s="99"/>
      <c r="GO18" s="80"/>
      <c r="GP18" s="242">
        <v>1336.6</v>
      </c>
      <c r="GQ18" s="303"/>
      <c r="GR18" s="238"/>
      <c r="GS18" s="220"/>
      <c r="GT18" s="221"/>
      <c r="GU18" s="222"/>
      <c r="GV18" s="242">
        <v>1346.04</v>
      </c>
      <c r="GW18" s="298"/>
      <c r="GX18" s="271"/>
      <c r="GY18" s="281"/>
      <c r="GZ18" s="282"/>
      <c r="HA18" s="283"/>
      <c r="HB18" s="242">
        <v>1355.48</v>
      </c>
      <c r="HC18" s="303"/>
      <c r="HD18" s="238"/>
      <c r="HE18" s="220"/>
      <c r="HF18" s="221"/>
      <c r="HG18" s="222"/>
      <c r="HH18" s="242">
        <v>1364.92</v>
      </c>
      <c r="HI18" s="298"/>
      <c r="HJ18" s="238"/>
      <c r="HK18" s="220"/>
      <c r="HL18" s="221"/>
      <c r="HM18" s="222"/>
      <c r="HN18" s="242">
        <v>1374.36</v>
      </c>
      <c r="HO18" s="298"/>
      <c r="HP18" s="238"/>
      <c r="HQ18" s="220"/>
      <c r="HR18" s="221"/>
      <c r="HS18" s="222"/>
      <c r="HT18" s="242">
        <v>1374.36</v>
      </c>
      <c r="HU18" s="298"/>
      <c r="HV18" s="238"/>
      <c r="HW18" s="220"/>
      <c r="HX18" s="221"/>
      <c r="HY18" s="222"/>
      <c r="HZ18" s="242">
        <v>1393.26</v>
      </c>
      <c r="IA18" s="298"/>
      <c r="IB18" s="238"/>
      <c r="IC18" s="220"/>
      <c r="ID18" s="221"/>
      <c r="IE18" s="222"/>
      <c r="IF18" s="242">
        <v>1412.15</v>
      </c>
      <c r="IG18" s="298"/>
      <c r="IH18" s="238"/>
      <c r="II18" s="220"/>
      <c r="IJ18" s="221"/>
      <c r="IK18" s="222"/>
      <c r="IL18" s="242">
        <v>1421.59</v>
      </c>
      <c r="IM18" s="298"/>
      <c r="IN18" s="238"/>
      <c r="IO18" s="220"/>
      <c r="IP18" s="221"/>
      <c r="IQ18" s="222"/>
    </row>
    <row r="19" spans="1:256" x14ac:dyDescent="0.2">
      <c r="A19" s="74" t="s">
        <v>25</v>
      </c>
      <c r="B19" s="74" t="s">
        <v>43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61"/>
      <c r="CG19" s="61"/>
      <c r="CH19" s="36"/>
      <c r="CI19" s="36"/>
      <c r="CJ19" s="36"/>
      <c r="CK19" s="61"/>
      <c r="CL19" s="61"/>
      <c r="CM19" s="36"/>
      <c r="CN19" s="36"/>
      <c r="CO19" s="36"/>
      <c r="CP19" s="61"/>
      <c r="CQ19" s="61"/>
      <c r="CR19" s="67"/>
      <c r="CS19" s="62"/>
      <c r="CT19" s="62"/>
      <c r="CU19" s="63"/>
      <c r="CV19" s="63"/>
      <c r="CW19" s="65"/>
      <c r="CX19" s="67"/>
      <c r="CY19" s="62"/>
      <c r="CZ19" s="62"/>
      <c r="DA19" s="63"/>
      <c r="DB19" s="64"/>
      <c r="DC19" s="65"/>
      <c r="DD19" s="67"/>
      <c r="DE19" s="62"/>
      <c r="DF19" s="62"/>
      <c r="DG19" s="63"/>
      <c r="DH19" s="64"/>
      <c r="DI19" s="65"/>
      <c r="DJ19" s="83">
        <v>7952200</v>
      </c>
      <c r="DK19" s="84">
        <v>8150000</v>
      </c>
      <c r="DL19" s="92">
        <v>8150</v>
      </c>
      <c r="DM19" s="109">
        <f>(DK19-DJ19)/DK19</f>
        <v>2.4269938650306747E-2</v>
      </c>
      <c r="DN19" s="100">
        <f>(DK19-DJ19)/DJ19</f>
        <v>2.4873619878775684E-2</v>
      </c>
      <c r="DO19" s="85" t="e">
        <f>DL19/DF19-1</f>
        <v>#DIV/0!</v>
      </c>
      <c r="DP19" s="83">
        <v>8328200</v>
      </c>
      <c r="DQ19" s="84"/>
      <c r="DR19" s="92"/>
      <c r="DS19" s="109" t="e">
        <f t="shared" si="5"/>
        <v>#DIV/0!</v>
      </c>
      <c r="DT19" s="100">
        <f t="shared" si="6"/>
        <v>-1</v>
      </c>
      <c r="DU19" s="85">
        <f>DR19/DL19-1</f>
        <v>-1</v>
      </c>
      <c r="DV19" s="83">
        <v>8328200</v>
      </c>
      <c r="DW19" s="84">
        <v>9400000</v>
      </c>
      <c r="DX19" s="92">
        <v>9400</v>
      </c>
      <c r="DY19" s="109">
        <f t="shared" si="8"/>
        <v>0.11402127659574468</v>
      </c>
      <c r="DZ19" s="100">
        <f t="shared" si="9"/>
        <v>0.12869527629019475</v>
      </c>
      <c r="EA19" s="85" t="e">
        <f>DX19/DR19-1</f>
        <v>#DIV/0!</v>
      </c>
      <c r="EB19" s="83">
        <v>8420500</v>
      </c>
      <c r="EC19" s="84">
        <v>8800000</v>
      </c>
      <c r="ED19" s="92">
        <v>8800</v>
      </c>
      <c r="EE19" s="109">
        <f t="shared" si="11"/>
        <v>4.3124999999999997E-2</v>
      </c>
      <c r="EF19" s="100">
        <f t="shared" si="12"/>
        <v>4.5068582625734814E-2</v>
      </c>
      <c r="EG19" s="85">
        <f>ED19/DX19-1</f>
        <v>-6.3829787234042534E-2</v>
      </c>
      <c r="EH19" s="83">
        <v>9070500</v>
      </c>
      <c r="EI19" s="84">
        <v>9500000</v>
      </c>
      <c r="EJ19" s="92">
        <v>9500</v>
      </c>
      <c r="EK19" s="109">
        <f t="shared" si="14"/>
        <v>4.5210526315789472E-2</v>
      </c>
      <c r="EL19" s="100">
        <f t="shared" si="15"/>
        <v>4.7351303676754317E-2</v>
      </c>
      <c r="EM19" s="85">
        <f>EJ19/ED19-1</f>
        <v>7.9545454545454586E-2</v>
      </c>
      <c r="EN19" s="83">
        <v>9261000</v>
      </c>
      <c r="EO19" s="84">
        <v>9700000</v>
      </c>
      <c r="EP19" s="92">
        <v>9700</v>
      </c>
      <c r="EQ19" s="109">
        <f t="shared" si="17"/>
        <v>4.5257731958762884E-2</v>
      </c>
      <c r="ER19" s="100">
        <f t="shared" si="18"/>
        <v>4.7403088219414753E-2</v>
      </c>
      <c r="ES19" s="85">
        <f>EP19/EJ19-1</f>
        <v>2.1052631578947434E-2</v>
      </c>
      <c r="ET19" s="83">
        <v>9455500</v>
      </c>
      <c r="EU19" s="84">
        <v>9900000</v>
      </c>
      <c r="EV19" s="92">
        <v>9900</v>
      </c>
      <c r="EW19" s="109">
        <f t="shared" si="20"/>
        <v>4.4898989898989897E-2</v>
      </c>
      <c r="EX19" s="100">
        <f t="shared" si="21"/>
        <v>4.7009676907619903E-2</v>
      </c>
      <c r="EY19" s="85">
        <f>EV19/EP19-1</f>
        <v>2.0618556701030855E-2</v>
      </c>
      <c r="EZ19" s="83">
        <v>9998200</v>
      </c>
      <c r="FA19" s="84"/>
      <c r="FB19" s="92"/>
      <c r="FC19" s="109"/>
      <c r="FD19" s="100"/>
      <c r="FE19" s="85"/>
      <c r="FF19" s="83">
        <v>10432600</v>
      </c>
      <c r="FG19" s="84"/>
      <c r="FH19" s="92"/>
      <c r="FI19" s="109"/>
      <c r="FJ19" s="100"/>
      <c r="FK19" s="85"/>
      <c r="FL19" s="83">
        <v>10934400</v>
      </c>
      <c r="FM19" s="84"/>
      <c r="FN19" s="92"/>
      <c r="FO19" s="109"/>
      <c r="FP19" s="100"/>
      <c r="FQ19" s="85"/>
      <c r="FR19" s="83">
        <v>11547500</v>
      </c>
      <c r="FS19" s="84"/>
      <c r="FT19" s="92"/>
      <c r="FU19" s="109"/>
      <c r="FV19" s="100"/>
      <c r="FW19" s="85"/>
      <c r="FX19" s="83">
        <v>12150500</v>
      </c>
      <c r="FY19" s="84"/>
      <c r="FZ19" s="92"/>
      <c r="GA19" s="109"/>
      <c r="GB19" s="100"/>
      <c r="GC19" s="85"/>
      <c r="GD19" s="218">
        <v>1215.05</v>
      </c>
      <c r="GE19" s="84"/>
      <c r="GF19" s="92"/>
      <c r="GG19" s="109"/>
      <c r="GH19" s="100"/>
      <c r="GI19" s="85"/>
      <c r="GJ19" s="83"/>
      <c r="GK19" s="84"/>
      <c r="GL19" s="92"/>
      <c r="GM19" s="109"/>
      <c r="GN19" s="100"/>
      <c r="GO19" s="85"/>
      <c r="GP19" s="252"/>
      <c r="GQ19" s="300"/>
      <c r="GR19" s="223"/>
      <c r="GS19" s="224"/>
      <c r="GT19" s="225"/>
      <c r="GU19" s="226"/>
      <c r="GV19" s="252"/>
      <c r="GW19" s="253"/>
      <c r="GX19" s="265"/>
      <c r="GY19" s="284"/>
      <c r="GZ19" s="285"/>
      <c r="HA19" s="286"/>
      <c r="HB19" s="252"/>
      <c r="HC19" s="300"/>
      <c r="HD19" s="223"/>
      <c r="HE19" s="224"/>
      <c r="HF19" s="225"/>
      <c r="HG19" s="226"/>
      <c r="HH19" s="252"/>
      <c r="HI19" s="253"/>
      <c r="HJ19" s="223"/>
      <c r="HK19" s="224"/>
      <c r="HL19" s="225"/>
      <c r="HM19" s="226"/>
      <c r="HN19" s="252"/>
      <c r="HO19" s="253"/>
      <c r="HP19" s="223"/>
      <c r="HQ19" s="224"/>
      <c r="HR19" s="225"/>
      <c r="HS19" s="226"/>
      <c r="HT19" s="252"/>
      <c r="HU19" s="253"/>
      <c r="HV19" s="223"/>
      <c r="HW19" s="224"/>
      <c r="HX19" s="225"/>
      <c r="HY19" s="226"/>
      <c r="HZ19" s="252"/>
      <c r="IA19" s="253"/>
      <c r="IB19" s="223"/>
      <c r="IC19" s="224"/>
      <c r="ID19" s="225"/>
      <c r="IE19" s="226"/>
      <c r="IF19" s="252"/>
      <c r="IG19" s="253"/>
      <c r="IH19" s="223"/>
      <c r="II19" s="224"/>
      <c r="IJ19" s="225"/>
      <c r="IK19" s="226"/>
      <c r="IL19" s="252"/>
      <c r="IM19" s="253"/>
      <c r="IN19" s="223"/>
      <c r="IO19" s="224"/>
      <c r="IP19" s="225"/>
      <c r="IQ19" s="226"/>
    </row>
    <row r="20" spans="1:256" ht="13.3" thickBot="1" x14ac:dyDescent="0.25">
      <c r="A20" s="75" t="s">
        <v>26</v>
      </c>
      <c r="B20" s="75" t="s">
        <v>31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61"/>
      <c r="CG20" s="61"/>
      <c r="CH20" s="36"/>
      <c r="CI20" s="36"/>
      <c r="CJ20" s="36"/>
      <c r="CK20" s="61"/>
      <c r="CL20" s="61"/>
      <c r="CM20" s="36"/>
      <c r="CN20" s="36"/>
      <c r="CO20" s="36"/>
      <c r="CP20" s="61"/>
      <c r="CQ20" s="61"/>
      <c r="CR20" s="13"/>
      <c r="CS20" s="14"/>
      <c r="CT20" s="14"/>
      <c r="CU20" s="25"/>
      <c r="CV20" s="25"/>
      <c r="CW20" s="48"/>
      <c r="CX20" s="13">
        <v>7054600</v>
      </c>
      <c r="CY20" s="14">
        <v>7700000</v>
      </c>
      <c r="CZ20" s="14">
        <v>7700</v>
      </c>
      <c r="DA20" s="25">
        <f>(CY20-CX20)/CY20</f>
        <v>8.3818181818181819E-2</v>
      </c>
      <c r="DB20" s="60">
        <f>(CY20-CX20)/CX20</f>
        <v>9.1486406032943043E-2</v>
      </c>
      <c r="DC20" s="48"/>
      <c r="DD20" s="13">
        <v>7364100</v>
      </c>
      <c r="DE20" s="14">
        <v>8050000</v>
      </c>
      <c r="DF20" s="14">
        <v>8050</v>
      </c>
      <c r="DG20" s="25">
        <f>(DE20-DD20)/DE20</f>
        <v>8.5204968944099374E-2</v>
      </c>
      <c r="DH20" s="60">
        <f>(DE20-DD20)/DD20</f>
        <v>9.3141049143819335E-2</v>
      </c>
      <c r="DI20" s="48"/>
      <c r="DJ20" s="77">
        <v>8029300</v>
      </c>
      <c r="DK20" s="78">
        <v>8150000</v>
      </c>
      <c r="DL20" s="93">
        <v>8150</v>
      </c>
      <c r="DM20" s="110">
        <f>(DK20-DJ20)/DK20</f>
        <v>1.4809815950920246E-2</v>
      </c>
      <c r="DN20" s="101">
        <f>(DK20-DJ20)/DJ20</f>
        <v>1.5032443675040166E-2</v>
      </c>
      <c r="DO20" s="79">
        <f>DL20/DF20-1</f>
        <v>1.2422360248447228E-2</v>
      </c>
      <c r="DP20" s="77">
        <v>8407500</v>
      </c>
      <c r="DQ20" s="78">
        <v>8500000</v>
      </c>
      <c r="DR20" s="93">
        <v>8500</v>
      </c>
      <c r="DS20" s="110">
        <f t="shared" si="5"/>
        <v>1.088235294117647E-2</v>
      </c>
      <c r="DT20" s="101">
        <f t="shared" si="6"/>
        <v>1.1002081474873625E-2</v>
      </c>
      <c r="DU20" s="79">
        <f>DR20/DL20-1</f>
        <v>4.2944785276073594E-2</v>
      </c>
      <c r="DV20" s="77">
        <v>8407500</v>
      </c>
      <c r="DW20" s="78">
        <v>8500000</v>
      </c>
      <c r="DX20" s="93">
        <v>8500</v>
      </c>
      <c r="DY20" s="110">
        <f t="shared" si="8"/>
        <v>1.088235294117647E-2</v>
      </c>
      <c r="DZ20" s="101">
        <f t="shared" si="9"/>
        <v>1.1002081474873625E-2</v>
      </c>
      <c r="EA20" s="79">
        <f>DX20/DR20-1</f>
        <v>0</v>
      </c>
      <c r="EB20" s="77">
        <v>8490000</v>
      </c>
      <c r="EC20" s="78">
        <v>8800000</v>
      </c>
      <c r="ED20" s="93">
        <v>8800</v>
      </c>
      <c r="EE20" s="110">
        <f t="shared" si="11"/>
        <v>3.5227272727272725E-2</v>
      </c>
      <c r="EF20" s="101">
        <f t="shared" si="12"/>
        <v>3.6513545347467612E-2</v>
      </c>
      <c r="EG20" s="79">
        <f>ED20/DX20-1</f>
        <v>3.529411764705892E-2</v>
      </c>
      <c r="EH20" s="77">
        <v>9157000</v>
      </c>
      <c r="EI20" s="78">
        <v>9500000</v>
      </c>
      <c r="EJ20" s="93">
        <v>9500</v>
      </c>
      <c r="EK20" s="110">
        <f t="shared" si="14"/>
        <v>3.6105263157894738E-2</v>
      </c>
      <c r="EL20" s="101">
        <f t="shared" si="15"/>
        <v>3.7457682647155183E-2</v>
      </c>
      <c r="EM20" s="79">
        <f>EJ20/ED20-1</f>
        <v>7.9545454545454586E-2</v>
      </c>
      <c r="EN20" s="77">
        <v>9349300</v>
      </c>
      <c r="EO20" s="78">
        <v>9700000</v>
      </c>
      <c r="EP20" s="93">
        <v>9700</v>
      </c>
      <c r="EQ20" s="110">
        <f t="shared" si="17"/>
        <v>3.6154639175257734E-2</v>
      </c>
      <c r="ER20" s="101">
        <f t="shared" si="18"/>
        <v>3.751082968778411E-2</v>
      </c>
      <c r="ES20" s="79">
        <f>EP20/EJ20-1</f>
        <v>2.1052631578947434E-2</v>
      </c>
      <c r="ET20" s="77">
        <v>9545700</v>
      </c>
      <c r="EU20" s="78">
        <v>9900000</v>
      </c>
      <c r="EV20" s="93">
        <v>9900</v>
      </c>
      <c r="EW20" s="110">
        <f t="shared" si="20"/>
        <v>3.5787878787878785E-2</v>
      </c>
      <c r="EX20" s="101">
        <f t="shared" si="21"/>
        <v>3.7116188440868662E-2</v>
      </c>
      <c r="EY20" s="79">
        <f>EV20/EP20-1</f>
        <v>2.0618556701030855E-2</v>
      </c>
      <c r="EZ20" s="77">
        <v>10093000</v>
      </c>
      <c r="FA20" s="78"/>
      <c r="FB20" s="93"/>
      <c r="FC20" s="110"/>
      <c r="FD20" s="101"/>
      <c r="FE20" s="79"/>
      <c r="FF20" s="77">
        <v>10534600</v>
      </c>
      <c r="FG20" s="78"/>
      <c r="FH20" s="93"/>
      <c r="FI20" s="110"/>
      <c r="FJ20" s="101"/>
      <c r="FK20" s="79"/>
      <c r="FL20" s="77">
        <v>11041400</v>
      </c>
      <c r="FM20" s="78"/>
      <c r="FN20" s="93"/>
      <c r="FO20" s="110"/>
      <c r="FP20" s="101"/>
      <c r="FQ20" s="79"/>
      <c r="FR20" s="77">
        <v>11660500</v>
      </c>
      <c r="FS20" s="78"/>
      <c r="FT20" s="93"/>
      <c r="FU20" s="110"/>
      <c r="FV20" s="101"/>
      <c r="FW20" s="79"/>
      <c r="FX20" s="77">
        <v>12269500</v>
      </c>
      <c r="FY20" s="78"/>
      <c r="FZ20" s="93"/>
      <c r="GA20" s="110"/>
      <c r="GB20" s="101"/>
      <c r="GC20" s="79"/>
      <c r="GD20" s="214">
        <v>1226.95</v>
      </c>
      <c r="GE20" s="78"/>
      <c r="GF20" s="93"/>
      <c r="GG20" s="110"/>
      <c r="GH20" s="101"/>
      <c r="GI20" s="79"/>
      <c r="GJ20" s="77"/>
      <c r="GK20" s="78"/>
      <c r="GL20" s="93"/>
      <c r="GM20" s="110"/>
      <c r="GN20" s="101"/>
      <c r="GO20" s="79"/>
      <c r="GP20" s="254"/>
      <c r="GQ20" s="227"/>
      <c r="GR20" s="228"/>
      <c r="GS20" s="229"/>
      <c r="GT20" s="230"/>
      <c r="GU20" s="233"/>
      <c r="GV20" s="254"/>
      <c r="GW20" s="255"/>
      <c r="GX20" s="266"/>
      <c r="GY20" s="287"/>
      <c r="GZ20" s="288"/>
      <c r="HA20" s="292"/>
      <c r="HB20" s="254"/>
      <c r="HC20" s="227"/>
      <c r="HD20" s="228"/>
      <c r="HE20" s="229"/>
      <c r="HF20" s="230"/>
      <c r="HG20" s="233"/>
      <c r="HH20" s="254"/>
      <c r="HI20" s="227"/>
      <c r="HJ20" s="228"/>
      <c r="HK20" s="229"/>
      <c r="HL20" s="230"/>
      <c r="HM20" s="233"/>
      <c r="HN20" s="254"/>
      <c r="HO20" s="227"/>
      <c r="HP20" s="228"/>
      <c r="HQ20" s="229"/>
      <c r="HR20" s="230"/>
      <c r="HS20" s="233"/>
      <c r="HT20" s="254"/>
      <c r="HU20" s="227"/>
      <c r="HV20" s="228"/>
      <c r="HW20" s="229"/>
      <c r="HX20" s="230"/>
      <c r="HY20" s="233"/>
      <c r="HZ20" s="254"/>
      <c r="IA20" s="227"/>
      <c r="IB20" s="228"/>
      <c r="IC20" s="229"/>
      <c r="ID20" s="230"/>
      <c r="IE20" s="233"/>
      <c r="IF20" s="254"/>
      <c r="IG20" s="227"/>
      <c r="IH20" s="228"/>
      <c r="II20" s="229"/>
      <c r="IJ20" s="230"/>
      <c r="IK20" s="233"/>
      <c r="IL20" s="254"/>
      <c r="IM20" s="227"/>
      <c r="IN20" s="228"/>
      <c r="IO20" s="229"/>
      <c r="IP20" s="230"/>
      <c r="IQ20" s="233"/>
    </row>
    <row r="21" spans="1:256" s="240" customFormat="1" ht="13.3" thickBot="1" x14ac:dyDescent="0.25">
      <c r="A21" s="76" t="s">
        <v>27</v>
      </c>
      <c r="B21" s="76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2"/>
      <c r="CG21" s="112"/>
      <c r="CH21" s="111"/>
      <c r="CI21" s="111"/>
      <c r="CJ21" s="111"/>
      <c r="CK21" s="112"/>
      <c r="CL21" s="112"/>
      <c r="CM21" s="111"/>
      <c r="CN21" s="111"/>
      <c r="CO21" s="111"/>
      <c r="CP21" s="112"/>
      <c r="CQ21" s="112"/>
      <c r="CR21" s="111"/>
      <c r="CS21" s="111"/>
      <c r="CT21" s="111"/>
      <c r="CU21" s="112"/>
      <c r="CV21" s="112"/>
      <c r="CW21" s="112"/>
      <c r="CX21" s="111"/>
      <c r="CY21" s="111"/>
      <c r="CZ21" s="111"/>
      <c r="DA21" s="112"/>
      <c r="DB21" s="112"/>
      <c r="DC21" s="112"/>
      <c r="DD21" s="111"/>
      <c r="DE21" s="111"/>
      <c r="DF21" s="111"/>
      <c r="DG21" s="112"/>
      <c r="DH21" s="112"/>
      <c r="DI21" s="112"/>
      <c r="DJ21" s="111"/>
      <c r="DK21" s="111"/>
      <c r="DL21" s="111"/>
      <c r="DM21" s="112"/>
      <c r="DN21" s="112"/>
      <c r="DO21" s="112"/>
      <c r="DP21" s="111">
        <v>7954200</v>
      </c>
      <c r="DQ21" s="111"/>
      <c r="DR21" s="111"/>
      <c r="DS21" s="112" t="e">
        <f t="shared" si="5"/>
        <v>#DIV/0!</v>
      </c>
      <c r="DT21" s="112">
        <f t="shared" si="6"/>
        <v>-1</v>
      </c>
      <c r="DU21" s="112"/>
      <c r="DV21" s="111">
        <v>7954200</v>
      </c>
      <c r="DW21" s="111"/>
      <c r="DX21" s="111"/>
      <c r="DY21" s="112" t="e">
        <f t="shared" si="8"/>
        <v>#DIV/0!</v>
      </c>
      <c r="DZ21" s="112">
        <f t="shared" si="9"/>
        <v>-1</v>
      </c>
      <c r="EA21" s="112"/>
      <c r="EB21" s="111">
        <v>7954200</v>
      </c>
      <c r="EC21" s="111"/>
      <c r="ED21" s="111"/>
      <c r="EE21" s="112" t="e">
        <f t="shared" si="11"/>
        <v>#DIV/0!</v>
      </c>
      <c r="EF21" s="112">
        <f t="shared" si="12"/>
        <v>-1</v>
      </c>
      <c r="EG21" s="112"/>
      <c r="EH21" s="111">
        <v>7954200</v>
      </c>
      <c r="EI21" s="111"/>
      <c r="EJ21" s="111"/>
      <c r="EK21" s="112" t="e">
        <f t="shared" si="14"/>
        <v>#DIV/0!</v>
      </c>
      <c r="EL21" s="112">
        <f t="shared" si="15"/>
        <v>-1</v>
      </c>
      <c r="EM21" s="112"/>
      <c r="EN21" s="111">
        <v>7954200</v>
      </c>
      <c r="EO21" s="111"/>
      <c r="EP21" s="111"/>
      <c r="EQ21" s="112" t="e">
        <f t="shared" si="17"/>
        <v>#DIV/0!</v>
      </c>
      <c r="ER21" s="112">
        <f t="shared" si="18"/>
        <v>-1</v>
      </c>
      <c r="ES21" s="112"/>
      <c r="ET21" s="111">
        <v>8127400</v>
      </c>
      <c r="EU21" s="111"/>
      <c r="EV21" s="111"/>
      <c r="EW21" s="112" t="e">
        <f t="shared" si="20"/>
        <v>#DIV/0!</v>
      </c>
      <c r="EX21" s="112">
        <f t="shared" si="21"/>
        <v>-1</v>
      </c>
      <c r="EY21" s="112"/>
      <c r="EZ21" s="111">
        <v>8593300</v>
      </c>
      <c r="FA21" s="111"/>
      <c r="FB21" s="111"/>
      <c r="FC21" s="112"/>
      <c r="FD21" s="112"/>
      <c r="FE21" s="112"/>
      <c r="FF21" s="111">
        <v>8950800</v>
      </c>
      <c r="FG21" s="111"/>
      <c r="FH21" s="111"/>
      <c r="FI21" s="112"/>
      <c r="FJ21" s="112"/>
      <c r="FK21" s="112"/>
      <c r="FL21" s="111">
        <v>8950800</v>
      </c>
      <c r="FM21" s="111"/>
      <c r="FN21" s="111"/>
      <c r="FO21" s="112"/>
      <c r="FP21" s="112"/>
      <c r="FQ21" s="112"/>
      <c r="FR21" s="111">
        <v>8950800</v>
      </c>
      <c r="FS21" s="111"/>
      <c r="FT21" s="111"/>
      <c r="FU21" s="112"/>
      <c r="FV21" s="112"/>
      <c r="FW21" s="112"/>
      <c r="FX21" s="111">
        <v>8950800</v>
      </c>
      <c r="FY21" s="111"/>
      <c r="FZ21" s="111"/>
      <c r="GA21" s="112"/>
      <c r="GB21" s="112"/>
      <c r="GC21" s="112"/>
      <c r="GD21" s="217">
        <v>895.08</v>
      </c>
      <c r="GE21" s="111"/>
      <c r="GF21" s="111"/>
      <c r="GG21" s="112"/>
      <c r="GH21" s="112"/>
      <c r="GI21" s="112"/>
      <c r="GJ21" s="217">
        <v>902.28</v>
      </c>
      <c r="GK21" s="111"/>
      <c r="GL21" s="111"/>
      <c r="GM21" s="112"/>
      <c r="GN21" s="112"/>
      <c r="GO21" s="112"/>
      <c r="GP21" s="241">
        <v>909.54</v>
      </c>
      <c r="GQ21" s="304"/>
      <c r="GR21" s="304"/>
      <c r="GS21" s="304"/>
      <c r="GT21" s="304"/>
      <c r="GU21" s="304"/>
      <c r="GV21" s="241">
        <v>916.75</v>
      </c>
      <c r="HB21" s="241">
        <v>923.96</v>
      </c>
      <c r="HC21" s="304"/>
      <c r="HD21" s="304"/>
      <c r="HH21" s="241">
        <v>931.11</v>
      </c>
      <c r="HN21" s="241">
        <v>938.32</v>
      </c>
      <c r="HT21" s="241">
        <v>938.32</v>
      </c>
      <c r="HZ21" s="241">
        <v>952.61</v>
      </c>
      <c r="IF21" s="241">
        <v>961.95</v>
      </c>
      <c r="IL21" s="241">
        <v>969.05</v>
      </c>
      <c r="IR21" s="299"/>
      <c r="IS21" s="299"/>
      <c r="IT21" s="299"/>
      <c r="IU21" s="299"/>
      <c r="IV21" s="299"/>
    </row>
    <row r="22" spans="1:256" s="117" customFormat="1" ht="25.6" customHeight="1" thickBot="1" x14ac:dyDescent="0.25">
      <c r="A22" s="601" t="s">
        <v>35</v>
      </c>
      <c r="B22" s="601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115"/>
      <c r="CD22" s="115"/>
      <c r="CE22" s="115"/>
      <c r="CF22" s="116"/>
      <c r="CG22" s="116"/>
      <c r="CH22" s="115"/>
      <c r="CI22" s="115"/>
      <c r="CJ22" s="115"/>
      <c r="CK22" s="116"/>
      <c r="CL22" s="116"/>
      <c r="CM22" s="115"/>
      <c r="CN22" s="115"/>
      <c r="CO22" s="115"/>
      <c r="CP22" s="116"/>
      <c r="CQ22" s="116"/>
      <c r="CR22" s="115"/>
      <c r="CS22" s="115"/>
      <c r="CT22" s="115"/>
      <c r="CU22" s="116"/>
      <c r="CV22" s="116"/>
      <c r="CW22" s="116"/>
      <c r="CX22" s="115"/>
      <c r="CY22" s="115"/>
      <c r="CZ22" s="115"/>
      <c r="DA22" s="116"/>
      <c r="DB22" s="116"/>
      <c r="DC22" s="116"/>
      <c r="DD22" s="115"/>
      <c r="DE22" s="115"/>
      <c r="DF22" s="115"/>
      <c r="DG22" s="116"/>
      <c r="DH22" s="116"/>
      <c r="DI22" s="116"/>
      <c r="DJ22" s="115"/>
      <c r="DK22" s="115"/>
      <c r="DL22" s="115"/>
      <c r="DM22" s="116"/>
      <c r="DN22" s="116"/>
      <c r="DO22" s="116"/>
      <c r="DP22" s="118">
        <v>0.09</v>
      </c>
      <c r="DQ22" s="115"/>
      <c r="DR22" s="115"/>
      <c r="DS22" s="116"/>
      <c r="DT22" s="116"/>
      <c r="DU22" s="116"/>
      <c r="DV22" s="118">
        <v>0.09</v>
      </c>
      <c r="DY22" s="116"/>
      <c r="DZ22" s="116"/>
      <c r="EB22" s="118">
        <v>0.09</v>
      </c>
      <c r="EE22" s="116" t="e">
        <f t="shared" si="11"/>
        <v>#DIV/0!</v>
      </c>
      <c r="EF22" s="116">
        <f t="shared" si="12"/>
        <v>-1</v>
      </c>
      <c r="EH22" s="118">
        <v>0.09</v>
      </c>
      <c r="EK22" s="116" t="e">
        <f t="shared" si="14"/>
        <v>#DIV/0!</v>
      </c>
      <c r="EL22" s="116">
        <f t="shared" si="15"/>
        <v>-1</v>
      </c>
      <c r="EN22" s="118">
        <v>0.09</v>
      </c>
      <c r="EQ22" s="116" t="e">
        <f t="shared" si="17"/>
        <v>#DIV/0!</v>
      </c>
      <c r="ER22" s="116">
        <f t="shared" si="18"/>
        <v>-1</v>
      </c>
      <c r="ET22" s="118">
        <v>0.09</v>
      </c>
      <c r="EZ22" s="118">
        <v>0.115</v>
      </c>
      <c r="FI22" s="175">
        <v>0.115</v>
      </c>
      <c r="FO22" s="175">
        <v>0.115</v>
      </c>
      <c r="FS22" s="175">
        <v>0.115</v>
      </c>
      <c r="FU22" s="175"/>
      <c r="FY22" s="175">
        <v>0.115</v>
      </c>
      <c r="GA22" s="175"/>
    </row>
    <row r="23" spans="1:256" s="117" customFormat="1" ht="27.8" customHeight="1" thickBot="1" x14ac:dyDescent="0.25">
      <c r="A23" s="601" t="s">
        <v>36</v>
      </c>
      <c r="B23" s="601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115"/>
      <c r="CD23" s="115"/>
      <c r="CE23" s="115"/>
      <c r="CF23" s="116"/>
      <c r="CG23" s="116"/>
      <c r="CH23" s="115"/>
      <c r="CI23" s="115"/>
      <c r="CJ23" s="115"/>
      <c r="CK23" s="116"/>
      <c r="CL23" s="116"/>
      <c r="CM23" s="115"/>
      <c r="CN23" s="115"/>
      <c r="CO23" s="115"/>
      <c r="CP23" s="116"/>
      <c r="CQ23" s="116"/>
      <c r="CR23" s="115"/>
      <c r="CS23" s="115"/>
      <c r="CT23" s="115"/>
      <c r="CU23" s="116"/>
      <c r="CV23" s="116"/>
      <c r="CW23" s="116"/>
      <c r="CX23" s="115"/>
      <c r="CY23" s="115"/>
      <c r="CZ23" s="115"/>
      <c r="DA23" s="116"/>
      <c r="DB23" s="116"/>
      <c r="DC23" s="116"/>
      <c r="DD23" s="115"/>
      <c r="DE23" s="115"/>
      <c r="DF23" s="115"/>
      <c r="DG23" s="116"/>
      <c r="DH23" s="116"/>
      <c r="DI23" s="116"/>
      <c r="DJ23" s="115"/>
      <c r="DK23" s="115"/>
      <c r="DL23" s="115"/>
      <c r="DM23" s="116"/>
      <c r="DN23" s="116"/>
      <c r="DO23" s="116"/>
      <c r="DP23" s="118">
        <v>0.08</v>
      </c>
      <c r="DQ23" s="115"/>
      <c r="DR23" s="115"/>
      <c r="DS23" s="116"/>
      <c r="DT23" s="116"/>
      <c r="DU23" s="116"/>
      <c r="DV23" s="118">
        <v>0.08</v>
      </c>
      <c r="EB23" s="118">
        <v>0.08</v>
      </c>
      <c r="EH23" s="118">
        <v>0.08</v>
      </c>
      <c r="EN23" s="118">
        <v>0.08</v>
      </c>
      <c r="ET23" s="118">
        <v>0.08</v>
      </c>
      <c r="EZ23" s="118">
        <v>0.08</v>
      </c>
      <c r="FI23" s="174">
        <v>0.08</v>
      </c>
      <c r="FO23" s="174">
        <v>0.08</v>
      </c>
      <c r="FS23" s="174">
        <v>0.08</v>
      </c>
      <c r="FU23" s="174"/>
      <c r="FY23" s="174">
        <v>0.08</v>
      </c>
      <c r="GA23" s="174"/>
    </row>
    <row r="24" spans="1:256" s="117" customFormat="1" ht="27" customHeight="1" thickBot="1" x14ac:dyDescent="0.25">
      <c r="A24" s="601" t="s">
        <v>37</v>
      </c>
      <c r="B24" s="601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115"/>
      <c r="CD24" s="115"/>
      <c r="CE24" s="115"/>
      <c r="CF24" s="116"/>
      <c r="CG24" s="116"/>
      <c r="CH24" s="115"/>
      <c r="CI24" s="115"/>
      <c r="CJ24" s="115"/>
      <c r="CK24" s="116"/>
      <c r="CL24" s="116"/>
      <c r="CM24" s="115"/>
      <c r="CN24" s="115"/>
      <c r="CO24" s="115"/>
      <c r="CP24" s="116"/>
      <c r="CQ24" s="116"/>
      <c r="CR24" s="115"/>
      <c r="CS24" s="115"/>
      <c r="CT24" s="115"/>
      <c r="CU24" s="116"/>
      <c r="CV24" s="116"/>
      <c r="CW24" s="116"/>
      <c r="CX24" s="115"/>
      <c r="CY24" s="115"/>
      <c r="CZ24" s="115"/>
      <c r="DA24" s="116"/>
      <c r="DB24" s="116"/>
      <c r="DC24" s="116"/>
      <c r="DD24" s="115"/>
      <c r="DE24" s="115"/>
      <c r="DF24" s="115"/>
      <c r="DG24" s="116"/>
      <c r="DH24" s="116"/>
      <c r="DI24" s="116"/>
      <c r="DJ24" s="115"/>
      <c r="DK24" s="115"/>
      <c r="DL24" s="115"/>
      <c r="DM24" s="116"/>
      <c r="DN24" s="116"/>
      <c r="DO24" s="116"/>
      <c r="DP24" s="118">
        <v>0.05</v>
      </c>
      <c r="DQ24" s="115"/>
      <c r="DR24" s="115"/>
      <c r="DS24" s="116"/>
      <c r="DT24" s="116"/>
      <c r="DU24" s="116"/>
      <c r="DV24" s="118">
        <v>0.05</v>
      </c>
      <c r="EB24" s="118">
        <v>0.05</v>
      </c>
      <c r="EH24" s="118">
        <v>0.05</v>
      </c>
      <c r="EN24" s="118">
        <v>0.05</v>
      </c>
      <c r="ET24" s="118">
        <v>0.05</v>
      </c>
      <c r="EZ24" s="118">
        <v>0.05</v>
      </c>
      <c r="FI24" s="174">
        <v>0.05</v>
      </c>
      <c r="FO24" s="174">
        <v>0.05</v>
      </c>
      <c r="FS24" s="174">
        <v>0.05</v>
      </c>
      <c r="FU24" s="174"/>
      <c r="FY24" s="174">
        <v>0.05</v>
      </c>
      <c r="GA24" s="174"/>
    </row>
    <row r="25" spans="1:256" s="117" customFormat="1" ht="25.6" customHeight="1" thickBot="1" x14ac:dyDescent="0.25">
      <c r="A25" s="601" t="s">
        <v>38</v>
      </c>
      <c r="B25" s="601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115"/>
      <c r="CD25" s="115"/>
      <c r="CE25" s="115"/>
      <c r="CF25" s="116"/>
      <c r="CG25" s="116"/>
      <c r="CH25" s="115"/>
      <c r="CI25" s="115"/>
      <c r="CJ25" s="115"/>
      <c r="CK25" s="116"/>
      <c r="CL25" s="116"/>
      <c r="CM25" s="115"/>
      <c r="CN25" s="115"/>
      <c r="CO25" s="115"/>
      <c r="CP25" s="116"/>
      <c r="CQ25" s="116"/>
      <c r="CR25" s="115"/>
      <c r="CS25" s="115"/>
      <c r="CT25" s="115"/>
      <c r="CU25" s="116"/>
      <c r="CV25" s="116"/>
      <c r="CW25" s="116"/>
      <c r="CX25" s="115"/>
      <c r="CY25" s="115"/>
      <c r="CZ25" s="115"/>
      <c r="DA25" s="116"/>
      <c r="DB25" s="116"/>
      <c r="DC25" s="116"/>
      <c r="DD25" s="115"/>
      <c r="DE25" s="115"/>
      <c r="DF25" s="115"/>
      <c r="DG25" s="116"/>
      <c r="DH25" s="116"/>
      <c r="DI25" s="116"/>
      <c r="DJ25" s="115"/>
      <c r="DK25" s="115"/>
      <c r="DL25" s="115"/>
      <c r="DM25" s="116"/>
      <c r="DN25" s="116"/>
      <c r="DO25" s="116"/>
      <c r="DP25" s="118">
        <v>0.03</v>
      </c>
      <c r="DQ25" s="115"/>
      <c r="DR25" s="115"/>
      <c r="DS25" s="116"/>
      <c r="DT25" s="116"/>
      <c r="DU25" s="116"/>
      <c r="DV25" s="118">
        <v>0.03</v>
      </c>
      <c r="EB25" s="118">
        <v>0.03</v>
      </c>
      <c r="EH25" s="118">
        <v>0.03</v>
      </c>
      <c r="EN25" s="118">
        <v>0.03</v>
      </c>
      <c r="ET25" s="118">
        <v>0.03</v>
      </c>
      <c r="EZ25" s="118">
        <v>0.03</v>
      </c>
      <c r="FI25" s="174">
        <v>0.03</v>
      </c>
      <c r="FO25" s="174">
        <v>0.03</v>
      </c>
      <c r="FS25" s="176">
        <v>0.03</v>
      </c>
      <c r="FU25" s="174"/>
      <c r="FY25" s="176">
        <v>0.03</v>
      </c>
      <c r="GA25" s="174"/>
    </row>
    <row r="26" spans="1:256" s="117" customFormat="1" ht="28.6" customHeight="1" thickBot="1" x14ac:dyDescent="0.25">
      <c r="A26" s="601" t="s">
        <v>39</v>
      </c>
      <c r="B26" s="601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115"/>
      <c r="CD26" s="115"/>
      <c r="CE26" s="115"/>
      <c r="CF26" s="116"/>
      <c r="CG26" s="116"/>
      <c r="CH26" s="115"/>
      <c r="CI26" s="115"/>
      <c r="CJ26" s="115"/>
      <c r="CK26" s="116"/>
      <c r="CL26" s="116"/>
      <c r="CM26" s="115"/>
      <c r="CN26" s="115"/>
      <c r="CO26" s="115"/>
      <c r="CP26" s="116"/>
      <c r="CQ26" s="116"/>
      <c r="CR26" s="115"/>
      <c r="CS26" s="115"/>
      <c r="CT26" s="115"/>
      <c r="CU26" s="116"/>
      <c r="CV26" s="116"/>
      <c r="CW26" s="116"/>
      <c r="CX26" s="115"/>
      <c r="CY26" s="115"/>
      <c r="CZ26" s="115"/>
      <c r="DA26" s="116"/>
      <c r="DB26" s="116"/>
      <c r="DC26" s="116"/>
      <c r="DD26" s="115"/>
      <c r="DE26" s="115"/>
      <c r="DF26" s="115"/>
      <c r="DG26" s="116"/>
      <c r="DH26" s="116"/>
      <c r="DI26" s="116"/>
      <c r="DJ26" s="115"/>
      <c r="DK26" s="115"/>
      <c r="DL26" s="115"/>
      <c r="DM26" s="116"/>
      <c r="DN26" s="116"/>
      <c r="DO26" s="116"/>
      <c r="DP26" s="118">
        <v>1.4999999999999999E-2</v>
      </c>
      <c r="DQ26" s="115"/>
      <c r="DR26" s="115"/>
      <c r="DS26" s="116"/>
      <c r="DT26" s="116"/>
      <c r="DU26" s="116"/>
      <c r="DV26" s="118">
        <v>1.4999999999999999E-2</v>
      </c>
      <c r="EB26" s="118">
        <v>0.01</v>
      </c>
      <c r="EH26" s="118">
        <v>1.4999999999999999E-2</v>
      </c>
      <c r="EN26" s="118">
        <v>1.4999999999999999E-2</v>
      </c>
      <c r="ET26" s="118">
        <v>1.4999999999999999E-2</v>
      </c>
      <c r="EZ26" s="118">
        <v>1.4999999999999999E-2</v>
      </c>
      <c r="FI26" s="175">
        <v>1.4999999999999999E-2</v>
      </c>
      <c r="FO26" s="175">
        <v>1.4999999999999999E-2</v>
      </c>
      <c r="FS26" s="177">
        <v>1.4999999999999999E-2</v>
      </c>
      <c r="FU26" s="175"/>
      <c r="FY26" s="177">
        <v>1.4999999999999999E-2</v>
      </c>
      <c r="GA26" s="175"/>
    </row>
    <row r="27" spans="1:256" s="117" customFormat="1" x14ac:dyDescent="0.2">
      <c r="A27" s="600"/>
      <c r="B27" s="600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6"/>
      <c r="CG27" s="116"/>
      <c r="CH27" s="115"/>
      <c r="CI27" s="115"/>
      <c r="CJ27" s="115"/>
      <c r="CK27" s="116"/>
      <c r="CL27" s="116"/>
      <c r="CM27" s="115"/>
      <c r="CN27" s="115"/>
      <c r="CO27" s="115"/>
      <c r="CP27" s="116"/>
      <c r="CQ27" s="116"/>
      <c r="CR27" s="115"/>
      <c r="CS27" s="115"/>
      <c r="CT27" s="115"/>
      <c r="CU27" s="116"/>
      <c r="CV27" s="116"/>
      <c r="CW27" s="116"/>
      <c r="CX27" s="115"/>
      <c r="CY27" s="115"/>
      <c r="CZ27" s="115"/>
      <c r="DA27" s="116"/>
      <c r="DB27" s="116"/>
      <c r="DC27" s="116"/>
      <c r="DD27" s="115"/>
      <c r="DE27" s="115"/>
      <c r="DF27" s="115"/>
      <c r="DG27" s="116"/>
      <c r="DH27" s="116"/>
      <c r="DI27" s="116"/>
      <c r="DJ27" s="115"/>
      <c r="DK27" s="115"/>
      <c r="DL27" s="115"/>
      <c r="DM27" s="116"/>
      <c r="DN27" s="116"/>
      <c r="DO27" s="116"/>
      <c r="DP27" s="115"/>
      <c r="DQ27" s="115"/>
      <c r="DR27" s="115"/>
      <c r="DS27" s="116"/>
      <c r="DT27" s="116"/>
      <c r="DU27" s="116"/>
    </row>
    <row r="28" spans="1:256" x14ac:dyDescent="0.2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25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</row>
    <row r="29" spans="1:256" ht="13.3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26"/>
      <c r="AA29" s="1"/>
      <c r="AB29" s="1"/>
      <c r="AC29" s="1"/>
      <c r="AD29" s="1"/>
      <c r="AE29" s="1"/>
      <c r="AF29" s="1"/>
      <c r="AG29" s="1"/>
      <c r="AH29" s="1"/>
      <c r="AI29" s="1"/>
    </row>
    <row r="30" spans="1:256" x14ac:dyDescent="0.2">
      <c r="A30" s="609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27"/>
      <c r="AA30" s="590">
        <v>39783</v>
      </c>
      <c r="AB30" s="591"/>
      <c r="AC30" s="592"/>
      <c r="AD30" s="590">
        <v>40057</v>
      </c>
      <c r="AE30" s="591"/>
      <c r="AF30" s="592"/>
      <c r="AG30" s="590">
        <v>40179</v>
      </c>
      <c r="AH30" s="591"/>
      <c r="AI30" s="592"/>
      <c r="AJ30" s="590">
        <v>40210</v>
      </c>
      <c r="AK30" s="591"/>
      <c r="AL30" s="592"/>
      <c r="AM30" s="590"/>
      <c r="AN30" s="591"/>
      <c r="AO30" s="592"/>
      <c r="AP30" s="590"/>
      <c r="AQ30" s="591"/>
      <c r="AR30" s="592"/>
      <c r="AS30" s="590"/>
      <c r="AT30" s="591"/>
      <c r="AU30" s="592"/>
      <c r="AV30" s="590">
        <v>40605</v>
      </c>
      <c r="AW30" s="591"/>
      <c r="AX30" s="592"/>
      <c r="AY30" s="124"/>
      <c r="AZ30" s="124"/>
      <c r="BA30" s="124"/>
      <c r="BB30" s="590">
        <v>40633</v>
      </c>
      <c r="BC30" s="591"/>
      <c r="BD30" s="592"/>
      <c r="BE30" s="590">
        <v>40687</v>
      </c>
      <c r="BF30" s="591"/>
      <c r="BG30" s="592"/>
      <c r="BH30" s="590">
        <v>40701</v>
      </c>
      <c r="BI30" s="591"/>
      <c r="BJ30" s="592"/>
      <c r="BK30" s="590">
        <v>40703</v>
      </c>
      <c r="BL30" s="591"/>
      <c r="BM30" s="592"/>
      <c r="BN30" s="590"/>
      <c r="BO30" s="591"/>
      <c r="BP30" s="592"/>
      <c r="BQ30" s="590"/>
      <c r="BR30" s="591"/>
      <c r="BS30" s="592"/>
      <c r="BT30" s="590"/>
      <c r="BU30" s="591"/>
      <c r="BV30" s="592"/>
      <c r="BW30" s="590"/>
      <c r="BX30" s="591"/>
      <c r="BY30" s="592"/>
      <c r="BZ30" s="590"/>
      <c r="CA30" s="591"/>
      <c r="CB30" s="592"/>
    </row>
    <row r="31" spans="1:256" ht="13.3" thickBot="1" x14ac:dyDescent="0.25">
      <c r="A31" s="610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28"/>
      <c r="AA31" s="16"/>
      <c r="AB31" s="55" t="s">
        <v>15</v>
      </c>
      <c r="AC31" s="17"/>
      <c r="AD31" s="16" t="s">
        <v>5</v>
      </c>
      <c r="AE31" s="55" t="s">
        <v>15</v>
      </c>
      <c r="AF31" s="17"/>
      <c r="AG31" s="16" t="s">
        <v>5</v>
      </c>
      <c r="AH31" s="55" t="s">
        <v>15</v>
      </c>
      <c r="AI31" s="17"/>
      <c r="AJ31" s="16" t="s">
        <v>5</v>
      </c>
      <c r="AK31" s="55" t="s">
        <v>15</v>
      </c>
      <c r="AL31" s="17"/>
      <c r="AM31" s="16" t="s">
        <v>5</v>
      </c>
      <c r="AN31" s="55" t="s">
        <v>15</v>
      </c>
      <c r="AO31" s="17"/>
      <c r="AP31" s="16" t="s">
        <v>5</v>
      </c>
      <c r="AQ31" s="55" t="s">
        <v>15</v>
      </c>
      <c r="AR31" s="17"/>
      <c r="AS31" s="16" t="s">
        <v>5</v>
      </c>
      <c r="AT31" s="55" t="s">
        <v>15</v>
      </c>
      <c r="AU31" s="17"/>
      <c r="AV31" s="16" t="s">
        <v>5</v>
      </c>
      <c r="AW31" s="55" t="s">
        <v>15</v>
      </c>
      <c r="AX31" s="17"/>
      <c r="AY31" s="157"/>
      <c r="AZ31" s="157"/>
      <c r="BA31" s="157"/>
      <c r="BB31" s="16" t="s">
        <v>5</v>
      </c>
      <c r="BC31" s="55" t="s">
        <v>15</v>
      </c>
      <c r="BD31" s="17"/>
      <c r="BE31" s="16" t="s">
        <v>5</v>
      </c>
      <c r="BF31" s="55" t="s">
        <v>15</v>
      </c>
      <c r="BG31" s="17"/>
      <c r="BH31" s="16" t="s">
        <v>5</v>
      </c>
      <c r="BI31" s="55" t="s">
        <v>15</v>
      </c>
      <c r="BJ31" s="17"/>
      <c r="BK31" s="16" t="s">
        <v>5</v>
      </c>
      <c r="BL31" s="55" t="s">
        <v>15</v>
      </c>
      <c r="BM31" s="17"/>
      <c r="BN31" s="16" t="s">
        <v>5</v>
      </c>
      <c r="BO31" s="55" t="s">
        <v>15</v>
      </c>
      <c r="BP31" s="17"/>
      <c r="BQ31" s="16" t="s">
        <v>5</v>
      </c>
      <c r="BR31" s="55" t="s">
        <v>15</v>
      </c>
      <c r="BS31" s="17"/>
      <c r="BT31" s="16" t="s">
        <v>5</v>
      </c>
      <c r="BU31" s="55" t="s">
        <v>15</v>
      </c>
      <c r="BV31" s="17"/>
      <c r="BW31" s="16" t="s">
        <v>5</v>
      </c>
      <c r="BX31" s="55" t="s">
        <v>15</v>
      </c>
      <c r="BY31" s="17"/>
      <c r="BZ31" s="56" t="s">
        <v>14</v>
      </c>
      <c r="CA31" s="55" t="s">
        <v>15</v>
      </c>
      <c r="CB31" s="17"/>
    </row>
    <row r="32" spans="1:256" x14ac:dyDescent="0.2">
      <c r="A32" s="5">
        <v>80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29"/>
      <c r="AA32" s="18"/>
      <c r="AB32" s="23">
        <f>(AB3-AA3)/AB3</f>
        <v>7.6319905847549982E-2</v>
      </c>
      <c r="AC32" s="19">
        <v>1760</v>
      </c>
      <c r="AD32" s="26">
        <f>AF32/AC32-1</f>
        <v>7.9545454545454586E-2</v>
      </c>
      <c r="AE32" s="23">
        <f>(AE3-AD3)/AE3</f>
        <v>6.7374666781322562E-2</v>
      </c>
      <c r="AF32" s="19">
        <v>1900</v>
      </c>
      <c r="AG32" s="26">
        <f>AI32/AF32-1</f>
        <v>2.1052631578947434E-2</v>
      </c>
      <c r="AH32" s="23">
        <f>(AH3-AG3)/AH3</f>
        <v>5.209631036237538E-2</v>
      </c>
      <c r="AI32" s="19">
        <v>1940</v>
      </c>
      <c r="AJ32" s="26">
        <f>AL32/AI32-1</f>
        <v>0</v>
      </c>
      <c r="AK32" s="23">
        <f>(AK3-AJ3)/AK3</f>
        <v>2.365772395148779E-2</v>
      </c>
      <c r="AL32" s="19">
        <v>1940</v>
      </c>
      <c r="AM32" s="26">
        <f>AO32/AL32-1</f>
        <v>7.2164948453608213E-2</v>
      </c>
      <c r="AN32" s="23">
        <f>(AN3-AM3)/AN3</f>
        <v>5.3397788964169968E-2</v>
      </c>
      <c r="AO32" s="9">
        <v>2080</v>
      </c>
      <c r="AP32" s="26">
        <f>AR32/AO32-1</f>
        <v>8.1730769230769162E-2</v>
      </c>
      <c r="AQ32" s="23">
        <f>(AQ3-AP3)/AQ3</f>
        <v>7.2414358974358981E-2</v>
      </c>
      <c r="AR32" s="9">
        <v>2250</v>
      </c>
      <c r="AS32" s="26">
        <f>AU32/AR32-1</f>
        <v>0</v>
      </c>
      <c r="AT32" s="23">
        <f>(AT3-AS3)/AT3</f>
        <v>7.2414358974358981E-2</v>
      </c>
      <c r="AU32" s="9">
        <v>2250</v>
      </c>
      <c r="AV32" s="26">
        <f>AX32/AU32-1</f>
        <v>6.6666666666666652E-2</v>
      </c>
      <c r="AW32" s="23">
        <f>(AW3-AV3)/AW3</f>
        <v>8.6230769230769236E-2</v>
      </c>
      <c r="AX32" s="9">
        <v>2400</v>
      </c>
      <c r="AY32" s="154"/>
      <c r="AZ32" s="154"/>
      <c r="BA32" s="154"/>
      <c r="BB32" s="26">
        <f>BD32/AX32-1</f>
        <v>0.3125</v>
      </c>
      <c r="BC32" s="23">
        <f>(BC3-BB3)/BC3</f>
        <v>0.10479120879120879</v>
      </c>
      <c r="BD32" s="9">
        <v>3150</v>
      </c>
      <c r="BE32" s="26">
        <f>BG32/BD32-1</f>
        <v>0.22222222222222232</v>
      </c>
      <c r="BF32" s="23">
        <f>(BF3-BE3)/BF3</f>
        <v>8.2149776795186952E-2</v>
      </c>
      <c r="BG32" s="9">
        <v>3850</v>
      </c>
      <c r="BH32" s="26">
        <f>BJ32/BG32-1</f>
        <v>0.28571428571428581</v>
      </c>
      <c r="BI32" s="23">
        <f>(BI3-BH3)/BI3</f>
        <v>6.5827505827505822E-2</v>
      </c>
      <c r="BJ32" s="9">
        <v>4950</v>
      </c>
      <c r="BK32" s="26">
        <f>BM32/BJ32-1</f>
        <v>-0.17171717171717171</v>
      </c>
      <c r="BL32" s="23">
        <f>(BL3-BK3)/BL3</f>
        <v>8.1399929338456106E-2</v>
      </c>
      <c r="BM32" s="9">
        <v>4100</v>
      </c>
      <c r="BN32" s="26">
        <f>BP32/BM32-1</f>
        <v>4.8780487804878092E-3</v>
      </c>
      <c r="BO32" s="23">
        <f>(BO3-BN3)/BO3</f>
        <v>7.2083575211618761E-2</v>
      </c>
      <c r="BP32" s="9">
        <v>4120</v>
      </c>
      <c r="BQ32" s="26">
        <f>BS32/BP32-1</f>
        <v>2.9126213592232997E-2</v>
      </c>
      <c r="BR32" s="23">
        <f>(BR3-BQ3)/BR3</f>
        <v>7.14367976369229E-2</v>
      </c>
      <c r="BS32" s="9">
        <v>4240</v>
      </c>
      <c r="BT32" s="26">
        <f>BV32/BS32-1</f>
        <v>3.3018867924528239E-2</v>
      </c>
      <c r="BU32" s="23">
        <f>(BU3-BT3)/BU3</f>
        <v>6.0864067439409905E-2</v>
      </c>
      <c r="BV32" s="9">
        <v>4380</v>
      </c>
      <c r="BW32" s="26">
        <f>BY32/BV32-1</f>
        <v>5.0228310502283158E-2</v>
      </c>
      <c r="BX32" s="23">
        <f>(BX3-BW3)/BX3</f>
        <v>5.8601943719193562E-2</v>
      </c>
      <c r="BY32" s="9">
        <v>4600</v>
      </c>
      <c r="BZ32" s="26">
        <f>CB32/BY32-1</f>
        <v>3.0434782608695699E-2</v>
      </c>
      <c r="CA32" s="23">
        <f>(CA3-BZ3)/CA3</f>
        <v>5.686465433300876E-2</v>
      </c>
      <c r="CB32" s="9">
        <v>4740</v>
      </c>
    </row>
    <row r="33" spans="1:80" x14ac:dyDescent="0.2">
      <c r="A33" s="6">
        <v>92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130"/>
      <c r="AA33" s="20"/>
      <c r="AB33" s="24">
        <f>(AB4-AA4)/AB4</f>
        <v>8.447384313197967E-2</v>
      </c>
      <c r="AC33" s="21">
        <v>2220</v>
      </c>
      <c r="AD33" s="27">
        <f>AF33/AC33-1</f>
        <v>0.11261261261261257</v>
      </c>
      <c r="AE33" s="24">
        <f>(AE4-AD4)/AE4</f>
        <v>8.6622524149396626E-2</v>
      </c>
      <c r="AF33" s="21">
        <v>2470</v>
      </c>
      <c r="AG33" s="27">
        <f>AI33/AF33-1</f>
        <v>2.0242914979757165E-2</v>
      </c>
      <c r="AH33" s="24">
        <f>(AH4-AG4)/AH4</f>
        <v>7.1362637362637357E-2</v>
      </c>
      <c r="AI33" s="21">
        <v>2520</v>
      </c>
      <c r="AJ33" s="27">
        <f>AL33/AI33-1</f>
        <v>0</v>
      </c>
      <c r="AK33" s="24">
        <f>(AK4-AJ4)/AK4</f>
        <v>4.3501831501831505E-2</v>
      </c>
      <c r="AL33" s="21">
        <v>2520</v>
      </c>
      <c r="AM33" s="27">
        <f>AO33/AL33-1</f>
        <v>7.1428571428571397E-2</v>
      </c>
      <c r="AN33" s="24">
        <f>(AN4-AM4)/AN4</f>
        <v>7.1558974358974362E-2</v>
      </c>
      <c r="AO33" s="12">
        <v>2700</v>
      </c>
      <c r="AP33" s="27">
        <f>AR33/AO33-1</f>
        <v>6.2962962962962887E-2</v>
      </c>
      <c r="AQ33" s="24">
        <f>(AQ4-AP4)/AQ4</f>
        <v>7.4147512822566305E-2</v>
      </c>
      <c r="AR33" s="12">
        <v>2870</v>
      </c>
      <c r="AS33" s="27">
        <f>AU33/AR33-1</f>
        <v>0</v>
      </c>
      <c r="AT33" s="24">
        <f>(AT4-AS4)/AT4</f>
        <v>7.4147512822566305E-2</v>
      </c>
      <c r="AU33" s="12">
        <v>2870</v>
      </c>
      <c r="AV33" s="27">
        <f>AX33/AU33-1</f>
        <v>4.5296167247386832E-2</v>
      </c>
      <c r="AW33" s="24">
        <f>(AW4-AV4)/AW4</f>
        <v>6.9446153846153852E-2</v>
      </c>
      <c r="AX33" s="12">
        <v>3000</v>
      </c>
      <c r="AY33" s="155"/>
      <c r="AZ33" s="155"/>
      <c r="BA33" s="155"/>
      <c r="BB33" s="27">
        <f>BD33/AX33-1</f>
        <v>0.10000000000000009</v>
      </c>
      <c r="BC33" s="24">
        <f>(BC4-BB4)/BC4</f>
        <v>6.9930069930069935E-2</v>
      </c>
      <c r="BD33" s="12">
        <v>3300</v>
      </c>
      <c r="BE33" s="27">
        <f>BG33/BD33-1</f>
        <v>0.19696969696969702</v>
      </c>
      <c r="BF33" s="24">
        <f>(BF4-BE4)/BF4</f>
        <v>6.8393451342282266E-2</v>
      </c>
      <c r="BG33" s="12">
        <v>3950</v>
      </c>
      <c r="BH33" s="27">
        <f>BJ33/BG33-1</f>
        <v>0.29113924050632911</v>
      </c>
      <c r="BI33" s="24">
        <f>(BI4-BH4)/BI4</f>
        <v>5.5764705882352938E-2</v>
      </c>
      <c r="BJ33" s="12">
        <v>5100</v>
      </c>
      <c r="BK33" s="27">
        <f>BM33/BJ33-1</f>
        <v>-0.17647058823529416</v>
      </c>
      <c r="BL33" s="24">
        <f>(BL4-BK4)/BL4</f>
        <v>7.1516483516483514E-2</v>
      </c>
      <c r="BM33" s="12">
        <v>4200</v>
      </c>
      <c r="BN33" s="27">
        <f>BP33/BM33-1</f>
        <v>3.0952380952380842E-2</v>
      </c>
      <c r="BO33" s="24">
        <f>(BO4-BN4)/BO4</f>
        <v>6.2980924709960889E-2</v>
      </c>
      <c r="BP33" s="12">
        <v>4330</v>
      </c>
      <c r="BQ33" s="27">
        <f>BS33/BP33-1</f>
        <v>3.0023094688221619E-2</v>
      </c>
      <c r="BR33" s="24">
        <f>(BR4-BQ4)/BR4</f>
        <v>6.3118381295730858E-2</v>
      </c>
      <c r="BS33" s="12">
        <v>4460</v>
      </c>
      <c r="BT33" s="27">
        <f>BV33/BS33-1</f>
        <v>2.9147982062780242E-2</v>
      </c>
      <c r="BU33" s="24">
        <f>(BU4-BT4)/BU4</f>
        <v>5.7938662644544996E-2</v>
      </c>
      <c r="BV33" s="12">
        <v>4590</v>
      </c>
      <c r="BW33" s="27">
        <f>BY33/BV33-1</f>
        <v>5.0108932461873534E-2</v>
      </c>
      <c r="BX33" s="24">
        <f>(BX4-BW4)/BX4</f>
        <v>5.5550650778764712E-2</v>
      </c>
      <c r="BY33" s="12">
        <v>4820</v>
      </c>
      <c r="BZ33" s="27">
        <f>CB33/BY33-1</f>
        <v>3.1120331950207358E-2</v>
      </c>
      <c r="CA33" s="24">
        <f>(CA4-BZ4)/CA4</f>
        <v>5.3874071885214557E-2</v>
      </c>
      <c r="CB33" s="12">
        <v>4970</v>
      </c>
    </row>
    <row r="34" spans="1:80" x14ac:dyDescent="0.2">
      <c r="A34" s="6">
        <v>95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30"/>
      <c r="AA34" s="20"/>
      <c r="AB34" s="24">
        <f>(AB6-AA6)/AB6</f>
        <v>8.0389252922554111E-2</v>
      </c>
      <c r="AC34" s="21">
        <v>2530</v>
      </c>
      <c r="AD34" s="27">
        <f>AF34/AC34-1</f>
        <v>9.8814229249011953E-2</v>
      </c>
      <c r="AE34" s="24">
        <f>(AE6-AD6)/AE6</f>
        <v>7.9397605782065048E-2</v>
      </c>
      <c r="AF34" s="21">
        <v>2780</v>
      </c>
      <c r="AG34" s="27">
        <f>AI34/AF34-1</f>
        <v>2.1582733812949728E-2</v>
      </c>
      <c r="AH34" s="24">
        <f>(AH6-AG6)/AH6</f>
        <v>6.524495501138082E-2</v>
      </c>
      <c r="AI34" s="21">
        <v>2840</v>
      </c>
      <c r="AJ34" s="27">
        <f>AL34/AI34-1</f>
        <v>0</v>
      </c>
      <c r="AK34" s="24">
        <f>(AK6-AJ6)/AK6</f>
        <v>3.7201621104916455E-2</v>
      </c>
      <c r="AL34" s="21">
        <v>2840</v>
      </c>
      <c r="AM34" s="27">
        <f>AO34/AL34-1</f>
        <v>7.3943661971830998E-2</v>
      </c>
      <c r="AN34" s="24">
        <f>(AN6-AM6)/AN6</f>
        <v>6.7631872117843925E-2</v>
      </c>
      <c r="AO34" s="12">
        <v>3050</v>
      </c>
      <c r="AP34" s="27">
        <f>AR34/AO34-1</f>
        <v>6.2295081967213006E-2</v>
      </c>
      <c r="AQ34" s="24">
        <f>(AQ6-AP6)/AQ6</f>
        <v>6.9646723646723641E-2</v>
      </c>
      <c r="AR34" s="12">
        <v>3240</v>
      </c>
      <c r="AS34" s="27">
        <f>AU34/AR34-1</f>
        <v>0</v>
      </c>
      <c r="AT34" s="24">
        <f>(AT6-AS6)/AT6</f>
        <v>6.9646723646723641E-2</v>
      </c>
      <c r="AU34" s="12">
        <v>3240</v>
      </c>
      <c r="AV34" s="27">
        <f>AX34/AU34-1</f>
        <v>4.9382716049382713E-2</v>
      </c>
      <c r="AW34" s="24">
        <f>(AW6-AV6)/AW6</f>
        <v>6.8615300327176498E-2</v>
      </c>
      <c r="AX34" s="12">
        <v>3400</v>
      </c>
      <c r="AY34" s="155"/>
      <c r="AZ34" s="155"/>
      <c r="BA34" s="155"/>
      <c r="BB34" s="27">
        <f>BD34/AX34-1</f>
        <v>0.10294117647058831</v>
      </c>
      <c r="BC34" s="24">
        <f>(BC6-BB6)/BC6</f>
        <v>7.1532307692307687E-2</v>
      </c>
      <c r="BD34" s="12">
        <v>3750</v>
      </c>
      <c r="BE34" s="27">
        <f>BG34/BD34-1</f>
        <v>0.15999999999999992</v>
      </c>
      <c r="BF34" s="24">
        <f>(BF6-BE6)/BF6</f>
        <v>6.4169761273209544E-2</v>
      </c>
      <c r="BG34" s="12">
        <v>4350</v>
      </c>
      <c r="BH34" s="27">
        <f>BJ34/BG34-1</f>
        <v>0.33333333333333326</v>
      </c>
      <c r="BI34" s="24">
        <f>(BI6-BH6)/BI6</f>
        <v>6.0434963418300444E-2</v>
      </c>
      <c r="BJ34" s="12">
        <v>5800</v>
      </c>
      <c r="BK34" s="27">
        <f>BM34/BJ34-1</f>
        <v>-0.22413793103448276</v>
      </c>
      <c r="BL34" s="24">
        <f>(BL6-BK6)/BL6</f>
        <v>6.3835897435897432E-2</v>
      </c>
      <c r="BM34" s="12">
        <v>4500</v>
      </c>
      <c r="BN34" s="27">
        <f>BP34/BM34-1</f>
        <v>3.3333333333333437E-2</v>
      </c>
      <c r="BO34" s="24">
        <f>(BO6-BN6)/BO6</f>
        <v>5.7429280397022331E-2</v>
      </c>
      <c r="BP34" s="12">
        <v>4650</v>
      </c>
      <c r="BQ34" s="27">
        <f>BS34/BP34-1</f>
        <v>3.2258064516129004E-2</v>
      </c>
      <c r="BR34" s="24">
        <f>(BR6-BQ6)/BR6</f>
        <v>5.9615384615384619E-2</v>
      </c>
      <c r="BS34" s="12">
        <v>4800</v>
      </c>
      <c r="BT34" s="27">
        <f>BV34/BS34-1</f>
        <v>3.125E-2</v>
      </c>
      <c r="BU34" s="24">
        <f>(BU6-BT6)/BU6</f>
        <v>5.1785547785547788E-2</v>
      </c>
      <c r="BV34" s="12">
        <v>4950</v>
      </c>
      <c r="BW34" s="27">
        <f>BY34/BV34-1</f>
        <v>5.0505050505050608E-2</v>
      </c>
      <c r="BX34" s="24">
        <f>(BX6-BW6)/BX6</f>
        <v>5.4272133388883634E-2</v>
      </c>
      <c r="BY34" s="12">
        <v>5200</v>
      </c>
      <c r="BZ34" s="27">
        <f>CB34/BY34-1</f>
        <v>3.076923076923066E-2</v>
      </c>
      <c r="CA34" s="24">
        <f>(CA6-BZ6)/CA6</f>
        <v>5.3260674324875183E-2</v>
      </c>
      <c r="CB34" s="12">
        <v>5360</v>
      </c>
    </row>
    <row r="35" spans="1:80" x14ac:dyDescent="0.2">
      <c r="A35" s="6" t="s">
        <v>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130"/>
      <c r="AA35" s="20"/>
      <c r="AB35" s="24">
        <f>(AB8-AA8)/AB8</f>
        <v>0.20056449182835281</v>
      </c>
      <c r="AC35" s="21">
        <v>2020</v>
      </c>
      <c r="AD35" s="27">
        <f>AF35/AC35-1</f>
        <v>9.9009900990099098E-2</v>
      </c>
      <c r="AE35" s="24">
        <f>(AE8-AD8)/AE8</f>
        <v>0.16347563171418486</v>
      </c>
      <c r="AF35" s="21">
        <v>2220</v>
      </c>
      <c r="AG35" s="27">
        <f>AI35/AF35-1</f>
        <v>2.2522522522522515E-2</v>
      </c>
      <c r="AH35" s="24">
        <f>(AH8-AG8)/AH8</f>
        <v>0.1513964757709251</v>
      </c>
      <c r="AI35" s="21">
        <v>2270</v>
      </c>
      <c r="AJ35" s="27">
        <f>AL35/AI35-1</f>
        <v>0</v>
      </c>
      <c r="AK35" s="24">
        <f>(AK8-AJ8)/AK8</f>
        <v>0.12593832599118943</v>
      </c>
      <c r="AL35" s="21">
        <v>2270</v>
      </c>
      <c r="AM35" s="27">
        <f>AO35/AL35-1</f>
        <v>7.0484581497797461E-2</v>
      </c>
      <c r="AN35" s="24">
        <f>(AN8-AM8)/AN8</f>
        <v>0.1661111111111111</v>
      </c>
      <c r="AO35" s="12">
        <v>2430</v>
      </c>
      <c r="AP35" s="27">
        <f>AR35/AO35-1</f>
        <v>6.1728395061728447E-2</v>
      </c>
      <c r="AQ35" s="24">
        <f>(AQ8-AP8)/AQ8</f>
        <v>0.15221317829457365</v>
      </c>
      <c r="AR35" s="12">
        <v>2580</v>
      </c>
      <c r="AS35" s="27">
        <f>AU35/AR35-1</f>
        <v>0</v>
      </c>
      <c r="AT35" s="24">
        <f>(AT8-AS8)/AT8</f>
        <v>0.11830232558139535</v>
      </c>
      <c r="AU35" s="12">
        <v>2580</v>
      </c>
      <c r="AV35" s="27">
        <f>AX35/AU35-1</f>
        <v>0.10465116279069764</v>
      </c>
      <c r="AW35" s="24">
        <f>(AW8-AV8)/AW8</f>
        <v>0.12164912280701755</v>
      </c>
      <c r="AX35" s="12">
        <v>2850</v>
      </c>
      <c r="AY35" s="155"/>
      <c r="AZ35" s="155"/>
      <c r="BA35" s="155"/>
      <c r="BB35" s="27">
        <f>BD35/AX35-1</f>
        <v>0.10526315789473695</v>
      </c>
      <c r="BC35" s="24">
        <f>(BC8-BB8)/BC8</f>
        <v>0.12638095238095237</v>
      </c>
      <c r="BD35" s="12">
        <v>3150</v>
      </c>
      <c r="BE35" s="27">
        <f>BG35/BD35-1</f>
        <v>0.23809523809523814</v>
      </c>
      <c r="BF35" s="24">
        <f>(BF8-BE8)/BF8</f>
        <v>0.10871794871794872</v>
      </c>
      <c r="BG35" s="12">
        <v>3900</v>
      </c>
      <c r="BH35" s="27">
        <f>BJ35/BG35-1</f>
        <v>0.30769230769230771</v>
      </c>
      <c r="BI35" s="24">
        <f>(BI8-BH8)/BI8</f>
        <v>9.4647058823529417E-2</v>
      </c>
      <c r="BJ35" s="12">
        <v>5100</v>
      </c>
      <c r="BK35" s="27">
        <f>BM35/BJ35-1</f>
        <v>-0.12745098039215685</v>
      </c>
      <c r="BL35" s="24">
        <f>(BL8-BK8)/BL8</f>
        <v>0.10229213483146067</v>
      </c>
      <c r="BM35" s="12">
        <v>4450</v>
      </c>
      <c r="BN35" s="27">
        <f>BP35/BM35-1</f>
        <v>2.9213483146067309E-2</v>
      </c>
      <c r="BO35" s="24">
        <f>(BO8-BN8)/BO8</f>
        <v>9.2489082969432312E-2</v>
      </c>
      <c r="BP35" s="12">
        <v>4580</v>
      </c>
      <c r="BQ35" s="27">
        <f>BS35/BP35-1</f>
        <v>3.0567685589519611E-2</v>
      </c>
      <c r="BR35" s="24">
        <f>(BR8-BQ8)/BR8</f>
        <v>9.3114406779661013E-2</v>
      </c>
      <c r="BS35" s="12">
        <v>4720</v>
      </c>
      <c r="BT35" s="27">
        <f>BV35/BS35-1</f>
        <v>2.9661016949152463E-2</v>
      </c>
      <c r="BU35" s="24">
        <f>(BU8-BT8)/BU8</f>
        <v>8.4176954732510287E-2</v>
      </c>
      <c r="BV35" s="12">
        <v>4860</v>
      </c>
      <c r="BW35" s="27">
        <f>BY35/BV35-1</f>
        <v>4.9382716049382713E-2</v>
      </c>
      <c r="BX35" s="24">
        <f>(BX8-BW8)/BX8</f>
        <v>8.2098039215686272E-2</v>
      </c>
      <c r="BY35" s="12">
        <v>5100</v>
      </c>
      <c r="BZ35" s="27">
        <f>CB35/BY35-1</f>
        <v>5.0980392156862786E-2</v>
      </c>
      <c r="CA35" s="24">
        <f>(CA8-BZ8)/CA8</f>
        <v>8.7033582089552239E-2</v>
      </c>
      <c r="CB35" s="12">
        <v>5360</v>
      </c>
    </row>
    <row r="36" spans="1:80" ht="13.3" thickBot="1" x14ac:dyDescent="0.25">
      <c r="A36" s="34" t="s">
        <v>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131"/>
      <c r="AA36" s="16"/>
      <c r="AB36" s="25">
        <f>(AB9-AA9)/AB9</f>
        <v>1</v>
      </c>
      <c r="AC36" s="22">
        <v>1760</v>
      </c>
      <c r="AD36" s="28">
        <f>AF36/AC36-1</f>
        <v>8.5227272727272707E-2</v>
      </c>
      <c r="AE36" s="25">
        <f>(AE9-AD9)/AE9</f>
        <v>0.19488172457092434</v>
      </c>
      <c r="AF36" s="22">
        <v>1910</v>
      </c>
      <c r="AG36" s="28">
        <f>AI36/AF36-1</f>
        <v>2.0942408376963373E-2</v>
      </c>
      <c r="AH36" s="25">
        <f>(AH9-AG9)/AH9</f>
        <v>0.12472820512820512</v>
      </c>
      <c r="AI36" s="22">
        <v>1950</v>
      </c>
      <c r="AJ36" s="28">
        <f>AL36/AI36-1</f>
        <v>0</v>
      </c>
      <c r="AK36" s="25">
        <f>(AK9-AJ9)/AK9</f>
        <v>9.8471794871794874E-2</v>
      </c>
      <c r="AL36" s="22">
        <v>1950</v>
      </c>
      <c r="AM36" s="28">
        <f>AO36/AL36-1</f>
        <v>7.1794871794871762E-2</v>
      </c>
      <c r="AN36" s="25">
        <f>(AN9-AM9)/AN9</f>
        <v>0.1252153110047847</v>
      </c>
      <c r="AO36" s="15">
        <v>2090</v>
      </c>
      <c r="AP36" s="28">
        <f>AR36/AO36-1</f>
        <v>6.2200956937799035E-2</v>
      </c>
      <c r="AQ36" s="25">
        <f>(AQ9-AP9)/AQ9</f>
        <v>0.12702702702702703</v>
      </c>
      <c r="AR36" s="15">
        <v>2220</v>
      </c>
      <c r="AS36" s="28">
        <f>AU36/AR36-1</f>
        <v>0</v>
      </c>
      <c r="AT36" s="25">
        <f>(AT9-AS9)/AT9</f>
        <v>6.591891891891892E-2</v>
      </c>
      <c r="AU36" s="15">
        <v>2220</v>
      </c>
      <c r="AV36" s="28">
        <f>AX36/AU36-1</f>
        <v>0</v>
      </c>
      <c r="AW36" s="25">
        <f>(AW9-AV9)/AW9</f>
        <v>-2.8558558558558558E-2</v>
      </c>
      <c r="AX36" s="15">
        <v>2220</v>
      </c>
      <c r="AY36" s="156"/>
      <c r="AZ36" s="156"/>
      <c r="BA36" s="156"/>
      <c r="BB36" s="28"/>
      <c r="BC36" s="25" t="e">
        <f>(BC9-BB9)/BC9</f>
        <v>#DIV/0!</v>
      </c>
      <c r="BD36" s="15"/>
      <c r="BE36" s="28"/>
      <c r="BF36" s="25" t="e">
        <f>(BF9-BE9)/BF9</f>
        <v>#DIV/0!</v>
      </c>
      <c r="BG36" s="15"/>
      <c r="BH36" s="28"/>
      <c r="BI36" s="25" t="e">
        <f>(BI9-BH9)/BI9</f>
        <v>#DIV/0!</v>
      </c>
      <c r="BJ36" s="15"/>
      <c r="BK36" s="28"/>
      <c r="BL36" s="25" t="e">
        <f>(BL9-BK9)/BL9</f>
        <v>#DIV/0!</v>
      </c>
      <c r="BM36" s="15"/>
      <c r="BN36" s="28"/>
      <c r="BO36" s="25" t="e">
        <f>(BO9-BN9)/BO9</f>
        <v>#DIV/0!</v>
      </c>
      <c r="BP36" s="15"/>
      <c r="BQ36" s="28"/>
      <c r="BR36" s="25" t="e">
        <f>(BR9-BQ9)/BR9</f>
        <v>#DIV/0!</v>
      </c>
      <c r="BS36" s="15"/>
      <c r="BT36" s="28"/>
      <c r="BU36" s="25" t="e">
        <f>(BU9-BT9)/BU9</f>
        <v>#DIV/0!</v>
      </c>
      <c r="BV36" s="15"/>
      <c r="BW36" s="28"/>
      <c r="BX36" s="25" t="e">
        <f>(BX9-BW9)/BX9</f>
        <v>#DIV/0!</v>
      </c>
      <c r="BY36" s="15">
        <v>5700</v>
      </c>
      <c r="BZ36" s="28">
        <f>CB36/BY36-1</f>
        <v>5.0877192982456076E-2</v>
      </c>
      <c r="CA36" s="25" t="e">
        <f>(CA9-BZ9)/CA9</f>
        <v>#DIV/0!</v>
      </c>
      <c r="CB36" s="15">
        <v>5990</v>
      </c>
    </row>
    <row r="38" spans="1:80" ht="26.55" x14ac:dyDescent="0.2">
      <c r="A38" s="29" t="s">
        <v>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132"/>
      <c r="AR38">
        <f>1-AR36/AR35</f>
        <v>0.13953488372093026</v>
      </c>
    </row>
    <row r="39" spans="1:80" x14ac:dyDescent="0.2">
      <c r="AR39">
        <f>AR35/AR36</f>
        <v>1.1621621621621621</v>
      </c>
    </row>
    <row r="40" spans="1:80" x14ac:dyDescent="0.2">
      <c r="A40" s="32" t="s">
        <v>33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80" x14ac:dyDescent="0.2">
      <c r="A41" s="33" t="s">
        <v>34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133"/>
    </row>
  </sheetData>
  <mergeCells count="80">
    <mergeCell ref="BT30:BV30"/>
    <mergeCell ref="AS1:AU1"/>
    <mergeCell ref="BQ30:BS30"/>
    <mergeCell ref="A30:A31"/>
    <mergeCell ref="AM30:AO30"/>
    <mergeCell ref="AP30:AR30"/>
    <mergeCell ref="BB30:BD30"/>
    <mergeCell ref="AV30:AX30"/>
    <mergeCell ref="AA30:AC30"/>
    <mergeCell ref="AG30:AI30"/>
    <mergeCell ref="AD30:AF30"/>
    <mergeCell ref="BH30:BJ30"/>
    <mergeCell ref="A26:B26"/>
    <mergeCell ref="L1:N1"/>
    <mergeCell ref="BN30:BP30"/>
    <mergeCell ref="F1:H1"/>
    <mergeCell ref="BK30:BM30"/>
    <mergeCell ref="A27:B27"/>
    <mergeCell ref="A24:B24"/>
    <mergeCell ref="AJ1:AL1"/>
    <mergeCell ref="BN1:BP1"/>
    <mergeCell ref="AY1:BA1"/>
    <mergeCell ref="AG1:AI1"/>
    <mergeCell ref="BE30:BG30"/>
    <mergeCell ref="AJ30:AL30"/>
    <mergeCell ref="AM1:AO1"/>
    <mergeCell ref="AS30:AU30"/>
    <mergeCell ref="BK1:BM1"/>
    <mergeCell ref="A25:B25"/>
    <mergeCell ref="A1:B2"/>
    <mergeCell ref="A22:B22"/>
    <mergeCell ref="A23:B23"/>
    <mergeCell ref="BB1:BD1"/>
    <mergeCell ref="AV1:AX1"/>
    <mergeCell ref="C1:E1"/>
    <mergeCell ref="I1:K1"/>
    <mergeCell ref="O1:Q1"/>
    <mergeCell ref="AA1:AC1"/>
    <mergeCell ref="U1:W1"/>
    <mergeCell ref="X1:Z1"/>
    <mergeCell ref="AP1:AR1"/>
    <mergeCell ref="R1:T1"/>
    <mergeCell ref="AD1:AF1"/>
    <mergeCell ref="BE1:BG1"/>
    <mergeCell ref="CH1:CL1"/>
    <mergeCell ref="BZ1:CB1"/>
    <mergeCell ref="CX1:DC1"/>
    <mergeCell ref="BQ1:BS1"/>
    <mergeCell ref="BT1:BV1"/>
    <mergeCell ref="BH1:BJ1"/>
    <mergeCell ref="BZ30:CB30"/>
    <mergeCell ref="BW30:BY30"/>
    <mergeCell ref="CM1:CQ1"/>
    <mergeCell ref="CR1:CW1"/>
    <mergeCell ref="EB1:EG1"/>
    <mergeCell ref="DP1:DU1"/>
    <mergeCell ref="DJ1:DO1"/>
    <mergeCell ref="DV1:EA1"/>
    <mergeCell ref="BW1:BY1"/>
    <mergeCell ref="CC1:CG1"/>
    <mergeCell ref="DD1:DI1"/>
    <mergeCell ref="FF1:FK1"/>
    <mergeCell ref="FL1:FQ1"/>
    <mergeCell ref="ET1:EY1"/>
    <mergeCell ref="GJ1:GO1"/>
    <mergeCell ref="EH1:EM1"/>
    <mergeCell ref="FX1:GC1"/>
    <mergeCell ref="FR1:FW1"/>
    <mergeCell ref="EZ1:FE1"/>
    <mergeCell ref="EN1:ES1"/>
    <mergeCell ref="GP1:GU1"/>
    <mergeCell ref="GV1:HA1"/>
    <mergeCell ref="GD1:GI1"/>
    <mergeCell ref="HB1:HG1"/>
    <mergeCell ref="HH1:HM1"/>
    <mergeCell ref="IL1:IQ1"/>
    <mergeCell ref="IF1:IK1"/>
    <mergeCell ref="HZ1:IE1"/>
    <mergeCell ref="HT1:HY1"/>
    <mergeCell ref="HN1:HS1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C737"/>
  <sheetViews>
    <sheetView topLeftCell="C1" zoomScale="130" zoomScaleNormal="130" workbookViewId="0">
      <pane ySplit="3" topLeftCell="A711" activePane="bottomLeft" state="frozen"/>
      <selection pane="bottomLeft" activeCell="A679" sqref="A679:W732"/>
    </sheetView>
  </sheetViews>
  <sheetFormatPr defaultRowHeight="12.65" x14ac:dyDescent="0.2"/>
  <cols>
    <col min="1" max="1" width="18.109375" style="343" customWidth="1"/>
    <col min="2" max="2" width="28.88671875" style="344" customWidth="1"/>
    <col min="3" max="3" width="11.5546875" customWidth="1"/>
    <col min="4" max="4" width="11" hidden="1" customWidth="1"/>
    <col min="5" max="5" width="11.6640625" customWidth="1"/>
    <col min="6" max="6" width="11.109375" customWidth="1"/>
    <col min="7" max="7" width="11.44140625" customWidth="1"/>
    <col min="8" max="10" width="0" hidden="1" customWidth="1"/>
    <col min="11" max="11" width="11.109375" hidden="1" customWidth="1"/>
    <col min="12" max="12" width="11.109375" customWidth="1"/>
    <col min="13" max="13" width="11.44140625" customWidth="1"/>
    <col min="14" max="14" width="12.109375" customWidth="1"/>
    <col min="15" max="15" width="11.6640625" hidden="1" customWidth="1"/>
    <col min="16" max="16" width="11.44140625" hidden="1" customWidth="1"/>
    <col min="17" max="17" width="11" hidden="1" customWidth="1"/>
    <col min="18" max="18" width="17.109375" customWidth="1"/>
    <col min="19" max="19" width="18.88671875" customWidth="1"/>
    <col min="20" max="20" width="15.6640625" hidden="1" customWidth="1"/>
    <col min="21" max="21" width="14.33203125" hidden="1" customWidth="1"/>
    <col min="22" max="22" width="14.33203125" style="117" customWidth="1"/>
    <col min="23" max="23" width="12" style="117" customWidth="1"/>
    <col min="24" max="28" width="0" hidden="1" customWidth="1"/>
    <col min="29" max="29" width="11.6640625" customWidth="1"/>
  </cols>
  <sheetData>
    <row r="1" spans="1:29" ht="38.549999999999997" thickBot="1" x14ac:dyDescent="0.25">
      <c r="A1" s="622" t="s">
        <v>52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AC1" s="498" t="s">
        <v>63</v>
      </c>
    </row>
    <row r="2" spans="1:29" hidden="1" x14ac:dyDescent="0.2">
      <c r="A2" s="379" t="s">
        <v>32</v>
      </c>
      <c r="B2" s="380"/>
      <c r="C2" s="179">
        <v>80</v>
      </c>
      <c r="D2" s="179" t="s">
        <v>44</v>
      </c>
      <c r="E2" s="179" t="s">
        <v>45</v>
      </c>
      <c r="F2" s="179" t="s">
        <v>6</v>
      </c>
      <c r="G2" s="383" t="s">
        <v>48</v>
      </c>
      <c r="H2" s="384" t="s">
        <v>3</v>
      </c>
      <c r="I2" s="383" t="s">
        <v>4</v>
      </c>
      <c r="J2" s="385" t="s">
        <v>19</v>
      </c>
      <c r="K2" s="386" t="s">
        <v>20</v>
      </c>
      <c r="L2" s="386"/>
      <c r="M2" s="385" t="s">
        <v>23</v>
      </c>
      <c r="N2" s="386" t="s">
        <v>24</v>
      </c>
      <c r="O2" s="385" t="s">
        <v>21</v>
      </c>
      <c r="P2" s="386" t="s">
        <v>22</v>
      </c>
      <c r="Q2" s="383" t="s">
        <v>17</v>
      </c>
      <c r="R2" s="387" t="s">
        <v>9</v>
      </c>
      <c r="S2" s="386" t="s">
        <v>18</v>
      </c>
      <c r="T2" s="385" t="s">
        <v>25</v>
      </c>
      <c r="U2" s="386" t="s">
        <v>26</v>
      </c>
      <c r="V2" s="388"/>
      <c r="W2" s="388" t="s">
        <v>27</v>
      </c>
      <c r="X2" s="623" t="s">
        <v>35</v>
      </c>
      <c r="Y2" s="623" t="s">
        <v>36</v>
      </c>
      <c r="Z2" s="623" t="s">
        <v>37</v>
      </c>
      <c r="AA2" s="623" t="s">
        <v>38</v>
      </c>
      <c r="AB2" s="623" t="s">
        <v>39</v>
      </c>
    </row>
    <row r="3" spans="1:29" ht="27.2" thickBot="1" x14ac:dyDescent="0.3">
      <c r="A3" s="479" t="s">
        <v>59</v>
      </c>
      <c r="B3" s="480" t="s">
        <v>51</v>
      </c>
      <c r="C3" s="481">
        <v>80</v>
      </c>
      <c r="D3" s="482" t="s">
        <v>44</v>
      </c>
      <c r="E3" s="482" t="s">
        <v>45</v>
      </c>
      <c r="F3" s="482" t="s">
        <v>6</v>
      </c>
      <c r="G3" s="482" t="s">
        <v>48</v>
      </c>
      <c r="H3" s="483" t="s">
        <v>3</v>
      </c>
      <c r="I3" s="482" t="s">
        <v>4</v>
      </c>
      <c r="J3" s="484" t="s">
        <v>40</v>
      </c>
      <c r="K3" s="485" t="s">
        <v>28</v>
      </c>
      <c r="L3" s="501" t="s">
        <v>64</v>
      </c>
      <c r="M3" s="494" t="s">
        <v>61</v>
      </c>
      <c r="N3" s="495" t="s">
        <v>62</v>
      </c>
      <c r="O3" s="486" t="s">
        <v>42</v>
      </c>
      <c r="P3" s="487" t="s">
        <v>30</v>
      </c>
      <c r="Q3" s="482"/>
      <c r="R3" s="488" t="s">
        <v>49</v>
      </c>
      <c r="S3" s="488" t="s">
        <v>50</v>
      </c>
      <c r="T3" s="484" t="s">
        <v>43</v>
      </c>
      <c r="U3" s="487" t="s">
        <v>31</v>
      </c>
      <c r="V3" s="490" t="s">
        <v>60</v>
      </c>
      <c r="W3" s="489" t="s">
        <v>27</v>
      </c>
      <c r="X3" s="625"/>
      <c r="Y3" s="623"/>
      <c r="Z3" s="623"/>
      <c r="AA3" s="623"/>
      <c r="AB3" s="623"/>
      <c r="AC3">
        <f>COUNTA(B4:B994)</f>
        <v>729</v>
      </c>
    </row>
    <row r="4" spans="1:29" x14ac:dyDescent="0.2">
      <c r="A4" s="624">
        <v>39063</v>
      </c>
      <c r="B4" s="412" t="s">
        <v>0</v>
      </c>
      <c r="C4" s="393"/>
      <c r="D4" s="389"/>
      <c r="E4" s="389"/>
      <c r="F4" s="389"/>
      <c r="G4" s="389"/>
      <c r="H4" s="390"/>
      <c r="I4" s="391"/>
      <c r="J4" s="392"/>
      <c r="K4" s="423"/>
      <c r="L4" s="499"/>
      <c r="M4" s="449"/>
      <c r="N4" s="450"/>
      <c r="O4" s="435"/>
      <c r="P4" s="392"/>
      <c r="Q4" s="392"/>
      <c r="R4" s="392"/>
      <c r="S4" s="392"/>
      <c r="T4" s="392"/>
      <c r="U4" s="392"/>
      <c r="V4" s="392"/>
      <c r="W4" s="392"/>
      <c r="X4" s="308"/>
      <c r="Y4" s="308"/>
      <c r="Z4" s="308"/>
      <c r="AA4" s="308"/>
      <c r="AB4" s="308"/>
    </row>
    <row r="5" spans="1:29" x14ac:dyDescent="0.2">
      <c r="A5" s="615"/>
      <c r="B5" s="413" t="s">
        <v>1</v>
      </c>
      <c r="C5" s="394"/>
      <c r="D5" s="148"/>
      <c r="E5" s="148"/>
      <c r="F5" s="148"/>
      <c r="G5" s="148"/>
      <c r="H5" s="307"/>
      <c r="I5" s="306"/>
      <c r="J5" s="309"/>
      <c r="K5" s="424"/>
      <c r="L5" s="500"/>
      <c r="M5" s="451"/>
      <c r="N5" s="452"/>
      <c r="O5" s="436"/>
      <c r="P5" s="309"/>
      <c r="Q5" s="309"/>
      <c r="R5" s="309"/>
      <c r="S5" s="309"/>
      <c r="T5" s="309"/>
      <c r="U5" s="309"/>
      <c r="V5" s="309"/>
      <c r="W5" s="309"/>
      <c r="X5" s="308"/>
      <c r="Y5" s="308"/>
      <c r="Z5" s="308"/>
      <c r="AA5" s="308"/>
      <c r="AB5" s="308"/>
    </row>
    <row r="6" spans="1:29" x14ac:dyDescent="0.2">
      <c r="A6" s="615"/>
      <c r="B6" s="413" t="s">
        <v>2</v>
      </c>
      <c r="C6" s="395">
        <v>1400</v>
      </c>
      <c r="D6" s="310">
        <v>1760</v>
      </c>
      <c r="E6" s="311"/>
      <c r="F6" s="310">
        <v>2000</v>
      </c>
      <c r="G6" s="310"/>
      <c r="H6" s="310">
        <v>1400</v>
      </c>
      <c r="I6" s="306"/>
      <c r="J6" s="309"/>
      <c r="K6" s="424"/>
      <c r="L6" s="500"/>
      <c r="M6" s="451"/>
      <c r="N6" s="452"/>
      <c r="O6" s="436"/>
      <c r="P6" s="309"/>
      <c r="Q6" s="309"/>
      <c r="R6" s="309"/>
      <c r="S6" s="309"/>
      <c r="T6" s="309"/>
      <c r="U6" s="309"/>
      <c r="V6" s="309"/>
      <c r="W6" s="309"/>
      <c r="X6" s="308"/>
      <c r="Y6" s="308"/>
      <c r="Z6" s="308"/>
      <c r="AA6" s="308"/>
      <c r="AB6" s="308"/>
    </row>
    <row r="7" spans="1:29" x14ac:dyDescent="0.2">
      <c r="A7" s="615">
        <v>39102</v>
      </c>
      <c r="B7" s="413" t="s">
        <v>0</v>
      </c>
      <c r="C7" s="394"/>
      <c r="D7" s="148"/>
      <c r="E7" s="148"/>
      <c r="F7" s="148"/>
      <c r="G7" s="148"/>
      <c r="H7" s="307"/>
      <c r="I7" s="306"/>
      <c r="J7" s="309"/>
      <c r="K7" s="424"/>
      <c r="L7" s="500"/>
      <c r="M7" s="451"/>
      <c r="N7" s="452"/>
      <c r="O7" s="436"/>
      <c r="P7" s="309"/>
      <c r="Q7" s="309"/>
      <c r="R7" s="309"/>
      <c r="S7" s="309"/>
      <c r="T7" s="309"/>
      <c r="U7" s="309"/>
      <c r="V7" s="309"/>
      <c r="W7" s="309"/>
      <c r="X7" s="308"/>
      <c r="Y7" s="308"/>
      <c r="Z7" s="308"/>
      <c r="AA7" s="308"/>
      <c r="AB7" s="308"/>
    </row>
    <row r="8" spans="1:29" x14ac:dyDescent="0.2">
      <c r="A8" s="615"/>
      <c r="B8" s="413" t="s">
        <v>1</v>
      </c>
      <c r="C8" s="394"/>
      <c r="D8" s="148"/>
      <c r="E8" s="148"/>
      <c r="F8" s="148"/>
      <c r="G8" s="148"/>
      <c r="H8" s="307"/>
      <c r="I8" s="306"/>
      <c r="J8" s="309"/>
      <c r="K8" s="424"/>
      <c r="L8" s="500"/>
      <c r="M8" s="451"/>
      <c r="N8" s="452"/>
      <c r="O8" s="436"/>
      <c r="P8" s="309"/>
      <c r="Q8" s="309"/>
      <c r="R8" s="309"/>
      <c r="S8" s="309"/>
      <c r="T8" s="309"/>
      <c r="U8" s="309"/>
      <c r="V8" s="309"/>
      <c r="W8" s="309"/>
      <c r="X8" s="308"/>
      <c r="Y8" s="308"/>
      <c r="Z8" s="308"/>
      <c r="AA8" s="308"/>
      <c r="AB8" s="308"/>
    </row>
    <row r="9" spans="1:29" x14ac:dyDescent="0.2">
      <c r="A9" s="615"/>
      <c r="B9" s="413" t="s">
        <v>2</v>
      </c>
      <c r="C9" s="395">
        <v>1470</v>
      </c>
      <c r="D9" s="310">
        <v>1840</v>
      </c>
      <c r="E9" s="311"/>
      <c r="F9" s="310">
        <v>2100</v>
      </c>
      <c r="G9" s="310"/>
      <c r="H9" s="310">
        <v>1470</v>
      </c>
      <c r="I9" s="306"/>
      <c r="J9" s="309"/>
      <c r="K9" s="424"/>
      <c r="L9" s="500"/>
      <c r="M9" s="451"/>
      <c r="N9" s="452"/>
      <c r="O9" s="436"/>
      <c r="P9" s="309"/>
      <c r="Q9" s="309"/>
      <c r="R9" s="309"/>
      <c r="S9" s="309"/>
      <c r="T9" s="309"/>
      <c r="U9" s="309"/>
      <c r="V9" s="309"/>
      <c r="W9" s="309"/>
      <c r="X9" s="308"/>
      <c r="Y9" s="308"/>
      <c r="Z9" s="308"/>
      <c r="AA9" s="308"/>
      <c r="AB9" s="308"/>
    </row>
    <row r="10" spans="1:29" x14ac:dyDescent="0.2">
      <c r="A10" s="615">
        <v>39216</v>
      </c>
      <c r="B10" s="413" t="s">
        <v>0</v>
      </c>
      <c r="C10" s="394"/>
      <c r="D10" s="148"/>
      <c r="E10" s="148"/>
      <c r="F10" s="148"/>
      <c r="G10" s="148"/>
      <c r="H10" s="307"/>
      <c r="I10" s="306"/>
      <c r="J10" s="309"/>
      <c r="K10" s="424"/>
      <c r="L10" s="500"/>
      <c r="M10" s="451"/>
      <c r="N10" s="452"/>
      <c r="O10" s="436"/>
      <c r="P10" s="309"/>
      <c r="Q10" s="309"/>
      <c r="R10" s="309"/>
      <c r="S10" s="309"/>
      <c r="T10" s="309"/>
      <c r="U10" s="309"/>
      <c r="V10" s="309"/>
      <c r="W10" s="309"/>
      <c r="X10" s="308"/>
      <c r="Y10" s="308"/>
      <c r="Z10" s="308"/>
      <c r="AA10" s="308"/>
      <c r="AB10" s="308"/>
    </row>
    <row r="11" spans="1:29" x14ac:dyDescent="0.2">
      <c r="A11" s="615"/>
      <c r="B11" s="413" t="s">
        <v>1</v>
      </c>
      <c r="C11" s="394"/>
      <c r="D11" s="148"/>
      <c r="E11" s="148"/>
      <c r="F11" s="148"/>
      <c r="G11" s="148"/>
      <c r="H11" s="307"/>
      <c r="I11" s="306"/>
      <c r="J11" s="309"/>
      <c r="K11" s="424"/>
      <c r="L11" s="500"/>
      <c r="M11" s="451"/>
      <c r="N11" s="452"/>
      <c r="O11" s="436"/>
      <c r="P11" s="309"/>
      <c r="Q11" s="309"/>
      <c r="R11" s="309"/>
      <c r="S11" s="309"/>
      <c r="T11" s="309"/>
      <c r="U11" s="309"/>
      <c r="V11" s="309"/>
      <c r="W11" s="309"/>
      <c r="X11" s="308"/>
      <c r="Y11" s="308"/>
      <c r="Z11" s="308"/>
      <c r="AA11" s="308"/>
      <c r="AB11" s="308"/>
    </row>
    <row r="12" spans="1:29" x14ac:dyDescent="0.2">
      <c r="A12" s="615"/>
      <c r="B12" s="413" t="s">
        <v>2</v>
      </c>
      <c r="C12" s="394">
        <v>1530</v>
      </c>
      <c r="D12" s="148">
        <v>1930</v>
      </c>
      <c r="E12" s="311"/>
      <c r="F12" s="148">
        <v>2200</v>
      </c>
      <c r="G12" s="148"/>
      <c r="H12" s="148">
        <v>1540</v>
      </c>
      <c r="I12" s="306"/>
      <c r="J12" s="309"/>
      <c r="K12" s="424"/>
      <c r="L12" s="500"/>
      <c r="M12" s="451"/>
      <c r="N12" s="452"/>
      <c r="O12" s="436"/>
      <c r="P12" s="309"/>
      <c r="Q12" s="309"/>
      <c r="R12" s="309"/>
      <c r="S12" s="309"/>
      <c r="T12" s="309"/>
      <c r="U12" s="309"/>
      <c r="V12" s="309"/>
      <c r="W12" s="309"/>
      <c r="X12" s="308"/>
      <c r="Y12" s="308"/>
      <c r="Z12" s="308"/>
      <c r="AA12" s="308"/>
      <c r="AB12" s="308"/>
    </row>
    <row r="13" spans="1:29" x14ac:dyDescent="0.2">
      <c r="A13" s="615">
        <v>39300</v>
      </c>
      <c r="B13" s="413" t="s">
        <v>0</v>
      </c>
      <c r="C13" s="394"/>
      <c r="D13" s="148"/>
      <c r="E13" s="148"/>
      <c r="F13" s="148"/>
      <c r="G13" s="148"/>
      <c r="H13" s="307"/>
      <c r="I13" s="306"/>
      <c r="J13" s="309"/>
      <c r="K13" s="424"/>
      <c r="L13" s="500"/>
      <c r="M13" s="451"/>
      <c r="N13" s="452"/>
      <c r="O13" s="436"/>
      <c r="P13" s="309"/>
      <c r="Q13" s="309"/>
      <c r="R13" s="309"/>
      <c r="S13" s="309"/>
      <c r="T13" s="309"/>
      <c r="U13" s="309"/>
      <c r="V13" s="309"/>
      <c r="W13" s="309"/>
      <c r="X13" s="308"/>
      <c r="Y13" s="308"/>
      <c r="Z13" s="308"/>
      <c r="AA13" s="308"/>
      <c r="AB13" s="308"/>
    </row>
    <row r="14" spans="1:29" x14ac:dyDescent="0.2">
      <c r="A14" s="615"/>
      <c r="B14" s="413" t="s">
        <v>1</v>
      </c>
      <c r="C14" s="396"/>
      <c r="D14" s="145"/>
      <c r="E14" s="145"/>
      <c r="F14" s="145"/>
      <c r="G14" s="145"/>
      <c r="H14" s="312"/>
      <c r="I14" s="306"/>
      <c r="J14" s="309"/>
      <c r="K14" s="424"/>
      <c r="L14" s="500"/>
      <c r="M14" s="451"/>
      <c r="N14" s="452"/>
      <c r="O14" s="436"/>
      <c r="P14" s="309"/>
      <c r="Q14" s="309"/>
      <c r="R14" s="309"/>
      <c r="S14" s="309"/>
      <c r="T14" s="309"/>
      <c r="U14" s="309"/>
      <c r="V14" s="309"/>
      <c r="W14" s="309"/>
      <c r="X14" s="308"/>
      <c r="Y14" s="308"/>
      <c r="Z14" s="308"/>
      <c r="AA14" s="308"/>
      <c r="AB14" s="308"/>
    </row>
    <row r="15" spans="1:29" x14ac:dyDescent="0.2">
      <c r="A15" s="615"/>
      <c r="B15" s="413" t="s">
        <v>2</v>
      </c>
      <c r="C15" s="397">
        <v>1600</v>
      </c>
      <c r="D15" s="313">
        <v>2020</v>
      </c>
      <c r="E15" s="311"/>
      <c r="F15" s="313">
        <v>2310</v>
      </c>
      <c r="G15" s="313"/>
      <c r="H15" s="313">
        <v>1610</v>
      </c>
      <c r="I15" s="311"/>
      <c r="J15" s="309"/>
      <c r="K15" s="424"/>
      <c r="L15" s="500"/>
      <c r="M15" s="451"/>
      <c r="N15" s="452"/>
      <c r="O15" s="436"/>
      <c r="P15" s="309"/>
      <c r="Q15" s="309"/>
      <c r="R15" s="309"/>
      <c r="S15" s="309"/>
      <c r="T15" s="309"/>
      <c r="U15" s="309"/>
      <c r="V15" s="309"/>
      <c r="W15" s="309"/>
      <c r="X15" s="308"/>
      <c r="Y15" s="308"/>
      <c r="Z15" s="308"/>
      <c r="AA15" s="308"/>
      <c r="AB15" s="308"/>
    </row>
    <row r="16" spans="1:29" x14ac:dyDescent="0.2">
      <c r="A16" s="615">
        <v>39426</v>
      </c>
      <c r="B16" s="413" t="s">
        <v>0</v>
      </c>
      <c r="C16" s="398"/>
      <c r="D16" s="138"/>
      <c r="E16" s="138"/>
      <c r="F16" s="138"/>
      <c r="G16" s="138"/>
      <c r="H16" s="314"/>
      <c r="I16" s="306"/>
      <c r="J16" s="309"/>
      <c r="K16" s="424"/>
      <c r="L16" s="500"/>
      <c r="M16" s="451"/>
      <c r="N16" s="452"/>
      <c r="O16" s="436"/>
      <c r="P16" s="309"/>
      <c r="Q16" s="309"/>
      <c r="R16" s="309"/>
      <c r="S16" s="309"/>
      <c r="T16" s="309"/>
      <c r="U16" s="309"/>
      <c r="V16" s="309"/>
      <c r="W16" s="309"/>
      <c r="X16" s="308"/>
      <c r="Y16" s="308"/>
      <c r="Z16" s="308"/>
      <c r="AA16" s="308"/>
      <c r="AB16" s="308"/>
    </row>
    <row r="17" spans="1:28" x14ac:dyDescent="0.2">
      <c r="A17" s="615"/>
      <c r="B17" s="413" t="s">
        <v>1</v>
      </c>
      <c r="C17" s="398"/>
      <c r="D17" s="138"/>
      <c r="E17" s="138"/>
      <c r="F17" s="138"/>
      <c r="G17" s="138"/>
      <c r="H17" s="314"/>
      <c r="I17" s="306"/>
      <c r="J17" s="309"/>
      <c r="K17" s="424"/>
      <c r="L17" s="500"/>
      <c r="M17" s="451"/>
      <c r="N17" s="452"/>
      <c r="O17" s="436"/>
      <c r="P17" s="309"/>
      <c r="Q17" s="309"/>
      <c r="R17" s="309"/>
      <c r="S17" s="309"/>
      <c r="T17" s="309"/>
      <c r="U17" s="309"/>
      <c r="V17" s="309"/>
      <c r="W17" s="309"/>
      <c r="X17" s="308"/>
      <c r="Y17" s="308"/>
      <c r="Z17" s="308"/>
      <c r="AA17" s="308"/>
      <c r="AB17" s="308"/>
    </row>
    <row r="18" spans="1:28" x14ac:dyDescent="0.2">
      <c r="A18" s="615"/>
      <c r="B18" s="413" t="s">
        <v>2</v>
      </c>
      <c r="C18" s="397">
        <v>1670</v>
      </c>
      <c r="D18" s="313">
        <v>2120</v>
      </c>
      <c r="E18" s="311"/>
      <c r="F18" s="313">
        <v>2420</v>
      </c>
      <c r="G18" s="313"/>
      <c r="H18" s="313">
        <v>1690</v>
      </c>
      <c r="I18" s="306"/>
      <c r="J18" s="309"/>
      <c r="K18" s="424"/>
      <c r="L18" s="500"/>
      <c r="M18" s="451"/>
      <c r="N18" s="452"/>
      <c r="O18" s="436"/>
      <c r="P18" s="309"/>
      <c r="Q18" s="309"/>
      <c r="R18" s="309"/>
      <c r="S18" s="309"/>
      <c r="T18" s="309"/>
      <c r="U18" s="309"/>
      <c r="V18" s="309"/>
      <c r="W18" s="309"/>
      <c r="X18" s="308"/>
      <c r="Y18" s="308"/>
      <c r="Z18" s="308"/>
      <c r="AA18" s="308"/>
      <c r="AB18" s="308"/>
    </row>
    <row r="19" spans="1:28" x14ac:dyDescent="0.2">
      <c r="A19" s="615">
        <v>39609</v>
      </c>
      <c r="B19" s="413" t="s">
        <v>0</v>
      </c>
      <c r="C19" s="398"/>
      <c r="D19" s="138"/>
      <c r="E19" s="138"/>
      <c r="F19" s="138"/>
      <c r="G19" s="138"/>
      <c r="H19" s="314"/>
      <c r="I19" s="306"/>
      <c r="J19" s="309"/>
      <c r="K19" s="424"/>
      <c r="L19" s="500"/>
      <c r="M19" s="451"/>
      <c r="N19" s="452"/>
      <c r="O19" s="436"/>
      <c r="P19" s="309"/>
      <c r="Q19" s="309"/>
      <c r="R19" s="309"/>
      <c r="S19" s="309"/>
      <c r="T19" s="309"/>
      <c r="U19" s="309"/>
      <c r="V19" s="309"/>
      <c r="W19" s="309"/>
      <c r="X19" s="308"/>
      <c r="Y19" s="308"/>
      <c r="Z19" s="308"/>
      <c r="AA19" s="308"/>
      <c r="AB19" s="308"/>
    </row>
    <row r="20" spans="1:28" x14ac:dyDescent="0.2">
      <c r="A20" s="615"/>
      <c r="B20" s="413" t="s">
        <v>1</v>
      </c>
      <c r="C20" s="398"/>
      <c r="D20" s="138"/>
      <c r="E20" s="138"/>
      <c r="F20" s="138"/>
      <c r="G20" s="138"/>
      <c r="H20" s="314"/>
      <c r="I20" s="306"/>
      <c r="J20" s="309"/>
      <c r="K20" s="424"/>
      <c r="L20" s="500"/>
      <c r="M20" s="451"/>
      <c r="N20" s="452"/>
      <c r="O20" s="436"/>
      <c r="P20" s="309"/>
      <c r="Q20" s="309"/>
      <c r="R20" s="309"/>
      <c r="S20" s="309"/>
      <c r="T20" s="309"/>
      <c r="U20" s="309"/>
      <c r="V20" s="309"/>
      <c r="W20" s="309"/>
      <c r="X20" s="308"/>
      <c r="Y20" s="308"/>
      <c r="Z20" s="308"/>
      <c r="AA20" s="308"/>
      <c r="AB20" s="308"/>
    </row>
    <row r="21" spans="1:28" x14ac:dyDescent="0.2">
      <c r="A21" s="615"/>
      <c r="B21" s="413" t="s">
        <v>2</v>
      </c>
      <c r="C21" s="397">
        <v>1760</v>
      </c>
      <c r="D21" s="313">
        <v>2230</v>
      </c>
      <c r="E21" s="311"/>
      <c r="F21" s="313">
        <v>2540</v>
      </c>
      <c r="G21" s="313"/>
      <c r="H21" s="313">
        <v>1940</v>
      </c>
      <c r="I21" s="306"/>
      <c r="J21" s="309"/>
      <c r="K21" s="424"/>
      <c r="L21" s="500"/>
      <c r="M21" s="451"/>
      <c r="N21" s="452"/>
      <c r="O21" s="436"/>
      <c r="P21" s="309"/>
      <c r="Q21" s="309"/>
      <c r="R21" s="309"/>
      <c r="S21" s="309"/>
      <c r="T21" s="309"/>
      <c r="U21" s="309"/>
      <c r="V21" s="309"/>
      <c r="W21" s="309"/>
      <c r="X21" s="308"/>
      <c r="Y21" s="308"/>
      <c r="Z21" s="308"/>
      <c r="AA21" s="308"/>
      <c r="AB21" s="308"/>
    </row>
    <row r="22" spans="1:28" x14ac:dyDescent="0.2">
      <c r="A22" s="615">
        <v>39635</v>
      </c>
      <c r="B22" s="413" t="s">
        <v>0</v>
      </c>
      <c r="C22" s="398"/>
      <c r="D22" s="138"/>
      <c r="E22" s="138"/>
      <c r="F22" s="138"/>
      <c r="G22" s="138"/>
      <c r="H22" s="314"/>
      <c r="I22" s="306"/>
      <c r="J22" s="309"/>
      <c r="K22" s="424"/>
      <c r="L22" s="500"/>
      <c r="M22" s="451"/>
      <c r="N22" s="452"/>
      <c r="O22" s="436"/>
      <c r="P22" s="309"/>
      <c r="Q22" s="309"/>
      <c r="R22" s="309"/>
      <c r="S22" s="309"/>
      <c r="T22" s="309"/>
      <c r="U22" s="309"/>
      <c r="V22" s="309"/>
      <c r="W22" s="309"/>
      <c r="X22" s="308"/>
      <c r="Y22" s="308"/>
      <c r="Z22" s="308"/>
      <c r="AA22" s="308"/>
      <c r="AB22" s="308"/>
    </row>
    <row r="23" spans="1:28" x14ac:dyDescent="0.2">
      <c r="A23" s="615"/>
      <c r="B23" s="413" t="s">
        <v>1</v>
      </c>
      <c r="C23" s="398"/>
      <c r="D23" s="138"/>
      <c r="E23" s="138"/>
      <c r="F23" s="138"/>
      <c r="G23" s="138"/>
      <c r="H23" s="314"/>
      <c r="I23" s="306"/>
      <c r="J23" s="309"/>
      <c r="K23" s="424"/>
      <c r="L23" s="500"/>
      <c r="M23" s="451"/>
      <c r="N23" s="452"/>
      <c r="O23" s="436"/>
      <c r="P23" s="309"/>
      <c r="Q23" s="309"/>
      <c r="R23" s="309"/>
      <c r="S23" s="309"/>
      <c r="T23" s="309"/>
      <c r="U23" s="309"/>
      <c r="V23" s="309"/>
      <c r="W23" s="309"/>
      <c r="X23" s="308"/>
      <c r="Y23" s="308"/>
      <c r="Z23" s="308"/>
      <c r="AA23" s="308"/>
      <c r="AB23" s="308"/>
    </row>
    <row r="24" spans="1:28" x14ac:dyDescent="0.2">
      <c r="A24" s="615"/>
      <c r="B24" s="413" t="s">
        <v>2</v>
      </c>
      <c r="C24" s="397">
        <v>1850</v>
      </c>
      <c r="D24" s="313">
        <v>2350</v>
      </c>
      <c r="E24" s="311"/>
      <c r="F24" s="313">
        <v>2670</v>
      </c>
      <c r="G24" s="313"/>
      <c r="H24" s="313">
        <v>2130</v>
      </c>
      <c r="I24" s="306"/>
      <c r="J24" s="309"/>
      <c r="K24" s="424"/>
      <c r="L24" s="500"/>
      <c r="M24" s="451"/>
      <c r="N24" s="452"/>
      <c r="O24" s="436"/>
      <c r="P24" s="309"/>
      <c r="Q24" s="309"/>
      <c r="R24" s="309"/>
      <c r="S24" s="309"/>
      <c r="T24" s="309"/>
      <c r="U24" s="309"/>
      <c r="V24" s="309"/>
      <c r="W24" s="309"/>
      <c r="X24" s="308"/>
      <c r="Y24" s="308"/>
      <c r="Z24" s="308"/>
      <c r="AA24" s="308"/>
      <c r="AB24" s="308"/>
    </row>
    <row r="25" spans="1:28" x14ac:dyDescent="0.2">
      <c r="A25" s="615">
        <v>39652</v>
      </c>
      <c r="B25" s="413" t="s">
        <v>0</v>
      </c>
      <c r="C25" s="398"/>
      <c r="D25" s="138"/>
      <c r="E25" s="138"/>
      <c r="F25" s="138"/>
      <c r="G25" s="138"/>
      <c r="H25" s="314"/>
      <c r="I25" s="306"/>
      <c r="J25" s="309"/>
      <c r="K25" s="424"/>
      <c r="L25" s="500"/>
      <c r="M25" s="451"/>
      <c r="N25" s="452"/>
      <c r="O25" s="436"/>
      <c r="P25" s="309"/>
      <c r="Q25" s="309"/>
      <c r="R25" s="309"/>
      <c r="S25" s="309"/>
      <c r="T25" s="309"/>
      <c r="U25" s="309"/>
      <c r="V25" s="309"/>
      <c r="W25" s="309"/>
      <c r="X25" s="308"/>
      <c r="Y25" s="308"/>
      <c r="Z25" s="308"/>
      <c r="AA25" s="308"/>
      <c r="AB25" s="308"/>
    </row>
    <row r="26" spans="1:28" x14ac:dyDescent="0.2">
      <c r="A26" s="615"/>
      <c r="B26" s="413" t="s">
        <v>1</v>
      </c>
      <c r="C26" s="398"/>
      <c r="D26" s="138"/>
      <c r="E26" s="138"/>
      <c r="F26" s="138"/>
      <c r="G26" s="138"/>
      <c r="H26" s="314"/>
      <c r="I26" s="306"/>
      <c r="J26" s="309"/>
      <c r="K26" s="424"/>
      <c r="L26" s="500"/>
      <c r="M26" s="451"/>
      <c r="N26" s="452"/>
      <c r="O26" s="436"/>
      <c r="P26" s="309"/>
      <c r="Q26" s="309"/>
      <c r="R26" s="309"/>
      <c r="S26" s="309"/>
      <c r="T26" s="309"/>
      <c r="U26" s="309"/>
      <c r="V26" s="309"/>
      <c r="W26" s="309"/>
      <c r="X26" s="308"/>
      <c r="Y26" s="308"/>
      <c r="Z26" s="308"/>
      <c r="AA26" s="308"/>
      <c r="AB26" s="308"/>
    </row>
    <row r="27" spans="1:28" x14ac:dyDescent="0.2">
      <c r="A27" s="615"/>
      <c r="B27" s="413" t="s">
        <v>2</v>
      </c>
      <c r="C27" s="397">
        <v>1950</v>
      </c>
      <c r="D27" s="313">
        <v>2470</v>
      </c>
      <c r="E27" s="315"/>
      <c r="F27" s="313">
        <v>2810</v>
      </c>
      <c r="G27" s="313"/>
      <c r="H27" s="313">
        <v>2240</v>
      </c>
      <c r="I27" s="309"/>
      <c r="J27" s="309"/>
      <c r="K27" s="424"/>
      <c r="L27" s="500"/>
      <c r="M27" s="451"/>
      <c r="N27" s="452"/>
      <c r="O27" s="436"/>
      <c r="P27" s="309"/>
      <c r="Q27" s="309"/>
      <c r="R27" s="309"/>
      <c r="S27" s="309"/>
      <c r="T27" s="309"/>
      <c r="U27" s="309"/>
      <c r="V27" s="309"/>
      <c r="W27" s="309"/>
      <c r="X27" s="308"/>
      <c r="Y27" s="308"/>
      <c r="Z27" s="308"/>
      <c r="AA27" s="308"/>
      <c r="AB27" s="308"/>
    </row>
    <row r="28" spans="1:28" x14ac:dyDescent="0.2">
      <c r="A28" s="615">
        <v>39783</v>
      </c>
      <c r="B28" s="413" t="s">
        <v>0</v>
      </c>
      <c r="C28" s="38">
        <v>1791000</v>
      </c>
      <c r="D28" s="11">
        <v>2239160</v>
      </c>
      <c r="E28" s="11"/>
      <c r="F28" s="11">
        <v>2563220</v>
      </c>
      <c r="G28" s="11"/>
      <c r="H28" s="11">
        <v>1642230</v>
      </c>
      <c r="I28" s="11"/>
      <c r="J28" s="11"/>
      <c r="K28" s="45"/>
      <c r="L28" s="155"/>
      <c r="M28" s="10"/>
      <c r="N28" s="12"/>
      <c r="O28" s="38"/>
      <c r="P28" s="11"/>
      <c r="Q28" s="11"/>
      <c r="R28" s="191"/>
      <c r="S28" s="191"/>
      <c r="T28" s="11"/>
      <c r="U28" s="11"/>
      <c r="V28" s="191"/>
      <c r="W28" s="191"/>
      <c r="X28" s="191"/>
      <c r="Y28" s="191"/>
      <c r="Z28" s="191"/>
      <c r="AA28" s="191"/>
      <c r="AB28" s="191"/>
    </row>
    <row r="29" spans="1:28" x14ac:dyDescent="0.2">
      <c r="A29" s="615"/>
      <c r="B29" s="413" t="s">
        <v>1</v>
      </c>
      <c r="C29" s="38">
        <v>1938983</v>
      </c>
      <c r="D29" s="11">
        <v>2445763</v>
      </c>
      <c r="E29" s="11"/>
      <c r="F29" s="11">
        <v>2787288</v>
      </c>
      <c r="G29" s="11"/>
      <c r="H29" s="11">
        <v>2054237</v>
      </c>
      <c r="I29" s="11">
        <v>1789831</v>
      </c>
      <c r="J29" s="11"/>
      <c r="K29" s="45"/>
      <c r="L29" s="155"/>
      <c r="M29" s="10"/>
      <c r="N29" s="12"/>
      <c r="O29" s="38"/>
      <c r="P29" s="11"/>
      <c r="Q29" s="11"/>
      <c r="R29" s="191"/>
      <c r="S29" s="191"/>
      <c r="T29" s="11"/>
      <c r="U29" s="11"/>
      <c r="V29" s="191"/>
      <c r="W29" s="191"/>
      <c r="X29" s="191"/>
      <c r="Y29" s="191"/>
      <c r="Z29" s="191"/>
      <c r="AA29" s="191"/>
      <c r="AB29" s="191"/>
    </row>
    <row r="30" spans="1:28" x14ac:dyDescent="0.2">
      <c r="A30" s="615"/>
      <c r="B30" s="413" t="s">
        <v>2</v>
      </c>
      <c r="C30" s="38">
        <v>1760</v>
      </c>
      <c r="D30" s="11">
        <v>2220</v>
      </c>
      <c r="E30" s="11"/>
      <c r="F30" s="11">
        <v>2530</v>
      </c>
      <c r="G30" s="11"/>
      <c r="H30" s="11">
        <v>2020</v>
      </c>
      <c r="I30" s="11">
        <v>1760</v>
      </c>
      <c r="J30" s="11"/>
      <c r="K30" s="45"/>
      <c r="L30" s="155"/>
      <c r="M30" s="10"/>
      <c r="N30" s="12"/>
      <c r="O30" s="38"/>
      <c r="P30" s="11"/>
      <c r="Q30" s="11"/>
      <c r="R30" s="191"/>
      <c r="S30" s="191"/>
      <c r="T30" s="11"/>
      <c r="U30" s="11"/>
      <c r="V30" s="191"/>
      <c r="W30" s="191"/>
      <c r="X30" s="191"/>
      <c r="Y30" s="191"/>
      <c r="Z30" s="191"/>
      <c r="AA30" s="191"/>
      <c r="AB30" s="191"/>
    </row>
    <row r="31" spans="1:28" x14ac:dyDescent="0.2">
      <c r="A31" s="615">
        <v>40066</v>
      </c>
      <c r="B31" s="413" t="s">
        <v>0</v>
      </c>
      <c r="C31" s="38">
        <v>1952190</v>
      </c>
      <c r="D31" s="11">
        <v>2485470</v>
      </c>
      <c r="E31" s="11"/>
      <c r="F31" s="11">
        <v>2819540</v>
      </c>
      <c r="G31" s="11"/>
      <c r="H31" s="317">
        <v>1888560</v>
      </c>
      <c r="I31" s="11">
        <v>1563840</v>
      </c>
      <c r="J31" s="11"/>
      <c r="K31" s="45"/>
      <c r="L31" s="155"/>
      <c r="M31" s="10"/>
      <c r="N31" s="12"/>
      <c r="O31" s="38"/>
      <c r="P31" s="11"/>
      <c r="Q31" s="11"/>
      <c r="R31" s="191"/>
      <c r="S31" s="191"/>
      <c r="T31" s="11"/>
      <c r="U31" s="11"/>
      <c r="V31" s="191"/>
      <c r="W31" s="191"/>
      <c r="X31" s="191"/>
      <c r="Y31" s="191"/>
      <c r="Z31" s="191"/>
      <c r="AA31" s="191"/>
      <c r="AB31" s="191"/>
    </row>
    <row r="32" spans="1:28" x14ac:dyDescent="0.2">
      <c r="A32" s="615"/>
      <c r="B32" s="413" t="s">
        <v>1</v>
      </c>
      <c r="C32" s="38">
        <v>2093220</v>
      </c>
      <c r="D32" s="11">
        <v>2721186</v>
      </c>
      <c r="E32" s="11"/>
      <c r="F32" s="11">
        <v>3062712</v>
      </c>
      <c r="G32" s="11"/>
      <c r="H32" s="11">
        <v>2257627</v>
      </c>
      <c r="I32" s="11">
        <v>1942373</v>
      </c>
      <c r="J32" s="11"/>
      <c r="K32" s="45"/>
      <c r="L32" s="155"/>
      <c r="M32" s="10"/>
      <c r="N32" s="12"/>
      <c r="O32" s="38"/>
      <c r="P32" s="11"/>
      <c r="Q32" s="11"/>
      <c r="R32" s="191"/>
      <c r="S32" s="191"/>
      <c r="T32" s="11"/>
      <c r="U32" s="11"/>
      <c r="V32" s="191"/>
      <c r="W32" s="191"/>
      <c r="X32" s="191"/>
      <c r="Y32" s="191"/>
      <c r="Z32" s="191"/>
      <c r="AA32" s="191"/>
      <c r="AB32" s="191"/>
    </row>
    <row r="33" spans="1:28" x14ac:dyDescent="0.2">
      <c r="A33" s="615"/>
      <c r="B33" s="413" t="s">
        <v>2</v>
      </c>
      <c r="C33" s="38">
        <v>1900</v>
      </c>
      <c r="D33" s="11">
        <v>2470</v>
      </c>
      <c r="E33" s="11"/>
      <c r="F33" s="11">
        <v>2780</v>
      </c>
      <c r="G33" s="11"/>
      <c r="H33" s="11">
        <v>2220</v>
      </c>
      <c r="I33" s="11">
        <v>1910</v>
      </c>
      <c r="J33" s="11"/>
      <c r="K33" s="45"/>
      <c r="L33" s="155"/>
      <c r="M33" s="10"/>
      <c r="N33" s="12"/>
      <c r="O33" s="38"/>
      <c r="P33" s="11"/>
      <c r="Q33" s="11"/>
      <c r="R33" s="191"/>
      <c r="S33" s="191"/>
      <c r="T33" s="11"/>
      <c r="U33" s="11"/>
      <c r="V33" s="191"/>
      <c r="W33" s="191"/>
      <c r="X33" s="191"/>
      <c r="Y33" s="191"/>
      <c r="Z33" s="191"/>
      <c r="AA33" s="191"/>
      <c r="AB33" s="191"/>
    </row>
    <row r="34" spans="1:28" x14ac:dyDescent="0.2">
      <c r="A34" s="615">
        <v>40201</v>
      </c>
      <c r="B34" s="413" t="s">
        <v>0</v>
      </c>
      <c r="C34" s="38">
        <v>1991230</v>
      </c>
      <c r="D34" s="11">
        <v>2535180</v>
      </c>
      <c r="E34" s="11"/>
      <c r="F34" s="11">
        <v>2875930</v>
      </c>
      <c r="G34" s="11"/>
      <c r="H34" s="317">
        <v>1926330</v>
      </c>
      <c r="I34" s="11">
        <v>1706780</v>
      </c>
      <c r="J34" s="11"/>
      <c r="K34" s="45"/>
      <c r="L34" s="155"/>
      <c r="M34" s="10"/>
      <c r="N34" s="12"/>
      <c r="O34" s="38"/>
      <c r="P34" s="11"/>
      <c r="Q34" s="11"/>
      <c r="R34" s="191"/>
      <c r="S34" s="191"/>
      <c r="T34" s="11"/>
      <c r="U34" s="11"/>
      <c r="V34" s="191"/>
      <c r="W34" s="191"/>
      <c r="X34" s="191"/>
      <c r="Y34" s="191"/>
      <c r="Z34" s="191"/>
      <c r="AA34" s="191"/>
      <c r="AB34" s="191"/>
    </row>
    <row r="35" spans="1:28" x14ac:dyDescent="0.2">
      <c r="A35" s="615"/>
      <c r="B35" s="413" t="s">
        <v>1</v>
      </c>
      <c r="C35" s="38">
        <v>2100667</v>
      </c>
      <c r="D35" s="11">
        <v>2730000</v>
      </c>
      <c r="E35" s="11"/>
      <c r="F35" s="11">
        <v>3076667</v>
      </c>
      <c r="G35" s="11"/>
      <c r="H35" s="11">
        <v>2270000</v>
      </c>
      <c r="I35" s="11">
        <v>1950000</v>
      </c>
      <c r="J35" s="11"/>
      <c r="K35" s="45"/>
      <c r="L35" s="155"/>
      <c r="M35" s="10"/>
      <c r="N35" s="12"/>
      <c r="O35" s="38"/>
      <c r="P35" s="11"/>
      <c r="Q35" s="11"/>
      <c r="R35" s="191"/>
      <c r="S35" s="191"/>
      <c r="T35" s="11"/>
      <c r="U35" s="11"/>
      <c r="V35" s="191"/>
      <c r="W35" s="191"/>
      <c r="X35" s="191"/>
      <c r="Y35" s="191"/>
      <c r="Z35" s="191"/>
      <c r="AA35" s="191"/>
      <c r="AB35" s="191"/>
    </row>
    <row r="36" spans="1:28" x14ac:dyDescent="0.2">
      <c r="A36" s="615"/>
      <c r="B36" s="413" t="s">
        <v>2</v>
      </c>
      <c r="C36" s="38">
        <v>1940</v>
      </c>
      <c r="D36" s="11">
        <v>2520</v>
      </c>
      <c r="E36" s="11"/>
      <c r="F36" s="11">
        <v>2840</v>
      </c>
      <c r="G36" s="11"/>
      <c r="H36" s="11">
        <v>2270</v>
      </c>
      <c r="I36" s="11">
        <v>1950</v>
      </c>
      <c r="J36" s="11"/>
      <c r="K36" s="45"/>
      <c r="L36" s="155"/>
      <c r="M36" s="10"/>
      <c r="N36" s="12"/>
      <c r="O36" s="38"/>
      <c r="P36" s="11"/>
      <c r="Q36" s="11"/>
      <c r="R36" s="191"/>
      <c r="S36" s="191"/>
      <c r="T36" s="11"/>
      <c r="U36" s="11"/>
      <c r="V36" s="191"/>
      <c r="W36" s="191"/>
      <c r="X36" s="191"/>
      <c r="Y36" s="191"/>
      <c r="Z36" s="191"/>
      <c r="AA36" s="191"/>
      <c r="AB36" s="191"/>
    </row>
    <row r="37" spans="1:28" x14ac:dyDescent="0.2">
      <c r="A37" s="621">
        <v>40210</v>
      </c>
      <c r="B37" s="414" t="s">
        <v>0</v>
      </c>
      <c r="C37" s="399">
        <v>2050970</v>
      </c>
      <c r="D37" s="168">
        <v>2611240</v>
      </c>
      <c r="E37" s="168"/>
      <c r="F37" s="168">
        <v>2962210</v>
      </c>
      <c r="G37" s="168"/>
      <c r="H37" s="318">
        <v>1984120</v>
      </c>
      <c r="I37" s="168">
        <v>1757980</v>
      </c>
      <c r="J37" s="11"/>
      <c r="K37" s="45"/>
      <c r="L37" s="155"/>
      <c r="M37" s="10"/>
      <c r="N37" s="12"/>
      <c r="O37" s="38"/>
      <c r="P37" s="11"/>
      <c r="Q37" s="11"/>
      <c r="R37" s="191"/>
      <c r="S37" s="191"/>
      <c r="T37" s="11"/>
      <c r="U37" s="11"/>
      <c r="V37" s="191"/>
      <c r="W37" s="191"/>
      <c r="X37" s="191"/>
      <c r="Y37" s="191"/>
      <c r="Z37" s="191"/>
      <c r="AA37" s="191"/>
      <c r="AB37" s="191"/>
    </row>
    <row r="38" spans="1:28" x14ac:dyDescent="0.2">
      <c r="A38" s="621"/>
      <c r="B38" s="414" t="s">
        <v>1</v>
      </c>
      <c r="C38" s="399">
        <v>2100667</v>
      </c>
      <c r="D38" s="168">
        <v>2730000</v>
      </c>
      <c r="E38" s="168"/>
      <c r="F38" s="168">
        <v>3076667</v>
      </c>
      <c r="G38" s="168"/>
      <c r="H38" s="168">
        <v>2270000</v>
      </c>
      <c r="I38" s="168">
        <v>1950000</v>
      </c>
      <c r="J38" s="11"/>
      <c r="K38" s="45"/>
      <c r="L38" s="155"/>
      <c r="M38" s="10"/>
      <c r="N38" s="12"/>
      <c r="O38" s="38"/>
      <c r="P38" s="11"/>
      <c r="Q38" s="11"/>
      <c r="R38" s="191"/>
      <c r="S38" s="191"/>
      <c r="T38" s="11"/>
      <c r="U38" s="11"/>
      <c r="V38" s="191"/>
      <c r="W38" s="191"/>
      <c r="X38" s="191"/>
      <c r="Y38" s="191"/>
      <c r="Z38" s="191"/>
      <c r="AA38" s="191"/>
      <c r="AB38" s="191"/>
    </row>
    <row r="39" spans="1:28" x14ac:dyDescent="0.2">
      <c r="A39" s="621"/>
      <c r="B39" s="414" t="s">
        <v>2</v>
      </c>
      <c r="C39" s="399">
        <v>1940</v>
      </c>
      <c r="D39" s="168">
        <v>2520</v>
      </c>
      <c r="E39" s="168"/>
      <c r="F39" s="168">
        <v>2840</v>
      </c>
      <c r="G39" s="168"/>
      <c r="H39" s="168">
        <v>2270</v>
      </c>
      <c r="I39" s="168">
        <v>1950</v>
      </c>
      <c r="J39" s="11"/>
      <c r="K39" s="45"/>
      <c r="L39" s="502"/>
      <c r="M39" s="10"/>
      <c r="N39" s="12"/>
      <c r="O39" s="38"/>
      <c r="P39" s="11"/>
      <c r="Q39" s="11"/>
      <c r="R39" s="191"/>
      <c r="S39" s="191"/>
      <c r="T39" s="11"/>
      <c r="U39" s="11"/>
      <c r="V39" s="191"/>
      <c r="W39" s="191"/>
      <c r="X39" s="191"/>
      <c r="Y39" s="191"/>
      <c r="Z39" s="191"/>
      <c r="AA39" s="191"/>
      <c r="AB39" s="191"/>
    </row>
    <row r="40" spans="1:28" x14ac:dyDescent="0.2">
      <c r="A40" s="615">
        <v>40236</v>
      </c>
      <c r="B40" s="413" t="s">
        <v>0</v>
      </c>
      <c r="C40" s="38">
        <v>2133010</v>
      </c>
      <c r="D40" s="11">
        <v>2715690</v>
      </c>
      <c r="E40" s="11"/>
      <c r="F40" s="11">
        <v>3080700</v>
      </c>
      <c r="G40" s="11"/>
      <c r="H40" s="317">
        <v>2026350</v>
      </c>
      <c r="I40" s="11">
        <v>1828300</v>
      </c>
      <c r="J40" s="11"/>
      <c r="K40" s="45"/>
      <c r="L40" s="502"/>
      <c r="M40" s="10"/>
      <c r="N40" s="12"/>
      <c r="O40" s="38"/>
      <c r="P40" s="11"/>
      <c r="Q40" s="11"/>
      <c r="R40" s="191"/>
      <c r="S40" s="191"/>
      <c r="T40" s="11"/>
      <c r="U40" s="11"/>
      <c r="V40" s="191"/>
      <c r="W40" s="191"/>
      <c r="X40" s="191"/>
      <c r="Y40" s="191"/>
      <c r="Z40" s="191"/>
      <c r="AA40" s="191"/>
      <c r="AB40" s="191"/>
    </row>
    <row r="41" spans="1:28" x14ac:dyDescent="0.2">
      <c r="A41" s="615"/>
      <c r="B41" s="413" t="s">
        <v>1</v>
      </c>
      <c r="C41" s="38">
        <v>2253333</v>
      </c>
      <c r="D41" s="11">
        <v>2925000</v>
      </c>
      <c r="E41" s="11"/>
      <c r="F41" s="11">
        <v>3304167</v>
      </c>
      <c r="G41" s="11"/>
      <c r="H41" s="11">
        <v>2430000</v>
      </c>
      <c r="I41" s="11">
        <v>2090000</v>
      </c>
      <c r="J41" s="11"/>
      <c r="K41" s="45"/>
      <c r="L41" s="502"/>
      <c r="M41" s="10"/>
      <c r="N41" s="12"/>
      <c r="O41" s="38"/>
      <c r="P41" s="11"/>
      <c r="Q41" s="11"/>
      <c r="R41" s="191"/>
      <c r="S41" s="191"/>
      <c r="T41" s="11"/>
      <c r="U41" s="11"/>
      <c r="V41" s="191"/>
      <c r="W41" s="191"/>
      <c r="X41" s="191"/>
      <c r="Y41" s="191"/>
      <c r="Z41" s="191"/>
      <c r="AA41" s="191"/>
      <c r="AB41" s="191"/>
    </row>
    <row r="42" spans="1:28" x14ac:dyDescent="0.2">
      <c r="A42" s="615"/>
      <c r="B42" s="413" t="s">
        <v>2</v>
      </c>
      <c r="C42" s="38">
        <v>2080</v>
      </c>
      <c r="D42" s="11">
        <v>2700</v>
      </c>
      <c r="E42" s="11"/>
      <c r="F42" s="11">
        <v>3050</v>
      </c>
      <c r="G42" s="11"/>
      <c r="H42" s="11">
        <v>2430</v>
      </c>
      <c r="I42" s="11">
        <v>2090</v>
      </c>
      <c r="J42" s="11"/>
      <c r="K42" s="45"/>
      <c r="L42" s="502"/>
      <c r="M42" s="10"/>
      <c r="N42" s="12"/>
      <c r="O42" s="38"/>
      <c r="P42" s="11"/>
      <c r="Q42" s="11"/>
      <c r="R42" s="191"/>
      <c r="S42" s="191"/>
      <c r="T42" s="11"/>
      <c r="U42" s="11"/>
      <c r="V42" s="191"/>
      <c r="W42" s="191"/>
      <c r="X42" s="191"/>
      <c r="Y42" s="191"/>
      <c r="Z42" s="191"/>
      <c r="AA42" s="191"/>
      <c r="AB42" s="191"/>
    </row>
    <row r="43" spans="1:28" x14ac:dyDescent="0.2">
      <c r="A43" s="615">
        <v>40310</v>
      </c>
      <c r="B43" s="413" t="s">
        <v>0</v>
      </c>
      <c r="C43" s="38">
        <v>2260990</v>
      </c>
      <c r="D43" s="11">
        <v>2878630</v>
      </c>
      <c r="E43" s="11"/>
      <c r="F43" s="11">
        <v>3265540</v>
      </c>
      <c r="G43" s="11"/>
      <c r="H43" s="317">
        <v>2187290</v>
      </c>
      <c r="I43" s="11">
        <v>1938000</v>
      </c>
      <c r="J43" s="11"/>
      <c r="K43" s="45"/>
      <c r="L43" s="502"/>
      <c r="M43" s="10"/>
      <c r="N43" s="12"/>
      <c r="O43" s="38"/>
      <c r="P43" s="11"/>
      <c r="Q43" s="11"/>
      <c r="R43" s="191"/>
      <c r="S43" s="191"/>
      <c r="T43" s="11"/>
      <c r="U43" s="11"/>
      <c r="V43" s="191"/>
      <c r="W43" s="191"/>
      <c r="X43" s="191"/>
      <c r="Y43" s="191"/>
      <c r="Z43" s="191"/>
      <c r="AA43" s="191"/>
      <c r="AB43" s="191"/>
    </row>
    <row r="44" spans="1:28" x14ac:dyDescent="0.2">
      <c r="A44" s="615"/>
      <c r="B44" s="413" t="s">
        <v>1</v>
      </c>
      <c r="C44" s="38">
        <v>2437500</v>
      </c>
      <c r="D44" s="11">
        <v>3109167</v>
      </c>
      <c r="E44" s="11"/>
      <c r="F44" s="11">
        <v>3510000</v>
      </c>
      <c r="G44" s="11"/>
      <c r="H44" s="11">
        <v>2580000</v>
      </c>
      <c r="I44" s="11">
        <v>2220000</v>
      </c>
      <c r="J44" s="11"/>
      <c r="K44" s="45"/>
      <c r="L44" s="502"/>
      <c r="M44" s="10"/>
      <c r="N44" s="12"/>
      <c r="O44" s="38"/>
      <c r="P44" s="11"/>
      <c r="Q44" s="11"/>
      <c r="R44" s="191"/>
      <c r="S44" s="191"/>
      <c r="T44" s="11"/>
      <c r="U44" s="11"/>
      <c r="V44" s="191"/>
      <c r="W44" s="191"/>
      <c r="X44" s="191"/>
      <c r="Y44" s="191"/>
      <c r="Z44" s="191"/>
      <c r="AA44" s="191"/>
      <c r="AB44" s="191"/>
    </row>
    <row r="45" spans="1:28" x14ac:dyDescent="0.2">
      <c r="A45" s="615"/>
      <c r="B45" s="413" t="s">
        <v>2</v>
      </c>
      <c r="C45" s="38">
        <v>2250</v>
      </c>
      <c r="D45" s="11">
        <v>2870</v>
      </c>
      <c r="E45" s="11"/>
      <c r="F45" s="11">
        <v>3240</v>
      </c>
      <c r="G45" s="11"/>
      <c r="H45" s="11">
        <v>2580</v>
      </c>
      <c r="I45" s="11">
        <v>2220</v>
      </c>
      <c r="J45" s="11"/>
      <c r="K45" s="45"/>
      <c r="L45" s="502"/>
      <c r="M45" s="10"/>
      <c r="N45" s="12"/>
      <c r="O45" s="38"/>
      <c r="P45" s="11"/>
      <c r="Q45" s="11"/>
      <c r="R45" s="191"/>
      <c r="S45" s="191"/>
      <c r="T45" s="11"/>
      <c r="U45" s="11"/>
      <c r="V45" s="191"/>
      <c r="W45" s="191"/>
      <c r="X45" s="191"/>
      <c r="Y45" s="191"/>
      <c r="Z45" s="191"/>
      <c r="AA45" s="191"/>
      <c r="AB45" s="191"/>
    </row>
    <row r="46" spans="1:28" x14ac:dyDescent="0.2">
      <c r="A46" s="621">
        <v>40568</v>
      </c>
      <c r="B46" s="414" t="s">
        <v>0</v>
      </c>
      <c r="C46" s="399">
        <v>2260990</v>
      </c>
      <c r="D46" s="168">
        <v>2878630</v>
      </c>
      <c r="E46" s="168"/>
      <c r="F46" s="168">
        <v>3265540</v>
      </c>
      <c r="G46" s="168"/>
      <c r="H46" s="318">
        <v>2274780</v>
      </c>
      <c r="I46" s="168">
        <v>2073660</v>
      </c>
      <c r="J46" s="11"/>
      <c r="K46" s="45"/>
      <c r="L46" s="502"/>
      <c r="M46" s="10"/>
      <c r="N46" s="12"/>
      <c r="O46" s="38"/>
      <c r="P46" s="11"/>
      <c r="Q46" s="11"/>
      <c r="R46" s="191"/>
      <c r="S46" s="191"/>
      <c r="T46" s="11"/>
      <c r="U46" s="11"/>
      <c r="V46" s="191"/>
      <c r="W46" s="191"/>
      <c r="X46" s="191"/>
      <c r="Y46" s="191"/>
      <c r="Z46" s="191"/>
      <c r="AA46" s="191"/>
      <c r="AB46" s="191"/>
    </row>
    <row r="47" spans="1:28" x14ac:dyDescent="0.2">
      <c r="A47" s="621"/>
      <c r="B47" s="414" t="s">
        <v>1</v>
      </c>
      <c r="C47" s="399">
        <v>2437500</v>
      </c>
      <c r="D47" s="168">
        <v>3109167</v>
      </c>
      <c r="E47" s="168"/>
      <c r="F47" s="168">
        <v>3510000</v>
      </c>
      <c r="G47" s="168"/>
      <c r="H47" s="168">
        <v>2580000</v>
      </c>
      <c r="I47" s="168">
        <v>2220000</v>
      </c>
      <c r="J47" s="11"/>
      <c r="K47" s="45"/>
      <c r="L47" s="502"/>
      <c r="M47" s="10"/>
      <c r="N47" s="12"/>
      <c r="O47" s="38"/>
      <c r="P47" s="11"/>
      <c r="Q47" s="11"/>
      <c r="R47" s="191"/>
      <c r="S47" s="191"/>
      <c r="T47" s="11"/>
      <c r="U47" s="11"/>
      <c r="V47" s="191"/>
      <c r="W47" s="191"/>
      <c r="X47" s="191"/>
      <c r="Y47" s="191"/>
      <c r="Z47" s="191"/>
      <c r="AA47" s="191"/>
      <c r="AB47" s="191"/>
    </row>
    <row r="48" spans="1:28" x14ac:dyDescent="0.2">
      <c r="A48" s="621"/>
      <c r="B48" s="414" t="s">
        <v>2</v>
      </c>
      <c r="C48" s="399">
        <v>2250</v>
      </c>
      <c r="D48" s="168">
        <v>2870</v>
      </c>
      <c r="E48" s="168"/>
      <c r="F48" s="168">
        <v>3240</v>
      </c>
      <c r="G48" s="168"/>
      <c r="H48" s="168">
        <v>2580</v>
      </c>
      <c r="I48" s="168">
        <v>2220</v>
      </c>
      <c r="J48" s="11"/>
      <c r="K48" s="45"/>
      <c r="L48" s="502"/>
      <c r="M48" s="10"/>
      <c r="N48" s="12"/>
      <c r="O48" s="38"/>
      <c r="P48" s="11"/>
      <c r="Q48" s="11"/>
      <c r="R48" s="191"/>
      <c r="S48" s="191"/>
      <c r="T48" s="11"/>
      <c r="U48" s="11"/>
      <c r="V48" s="191"/>
      <c r="W48" s="191"/>
      <c r="X48" s="191"/>
      <c r="Y48" s="191"/>
      <c r="Z48" s="191"/>
      <c r="AA48" s="191"/>
      <c r="AB48" s="191"/>
    </row>
    <row r="49" spans="1:28" x14ac:dyDescent="0.2">
      <c r="A49" s="615">
        <v>40605</v>
      </c>
      <c r="B49" s="413" t="s">
        <v>0</v>
      </c>
      <c r="C49" s="38">
        <v>2375800</v>
      </c>
      <c r="D49" s="11">
        <v>3024300</v>
      </c>
      <c r="E49" s="11"/>
      <c r="F49" s="11">
        <v>3430600</v>
      </c>
      <c r="G49" s="11"/>
      <c r="H49" s="317">
        <v>2503300</v>
      </c>
      <c r="I49" s="11">
        <v>2283400</v>
      </c>
      <c r="J49" s="11"/>
      <c r="K49" s="45"/>
      <c r="L49" s="502"/>
      <c r="M49" s="10"/>
      <c r="N49" s="12"/>
      <c r="O49" s="38"/>
      <c r="P49" s="11"/>
      <c r="Q49" s="11"/>
      <c r="R49" s="191"/>
      <c r="S49" s="191"/>
      <c r="T49" s="11"/>
      <c r="U49" s="11"/>
      <c r="V49" s="191"/>
      <c r="W49" s="191"/>
      <c r="X49" s="191"/>
      <c r="Y49" s="191"/>
      <c r="Z49" s="191"/>
      <c r="AA49" s="191"/>
      <c r="AB49" s="191"/>
    </row>
    <row r="50" spans="1:28" x14ac:dyDescent="0.2">
      <c r="A50" s="615"/>
      <c r="B50" s="413" t="s">
        <v>1</v>
      </c>
      <c r="C50" s="38">
        <v>2600000</v>
      </c>
      <c r="D50" s="11">
        <v>3250000</v>
      </c>
      <c r="E50" s="11"/>
      <c r="F50" s="11">
        <v>3683333</v>
      </c>
      <c r="G50" s="11"/>
      <c r="H50" s="11">
        <v>2850000</v>
      </c>
      <c r="I50" s="11">
        <v>2220000</v>
      </c>
      <c r="J50" s="11"/>
      <c r="K50" s="45"/>
      <c r="L50" s="502"/>
      <c r="M50" s="10"/>
      <c r="N50" s="12"/>
      <c r="O50" s="38"/>
      <c r="P50" s="11"/>
      <c r="Q50" s="11"/>
      <c r="R50" s="191"/>
      <c r="S50" s="191"/>
      <c r="T50" s="11"/>
      <c r="U50" s="11"/>
      <c r="V50" s="191"/>
      <c r="W50" s="191"/>
      <c r="X50" s="191"/>
      <c r="Y50" s="191"/>
      <c r="Z50" s="191"/>
      <c r="AA50" s="191"/>
      <c r="AB50" s="191"/>
    </row>
    <row r="51" spans="1:28" x14ac:dyDescent="0.2">
      <c r="A51" s="615"/>
      <c r="B51" s="413" t="s">
        <v>2</v>
      </c>
      <c r="C51" s="38">
        <v>2400</v>
      </c>
      <c r="D51" s="11">
        <v>3000</v>
      </c>
      <c r="E51" s="11"/>
      <c r="F51" s="11">
        <v>3400</v>
      </c>
      <c r="G51" s="11"/>
      <c r="H51" s="11">
        <v>2850</v>
      </c>
      <c r="I51" s="11">
        <v>2220</v>
      </c>
      <c r="J51" s="11"/>
      <c r="K51" s="45"/>
      <c r="L51" s="502"/>
      <c r="M51" s="10"/>
      <c r="N51" s="12"/>
      <c r="O51" s="38"/>
      <c r="P51" s="11"/>
      <c r="Q51" s="11"/>
      <c r="R51" s="191"/>
      <c r="S51" s="191"/>
      <c r="T51" s="11"/>
      <c r="U51" s="11"/>
      <c r="V51" s="191"/>
      <c r="W51" s="191"/>
      <c r="X51" s="191"/>
      <c r="Y51" s="191"/>
      <c r="Z51" s="191"/>
      <c r="AA51" s="191"/>
      <c r="AB51" s="191"/>
    </row>
    <row r="52" spans="1:28" x14ac:dyDescent="0.2">
      <c r="A52" s="615">
        <v>40616</v>
      </c>
      <c r="B52" s="413" t="s">
        <v>0</v>
      </c>
      <c r="C52" s="38"/>
      <c r="D52" s="11"/>
      <c r="E52" s="11"/>
      <c r="F52" s="11"/>
      <c r="G52" s="11"/>
      <c r="H52" s="11"/>
      <c r="I52" s="11"/>
      <c r="J52" s="11"/>
      <c r="K52" s="45"/>
      <c r="L52" s="502"/>
      <c r="M52" s="10"/>
      <c r="N52" s="12"/>
      <c r="O52" s="38"/>
      <c r="P52" s="11"/>
      <c r="Q52" s="11"/>
      <c r="R52" s="191"/>
      <c r="S52" s="191"/>
      <c r="T52" s="11"/>
      <c r="U52" s="11"/>
      <c r="V52" s="191"/>
      <c r="W52" s="191"/>
      <c r="X52" s="191"/>
      <c r="Y52" s="191"/>
      <c r="Z52" s="191"/>
      <c r="AA52" s="191"/>
      <c r="AB52" s="191"/>
    </row>
    <row r="53" spans="1:28" x14ac:dyDescent="0.2">
      <c r="A53" s="615"/>
      <c r="B53" s="413" t="s">
        <v>1</v>
      </c>
      <c r="C53" s="38"/>
      <c r="D53" s="11"/>
      <c r="E53" s="11"/>
      <c r="F53" s="11"/>
      <c r="G53" s="11"/>
      <c r="H53" s="11"/>
      <c r="I53" s="11"/>
      <c r="J53" s="11"/>
      <c r="K53" s="45"/>
      <c r="L53" s="502"/>
      <c r="M53" s="10"/>
      <c r="N53" s="12"/>
      <c r="O53" s="38"/>
      <c r="P53" s="11"/>
      <c r="Q53" s="11"/>
      <c r="R53" s="191"/>
      <c r="S53" s="191"/>
      <c r="T53" s="11"/>
      <c r="U53" s="11"/>
      <c r="V53" s="191"/>
      <c r="W53" s="191"/>
      <c r="X53" s="191"/>
      <c r="Y53" s="191"/>
      <c r="Z53" s="191"/>
      <c r="AA53" s="191"/>
      <c r="AB53" s="191"/>
    </row>
    <row r="54" spans="1:28" x14ac:dyDescent="0.2">
      <c r="A54" s="615"/>
      <c r="B54" s="413" t="s">
        <v>2</v>
      </c>
      <c r="C54" s="38">
        <v>2850</v>
      </c>
      <c r="D54" s="11">
        <v>3000</v>
      </c>
      <c r="E54" s="311"/>
      <c r="F54" s="11">
        <v>3400</v>
      </c>
      <c r="G54" s="11"/>
      <c r="H54" s="11">
        <v>2850</v>
      </c>
      <c r="I54" s="11">
        <v>2220</v>
      </c>
      <c r="J54" s="11"/>
      <c r="K54" s="45"/>
      <c r="L54" s="502"/>
      <c r="M54" s="10"/>
      <c r="N54" s="12"/>
      <c r="O54" s="38"/>
      <c r="P54" s="11"/>
      <c r="Q54" s="11"/>
      <c r="R54" s="191"/>
      <c r="S54" s="191"/>
      <c r="T54" s="11"/>
      <c r="U54" s="11"/>
      <c r="V54" s="191"/>
      <c r="W54" s="191"/>
      <c r="X54" s="191"/>
      <c r="Y54" s="191"/>
      <c r="Z54" s="191"/>
      <c r="AA54" s="191"/>
      <c r="AB54" s="191"/>
    </row>
    <row r="55" spans="1:28" x14ac:dyDescent="0.2">
      <c r="A55" s="615">
        <v>40633</v>
      </c>
      <c r="B55" s="413" t="s">
        <v>0</v>
      </c>
      <c r="C55" s="38">
        <v>3054900</v>
      </c>
      <c r="D55" s="11">
        <v>3325000</v>
      </c>
      <c r="E55" s="11"/>
      <c r="F55" s="11">
        <v>3771900</v>
      </c>
      <c r="G55" s="11"/>
      <c r="H55" s="317">
        <v>2751900</v>
      </c>
      <c r="I55" s="11"/>
      <c r="J55" s="11"/>
      <c r="K55" s="45"/>
      <c r="L55" s="502"/>
      <c r="M55" s="10"/>
      <c r="N55" s="12"/>
      <c r="O55" s="38"/>
      <c r="P55" s="11"/>
      <c r="Q55" s="11"/>
      <c r="R55" s="191"/>
      <c r="S55" s="191"/>
      <c r="T55" s="11"/>
      <c r="U55" s="11"/>
      <c r="V55" s="191"/>
      <c r="W55" s="191"/>
      <c r="X55" s="191"/>
      <c r="Y55" s="191"/>
      <c r="Z55" s="191"/>
      <c r="AA55" s="191"/>
      <c r="AB55" s="191"/>
    </row>
    <row r="56" spans="1:28" x14ac:dyDescent="0.2">
      <c r="A56" s="615"/>
      <c r="B56" s="413" t="s">
        <v>1</v>
      </c>
      <c r="C56" s="38">
        <v>3412500</v>
      </c>
      <c r="D56" s="11">
        <v>3575000</v>
      </c>
      <c r="E56" s="11"/>
      <c r="F56" s="11">
        <v>4062500</v>
      </c>
      <c r="G56" s="11"/>
      <c r="H56" s="11">
        <v>3150000</v>
      </c>
      <c r="I56" s="11"/>
      <c r="J56" s="11"/>
      <c r="K56" s="45"/>
      <c r="L56" s="502"/>
      <c r="M56" s="10"/>
      <c r="N56" s="12"/>
      <c r="O56" s="38"/>
      <c r="P56" s="11"/>
      <c r="Q56" s="11"/>
      <c r="R56" s="191"/>
      <c r="S56" s="191"/>
      <c r="T56" s="11"/>
      <c r="U56" s="11"/>
      <c r="V56" s="191"/>
      <c r="W56" s="191"/>
      <c r="X56" s="191"/>
      <c r="Y56" s="191"/>
      <c r="Z56" s="191"/>
      <c r="AA56" s="191"/>
      <c r="AB56" s="191"/>
    </row>
    <row r="57" spans="1:28" x14ac:dyDescent="0.2">
      <c r="A57" s="615"/>
      <c r="B57" s="413" t="s">
        <v>2</v>
      </c>
      <c r="C57" s="38">
        <v>3150</v>
      </c>
      <c r="D57" s="11">
        <v>3300</v>
      </c>
      <c r="E57" s="11"/>
      <c r="F57" s="11">
        <v>3750</v>
      </c>
      <c r="G57" s="11"/>
      <c r="H57" s="11">
        <v>3150</v>
      </c>
      <c r="I57" s="11"/>
      <c r="J57" s="11"/>
      <c r="K57" s="45"/>
      <c r="L57" s="502"/>
      <c r="M57" s="10"/>
      <c r="N57" s="12"/>
      <c r="O57" s="38"/>
      <c r="P57" s="11"/>
      <c r="Q57" s="11"/>
      <c r="R57" s="191"/>
      <c r="S57" s="191"/>
      <c r="T57" s="11"/>
      <c r="U57" s="11"/>
      <c r="V57" s="191"/>
      <c r="W57" s="191"/>
      <c r="X57" s="191"/>
      <c r="Y57" s="191"/>
      <c r="Z57" s="191"/>
      <c r="AA57" s="191"/>
      <c r="AB57" s="191"/>
    </row>
    <row r="58" spans="1:28" x14ac:dyDescent="0.2">
      <c r="A58" s="615">
        <v>40687</v>
      </c>
      <c r="B58" s="413" t="s">
        <v>0</v>
      </c>
      <c r="C58" s="38">
        <v>3828200</v>
      </c>
      <c r="D58" s="11">
        <v>3986500</v>
      </c>
      <c r="E58" s="11"/>
      <c r="F58" s="11">
        <v>4410100</v>
      </c>
      <c r="G58" s="11"/>
      <c r="H58" s="317">
        <v>3476000</v>
      </c>
      <c r="I58" s="11"/>
      <c r="J58" s="11"/>
      <c r="K58" s="45"/>
      <c r="L58" s="502"/>
      <c r="M58" s="10"/>
      <c r="N58" s="12"/>
      <c r="O58" s="38"/>
      <c r="P58" s="11"/>
      <c r="Q58" s="11"/>
      <c r="R58" s="191"/>
      <c r="S58" s="191"/>
      <c r="T58" s="11"/>
      <c r="U58" s="11"/>
      <c r="V58" s="191"/>
      <c r="W58" s="191"/>
      <c r="X58" s="191"/>
      <c r="Y58" s="191"/>
      <c r="Z58" s="191"/>
      <c r="AA58" s="191"/>
      <c r="AB58" s="191"/>
    </row>
    <row r="59" spans="1:28" x14ac:dyDescent="0.2">
      <c r="A59" s="615"/>
      <c r="B59" s="413" t="s">
        <v>1</v>
      </c>
      <c r="C59" s="38">
        <v>4170833</v>
      </c>
      <c r="D59" s="11">
        <v>4279167</v>
      </c>
      <c r="E59" s="11"/>
      <c r="F59" s="11">
        <v>4712500</v>
      </c>
      <c r="G59" s="11"/>
      <c r="H59" s="11">
        <v>3900000</v>
      </c>
      <c r="I59" s="11"/>
      <c r="J59" s="11"/>
      <c r="K59" s="45"/>
      <c r="L59" s="502"/>
      <c r="M59" s="10"/>
      <c r="N59" s="12"/>
      <c r="O59" s="38"/>
      <c r="P59" s="11"/>
      <c r="Q59" s="11"/>
      <c r="R59" s="191"/>
      <c r="S59" s="191"/>
      <c r="T59" s="11"/>
      <c r="U59" s="11"/>
      <c r="V59" s="191"/>
      <c r="W59" s="191"/>
      <c r="X59" s="191"/>
      <c r="Y59" s="191"/>
      <c r="Z59" s="191"/>
      <c r="AA59" s="191"/>
      <c r="AB59" s="191"/>
    </row>
    <row r="60" spans="1:28" x14ac:dyDescent="0.2">
      <c r="A60" s="615"/>
      <c r="B60" s="413" t="s">
        <v>2</v>
      </c>
      <c r="C60" s="38">
        <v>3850</v>
      </c>
      <c r="D60" s="11">
        <v>3950</v>
      </c>
      <c r="E60" s="11"/>
      <c r="F60" s="11">
        <v>4350</v>
      </c>
      <c r="G60" s="11"/>
      <c r="H60" s="11">
        <v>3900</v>
      </c>
      <c r="I60" s="11"/>
      <c r="J60" s="11"/>
      <c r="K60" s="45"/>
      <c r="L60" s="502"/>
      <c r="M60" s="10"/>
      <c r="N60" s="12"/>
      <c r="O60" s="38"/>
      <c r="P60" s="11"/>
      <c r="Q60" s="11"/>
      <c r="R60" s="191"/>
      <c r="S60" s="191"/>
      <c r="T60" s="11"/>
      <c r="U60" s="11"/>
      <c r="V60" s="191"/>
      <c r="W60" s="191"/>
      <c r="X60" s="191"/>
      <c r="Y60" s="191"/>
      <c r="Z60" s="191"/>
      <c r="AA60" s="191"/>
      <c r="AB60" s="191"/>
    </row>
    <row r="61" spans="1:28" x14ac:dyDescent="0.2">
      <c r="A61" s="615">
        <v>40701</v>
      </c>
      <c r="B61" s="413" t="s">
        <v>0</v>
      </c>
      <c r="C61" s="38">
        <v>5009500</v>
      </c>
      <c r="D61" s="11">
        <v>5216900</v>
      </c>
      <c r="E61" s="11"/>
      <c r="F61" s="11">
        <v>5903600</v>
      </c>
      <c r="G61" s="11"/>
      <c r="H61" s="317">
        <v>4617300</v>
      </c>
      <c r="I61" s="11"/>
      <c r="J61" s="11"/>
      <c r="K61" s="45"/>
      <c r="L61" s="502"/>
      <c r="M61" s="10"/>
      <c r="N61" s="12"/>
      <c r="O61" s="38"/>
      <c r="P61" s="11"/>
      <c r="Q61" s="11"/>
      <c r="R61" s="191"/>
      <c r="S61" s="191"/>
      <c r="T61" s="11"/>
      <c r="U61" s="11"/>
      <c r="V61" s="191"/>
      <c r="W61" s="191"/>
      <c r="X61" s="191"/>
      <c r="Y61" s="191"/>
      <c r="Z61" s="191"/>
      <c r="AA61" s="191"/>
      <c r="AB61" s="191"/>
    </row>
    <row r="62" spans="1:28" x14ac:dyDescent="0.2">
      <c r="A62" s="615"/>
      <c r="B62" s="413" t="s">
        <v>1</v>
      </c>
      <c r="C62" s="38">
        <v>5362500</v>
      </c>
      <c r="D62" s="11">
        <v>5525000</v>
      </c>
      <c r="E62" s="11"/>
      <c r="F62" s="11">
        <v>6283333</v>
      </c>
      <c r="G62" s="11"/>
      <c r="H62" s="11">
        <v>5100000</v>
      </c>
      <c r="I62" s="11"/>
      <c r="J62" s="11"/>
      <c r="K62" s="45"/>
      <c r="L62" s="502"/>
      <c r="M62" s="10"/>
      <c r="N62" s="12"/>
      <c r="O62" s="38"/>
      <c r="P62" s="11"/>
      <c r="Q62" s="11"/>
      <c r="R62" s="191"/>
      <c r="S62" s="191"/>
      <c r="T62" s="11"/>
      <c r="U62" s="11"/>
      <c r="V62" s="191"/>
      <c r="W62" s="191"/>
      <c r="X62" s="191"/>
      <c r="Y62" s="191"/>
      <c r="Z62" s="191"/>
      <c r="AA62" s="191"/>
      <c r="AB62" s="191"/>
    </row>
    <row r="63" spans="1:28" x14ac:dyDescent="0.2">
      <c r="A63" s="615"/>
      <c r="B63" s="413" t="s">
        <v>2</v>
      </c>
      <c r="C63" s="38">
        <v>4950</v>
      </c>
      <c r="D63" s="11">
        <v>5100</v>
      </c>
      <c r="E63" s="11"/>
      <c r="F63" s="11">
        <v>5800</v>
      </c>
      <c r="G63" s="11"/>
      <c r="H63" s="11">
        <v>5100</v>
      </c>
      <c r="I63" s="11"/>
      <c r="J63" s="11"/>
      <c r="K63" s="45"/>
      <c r="L63" s="502"/>
      <c r="M63" s="10"/>
      <c r="N63" s="12"/>
      <c r="O63" s="38"/>
      <c r="P63" s="11"/>
      <c r="Q63" s="11"/>
      <c r="R63" s="191"/>
      <c r="S63" s="191"/>
      <c r="T63" s="11"/>
      <c r="U63" s="11"/>
      <c r="V63" s="191"/>
      <c r="W63" s="191"/>
      <c r="X63" s="191"/>
      <c r="Y63" s="191"/>
      <c r="Z63" s="191"/>
      <c r="AA63" s="191"/>
      <c r="AB63" s="191"/>
    </row>
    <row r="64" spans="1:28" x14ac:dyDescent="0.2">
      <c r="A64" s="615">
        <v>40703</v>
      </c>
      <c r="B64" s="413" t="s">
        <v>0</v>
      </c>
      <c r="C64" s="38">
        <v>3980600</v>
      </c>
      <c r="D64" s="11">
        <v>4224600</v>
      </c>
      <c r="E64" s="11"/>
      <c r="F64" s="11">
        <v>4563800</v>
      </c>
      <c r="G64" s="11"/>
      <c r="H64" s="317">
        <v>3994800</v>
      </c>
      <c r="I64" s="11"/>
      <c r="J64" s="11"/>
      <c r="K64" s="45"/>
      <c r="L64" s="502"/>
      <c r="M64" s="10"/>
      <c r="N64" s="12"/>
      <c r="O64" s="38"/>
      <c r="P64" s="11"/>
      <c r="Q64" s="11"/>
      <c r="R64" s="191"/>
      <c r="S64" s="191"/>
      <c r="T64" s="11"/>
      <c r="U64" s="11"/>
      <c r="V64" s="191"/>
      <c r="W64" s="191"/>
      <c r="X64" s="191"/>
      <c r="Y64" s="191"/>
      <c r="Z64" s="191"/>
      <c r="AA64" s="191"/>
      <c r="AB64" s="191"/>
    </row>
    <row r="65" spans="1:28" x14ac:dyDescent="0.2">
      <c r="A65" s="615"/>
      <c r="B65" s="413" t="s">
        <v>1</v>
      </c>
      <c r="C65" s="38">
        <v>4333333</v>
      </c>
      <c r="D65" s="11">
        <v>4550000</v>
      </c>
      <c r="E65" s="11"/>
      <c r="F65" s="11">
        <v>4875000</v>
      </c>
      <c r="G65" s="11"/>
      <c r="H65" s="11">
        <v>4450000</v>
      </c>
      <c r="I65" s="11"/>
      <c r="J65" s="11"/>
      <c r="K65" s="45"/>
      <c r="L65" s="502"/>
      <c r="M65" s="10"/>
      <c r="N65" s="12"/>
      <c r="O65" s="38"/>
      <c r="P65" s="11"/>
      <c r="Q65" s="11"/>
      <c r="R65" s="191"/>
      <c r="S65" s="191"/>
      <c r="T65" s="11"/>
      <c r="U65" s="11"/>
      <c r="V65" s="191"/>
      <c r="W65" s="191"/>
      <c r="X65" s="191"/>
      <c r="Y65" s="191"/>
      <c r="Z65" s="191"/>
      <c r="AA65" s="191"/>
      <c r="AB65" s="191"/>
    </row>
    <row r="66" spans="1:28" x14ac:dyDescent="0.2">
      <c r="A66" s="615"/>
      <c r="B66" s="413" t="s">
        <v>2</v>
      </c>
      <c r="C66" s="38">
        <v>4100</v>
      </c>
      <c r="D66" s="11">
        <v>4200</v>
      </c>
      <c r="E66" s="11"/>
      <c r="F66" s="11">
        <v>4500</v>
      </c>
      <c r="G66" s="11"/>
      <c r="H66" s="11">
        <v>4450</v>
      </c>
      <c r="I66" s="11"/>
      <c r="J66" s="11"/>
      <c r="K66" s="45"/>
      <c r="L66" s="502"/>
      <c r="M66" s="10"/>
      <c r="N66" s="12"/>
      <c r="O66" s="38"/>
      <c r="P66" s="11"/>
      <c r="Q66" s="11"/>
      <c r="R66" s="191"/>
      <c r="S66" s="191"/>
      <c r="T66" s="11"/>
      <c r="U66" s="11"/>
      <c r="V66" s="191"/>
      <c r="W66" s="191"/>
      <c r="X66" s="191"/>
      <c r="Y66" s="191"/>
      <c r="Z66" s="191"/>
      <c r="AA66" s="191"/>
      <c r="AB66" s="191"/>
    </row>
    <row r="67" spans="1:28" x14ac:dyDescent="0.2">
      <c r="A67" s="615">
        <v>40745</v>
      </c>
      <c r="B67" s="413" t="s">
        <v>0</v>
      </c>
      <c r="C67" s="38">
        <v>4141600</v>
      </c>
      <c r="D67" s="11">
        <v>4395400</v>
      </c>
      <c r="E67" s="11"/>
      <c r="F67" s="11">
        <v>4748200</v>
      </c>
      <c r="G67" s="11"/>
      <c r="H67" s="317">
        <v>4156400</v>
      </c>
      <c r="I67" s="11"/>
      <c r="J67" s="11"/>
      <c r="K67" s="45"/>
      <c r="L67" s="502"/>
      <c r="M67" s="10"/>
      <c r="N67" s="12"/>
      <c r="O67" s="38"/>
      <c r="P67" s="11"/>
      <c r="Q67" s="11"/>
      <c r="R67" s="191"/>
      <c r="S67" s="191"/>
      <c r="T67" s="11"/>
      <c r="U67" s="11"/>
      <c r="V67" s="191"/>
      <c r="W67" s="191"/>
      <c r="X67" s="191"/>
      <c r="Y67" s="191"/>
      <c r="Z67" s="191"/>
      <c r="AA67" s="191"/>
      <c r="AB67" s="191"/>
    </row>
    <row r="68" spans="1:28" x14ac:dyDescent="0.2">
      <c r="A68" s="615"/>
      <c r="B68" s="413" t="s">
        <v>1</v>
      </c>
      <c r="C68" s="38">
        <v>4463333</v>
      </c>
      <c r="D68" s="11">
        <v>4690833</v>
      </c>
      <c r="E68" s="11"/>
      <c r="F68" s="11">
        <v>5037500</v>
      </c>
      <c r="G68" s="11"/>
      <c r="H68" s="11">
        <v>4580000</v>
      </c>
      <c r="I68" s="11"/>
      <c r="J68" s="11"/>
      <c r="K68" s="45"/>
      <c r="L68" s="502"/>
      <c r="M68" s="10"/>
      <c r="N68" s="12"/>
      <c r="O68" s="38"/>
      <c r="P68" s="11"/>
      <c r="Q68" s="11"/>
      <c r="R68" s="191"/>
      <c r="S68" s="191"/>
      <c r="T68" s="11"/>
      <c r="U68" s="11"/>
      <c r="V68" s="191"/>
      <c r="W68" s="191"/>
      <c r="X68" s="191"/>
      <c r="Y68" s="191"/>
      <c r="Z68" s="191"/>
      <c r="AA68" s="191"/>
      <c r="AB68" s="191"/>
    </row>
    <row r="69" spans="1:28" x14ac:dyDescent="0.2">
      <c r="A69" s="615"/>
      <c r="B69" s="413" t="s">
        <v>2</v>
      </c>
      <c r="C69" s="38">
        <v>4120</v>
      </c>
      <c r="D69" s="11">
        <v>4330</v>
      </c>
      <c r="E69" s="11"/>
      <c r="F69" s="11">
        <v>4650</v>
      </c>
      <c r="G69" s="11"/>
      <c r="H69" s="11">
        <v>4580</v>
      </c>
      <c r="I69" s="11"/>
      <c r="J69" s="11"/>
      <c r="K69" s="45"/>
      <c r="L69" s="502"/>
      <c r="M69" s="10"/>
      <c r="N69" s="12"/>
      <c r="O69" s="38"/>
      <c r="P69" s="11"/>
      <c r="Q69" s="11"/>
      <c r="R69" s="191"/>
      <c r="S69" s="191"/>
      <c r="T69" s="11"/>
      <c r="U69" s="11"/>
      <c r="V69" s="191"/>
      <c r="W69" s="191"/>
      <c r="X69" s="191"/>
      <c r="Y69" s="191"/>
      <c r="Z69" s="191"/>
      <c r="AA69" s="191"/>
      <c r="AB69" s="191"/>
    </row>
    <row r="70" spans="1:28" x14ac:dyDescent="0.2">
      <c r="A70" s="615">
        <v>40775</v>
      </c>
      <c r="B70" s="413" t="s">
        <v>0</v>
      </c>
      <c r="C70" s="38">
        <v>4265200</v>
      </c>
      <c r="D70" s="11">
        <v>4526700</v>
      </c>
      <c r="E70" s="11"/>
      <c r="F70" s="11">
        <v>4890000</v>
      </c>
      <c r="G70" s="11"/>
      <c r="H70" s="317">
        <v>4280500</v>
      </c>
      <c r="I70" s="11"/>
      <c r="J70" s="11"/>
      <c r="K70" s="45"/>
      <c r="L70" s="502"/>
      <c r="M70" s="10"/>
      <c r="N70" s="12"/>
      <c r="O70" s="38"/>
      <c r="P70" s="11"/>
      <c r="Q70" s="11"/>
      <c r="R70" s="191"/>
      <c r="S70" s="191"/>
      <c r="T70" s="11"/>
      <c r="U70" s="11"/>
      <c r="V70" s="191"/>
      <c r="W70" s="191"/>
      <c r="X70" s="191"/>
      <c r="Y70" s="191"/>
      <c r="Z70" s="191"/>
      <c r="AA70" s="191"/>
      <c r="AB70" s="191"/>
    </row>
    <row r="71" spans="1:28" x14ac:dyDescent="0.2">
      <c r="A71" s="615"/>
      <c r="B71" s="413" t="s">
        <v>1</v>
      </c>
      <c r="C71" s="38">
        <v>4593333</v>
      </c>
      <c r="D71" s="11">
        <v>4831667</v>
      </c>
      <c r="E71" s="11"/>
      <c r="F71" s="11">
        <v>5200000</v>
      </c>
      <c r="G71" s="11"/>
      <c r="H71" s="11">
        <v>4720000</v>
      </c>
      <c r="I71" s="11"/>
      <c r="J71" s="11"/>
      <c r="K71" s="45"/>
      <c r="L71" s="502"/>
      <c r="M71" s="10"/>
      <c r="N71" s="12"/>
      <c r="O71" s="38"/>
      <c r="P71" s="11"/>
      <c r="Q71" s="11"/>
      <c r="R71" s="191"/>
      <c r="S71" s="191"/>
      <c r="T71" s="11"/>
      <c r="U71" s="11"/>
      <c r="V71" s="191"/>
      <c r="W71" s="191"/>
      <c r="X71" s="191"/>
      <c r="Y71" s="191"/>
      <c r="Z71" s="191"/>
      <c r="AA71" s="191"/>
      <c r="AB71" s="191"/>
    </row>
    <row r="72" spans="1:28" x14ac:dyDescent="0.2">
      <c r="A72" s="615"/>
      <c r="B72" s="413" t="s">
        <v>2</v>
      </c>
      <c r="C72" s="38">
        <v>4240</v>
      </c>
      <c r="D72" s="11">
        <v>4460</v>
      </c>
      <c r="E72" s="11"/>
      <c r="F72" s="11">
        <v>4800</v>
      </c>
      <c r="G72" s="11"/>
      <c r="H72" s="11">
        <v>4720</v>
      </c>
      <c r="I72" s="11"/>
      <c r="J72" s="11"/>
      <c r="K72" s="45"/>
      <c r="L72" s="502"/>
      <c r="M72" s="10"/>
      <c r="N72" s="12"/>
      <c r="O72" s="38"/>
      <c r="P72" s="11"/>
      <c r="Q72" s="11"/>
      <c r="R72" s="191"/>
      <c r="S72" s="191"/>
      <c r="T72" s="11"/>
      <c r="U72" s="11"/>
      <c r="V72" s="191"/>
      <c r="W72" s="191"/>
      <c r="X72" s="191"/>
      <c r="Y72" s="191"/>
      <c r="Z72" s="191"/>
      <c r="AA72" s="191"/>
      <c r="AB72" s="191"/>
    </row>
    <row r="73" spans="1:28" x14ac:dyDescent="0.2">
      <c r="A73" s="615">
        <v>40800</v>
      </c>
      <c r="B73" s="413" t="s">
        <v>0</v>
      </c>
      <c r="C73" s="38">
        <v>4456200</v>
      </c>
      <c r="D73" s="11">
        <v>4684400</v>
      </c>
      <c r="E73" s="11"/>
      <c r="F73" s="11">
        <v>5084800</v>
      </c>
      <c r="G73" s="11"/>
      <c r="H73" s="317">
        <v>4450900</v>
      </c>
      <c r="I73" s="11"/>
      <c r="J73" s="11"/>
      <c r="K73" s="45"/>
      <c r="L73" s="502"/>
      <c r="M73" s="10"/>
      <c r="N73" s="12"/>
      <c r="O73" s="38"/>
      <c r="P73" s="11"/>
      <c r="Q73" s="11"/>
      <c r="R73" s="191"/>
      <c r="S73" s="191"/>
      <c r="T73" s="11"/>
      <c r="U73" s="11"/>
      <c r="V73" s="191"/>
      <c r="W73" s="191"/>
      <c r="X73" s="191"/>
      <c r="Y73" s="191"/>
      <c r="Z73" s="191"/>
      <c r="AA73" s="191"/>
      <c r="AB73" s="191"/>
    </row>
    <row r="74" spans="1:28" x14ac:dyDescent="0.2">
      <c r="A74" s="615"/>
      <c r="B74" s="413" t="s">
        <v>1</v>
      </c>
      <c r="C74" s="38">
        <v>4745000</v>
      </c>
      <c r="D74" s="11">
        <v>4972500</v>
      </c>
      <c r="E74" s="11"/>
      <c r="F74" s="11">
        <v>5362500</v>
      </c>
      <c r="G74" s="11"/>
      <c r="H74" s="11">
        <v>4860000</v>
      </c>
      <c r="I74" s="11"/>
      <c r="J74" s="11"/>
      <c r="K74" s="45"/>
      <c r="L74" s="502"/>
      <c r="M74" s="10"/>
      <c r="N74" s="12"/>
      <c r="O74" s="38"/>
      <c r="P74" s="11"/>
      <c r="Q74" s="11"/>
      <c r="R74" s="191"/>
      <c r="S74" s="191"/>
      <c r="T74" s="11"/>
      <c r="U74" s="11"/>
      <c r="V74" s="191"/>
      <c r="W74" s="191"/>
      <c r="X74" s="191"/>
      <c r="Y74" s="191"/>
      <c r="Z74" s="191"/>
      <c r="AA74" s="191"/>
      <c r="AB74" s="191"/>
    </row>
    <row r="75" spans="1:28" x14ac:dyDescent="0.2">
      <c r="A75" s="615"/>
      <c r="B75" s="413" t="s">
        <v>2</v>
      </c>
      <c r="C75" s="38">
        <v>4380</v>
      </c>
      <c r="D75" s="11">
        <v>4590</v>
      </c>
      <c r="E75" s="11"/>
      <c r="F75" s="11">
        <v>4950</v>
      </c>
      <c r="G75" s="11"/>
      <c r="H75" s="11">
        <v>4860</v>
      </c>
      <c r="I75" s="11"/>
      <c r="J75" s="11"/>
      <c r="K75" s="45"/>
      <c r="L75" s="502"/>
      <c r="M75" s="10"/>
      <c r="N75" s="12"/>
      <c r="O75" s="38"/>
      <c r="P75" s="11"/>
      <c r="Q75" s="11"/>
      <c r="R75" s="191"/>
      <c r="S75" s="191"/>
      <c r="T75" s="11"/>
      <c r="U75" s="11"/>
      <c r="V75" s="191"/>
      <c r="W75" s="191"/>
      <c r="X75" s="191"/>
      <c r="Y75" s="191"/>
      <c r="Z75" s="191"/>
      <c r="AA75" s="191"/>
      <c r="AB75" s="191"/>
    </row>
    <row r="76" spans="1:28" x14ac:dyDescent="0.2">
      <c r="A76" s="615">
        <v>40817</v>
      </c>
      <c r="B76" s="413" t="s">
        <v>0</v>
      </c>
      <c r="C76" s="38">
        <v>4691300</v>
      </c>
      <c r="D76" s="11">
        <v>4931600</v>
      </c>
      <c r="E76" s="11"/>
      <c r="F76" s="11">
        <v>5327600</v>
      </c>
      <c r="G76" s="11"/>
      <c r="H76" s="317">
        <v>4681300</v>
      </c>
      <c r="I76" s="11"/>
      <c r="J76" s="11"/>
      <c r="K76" s="45"/>
      <c r="L76" s="502"/>
      <c r="M76" s="10"/>
      <c r="N76" s="12"/>
      <c r="O76" s="38"/>
      <c r="P76" s="11"/>
      <c r="Q76" s="11"/>
      <c r="R76" s="191">
        <v>5240700</v>
      </c>
      <c r="S76" s="191"/>
      <c r="T76" s="11"/>
      <c r="U76" s="11"/>
      <c r="V76" s="191"/>
      <c r="W76" s="191"/>
      <c r="X76" s="191"/>
      <c r="Y76" s="191"/>
      <c r="Z76" s="191"/>
      <c r="AA76" s="191"/>
      <c r="AB76" s="191"/>
    </row>
    <row r="77" spans="1:28" x14ac:dyDescent="0.2">
      <c r="A77" s="615"/>
      <c r="B77" s="413" t="s">
        <v>1</v>
      </c>
      <c r="C77" s="38">
        <v>4983333</v>
      </c>
      <c r="D77" s="11">
        <v>5221667</v>
      </c>
      <c r="E77" s="11"/>
      <c r="F77" s="11">
        <v>5633333</v>
      </c>
      <c r="G77" s="11"/>
      <c r="H77" s="11">
        <v>5100000</v>
      </c>
      <c r="I77" s="11"/>
      <c r="J77" s="11"/>
      <c r="K77" s="45"/>
      <c r="L77" s="502"/>
      <c r="M77" s="10"/>
      <c r="N77" s="12"/>
      <c r="O77" s="38"/>
      <c r="P77" s="11"/>
      <c r="Q77" s="11"/>
      <c r="R77" s="191">
        <v>5700000</v>
      </c>
      <c r="S77" s="191"/>
      <c r="T77" s="11"/>
      <c r="U77" s="11"/>
      <c r="V77" s="191"/>
      <c r="W77" s="191"/>
      <c r="X77" s="191"/>
      <c r="Y77" s="191"/>
      <c r="Z77" s="191"/>
      <c r="AA77" s="191"/>
      <c r="AB77" s="191"/>
    </row>
    <row r="78" spans="1:28" x14ac:dyDescent="0.2">
      <c r="A78" s="615"/>
      <c r="B78" s="413" t="s">
        <v>2</v>
      </c>
      <c r="C78" s="38">
        <v>4600</v>
      </c>
      <c r="D78" s="11">
        <v>4820</v>
      </c>
      <c r="E78" s="11"/>
      <c r="F78" s="11">
        <v>5200</v>
      </c>
      <c r="G78" s="11"/>
      <c r="H78" s="11">
        <v>5100</v>
      </c>
      <c r="I78" s="11"/>
      <c r="J78" s="11"/>
      <c r="K78" s="45"/>
      <c r="L78" s="502"/>
      <c r="M78" s="10"/>
      <c r="N78" s="12"/>
      <c r="O78" s="38"/>
      <c r="P78" s="11"/>
      <c r="Q78" s="11"/>
      <c r="R78" s="191">
        <v>5700</v>
      </c>
      <c r="S78" s="191"/>
      <c r="T78" s="11"/>
      <c r="U78" s="11"/>
      <c r="V78" s="191"/>
      <c r="W78" s="191"/>
      <c r="X78" s="191"/>
      <c r="Y78" s="191"/>
      <c r="Z78" s="191"/>
      <c r="AA78" s="191"/>
      <c r="AB78" s="191"/>
    </row>
    <row r="79" spans="1:28" x14ac:dyDescent="0.2">
      <c r="A79" s="615">
        <v>40832</v>
      </c>
      <c r="B79" s="413" t="s">
        <v>0</v>
      </c>
      <c r="C79" s="38">
        <v>4843000</v>
      </c>
      <c r="D79" s="11">
        <v>5094100</v>
      </c>
      <c r="E79" s="11"/>
      <c r="F79" s="11">
        <v>5497400</v>
      </c>
      <c r="G79" s="11"/>
      <c r="H79" s="319">
        <v>4893500</v>
      </c>
      <c r="I79" s="11"/>
      <c r="J79" s="11"/>
      <c r="K79" s="45"/>
      <c r="L79" s="502"/>
      <c r="M79" s="10"/>
      <c r="N79" s="12"/>
      <c r="O79" s="38"/>
      <c r="P79" s="11"/>
      <c r="Q79" s="11"/>
      <c r="R79" s="191">
        <v>5527800</v>
      </c>
      <c r="S79" s="191"/>
      <c r="T79" s="11"/>
      <c r="U79" s="11"/>
      <c r="V79" s="191"/>
      <c r="W79" s="191"/>
      <c r="X79" s="191"/>
      <c r="Y79" s="191"/>
      <c r="Z79" s="191"/>
      <c r="AA79" s="191"/>
      <c r="AB79" s="191"/>
    </row>
    <row r="80" spans="1:28" x14ac:dyDescent="0.2">
      <c r="A80" s="615"/>
      <c r="B80" s="413" t="s">
        <v>1</v>
      </c>
      <c r="C80" s="38">
        <v>5135000</v>
      </c>
      <c r="D80" s="11">
        <v>5384167</v>
      </c>
      <c r="E80" s="11"/>
      <c r="F80" s="11">
        <v>5806667</v>
      </c>
      <c r="G80" s="11"/>
      <c r="H80" s="11">
        <v>5360000</v>
      </c>
      <c r="I80" s="11"/>
      <c r="J80" s="11"/>
      <c r="K80" s="45"/>
      <c r="L80" s="502"/>
      <c r="M80" s="10"/>
      <c r="N80" s="12"/>
      <c r="O80" s="38"/>
      <c r="P80" s="11"/>
      <c r="Q80" s="11"/>
      <c r="R80" s="191">
        <v>5999000</v>
      </c>
      <c r="S80" s="191"/>
      <c r="T80" s="11"/>
      <c r="U80" s="11"/>
      <c r="V80" s="191"/>
      <c r="W80" s="191"/>
      <c r="X80" s="191"/>
      <c r="Y80" s="191"/>
      <c r="Z80" s="191"/>
      <c r="AA80" s="191"/>
      <c r="AB80" s="191"/>
    </row>
    <row r="81" spans="1:28" x14ac:dyDescent="0.2">
      <c r="A81" s="615"/>
      <c r="B81" s="413" t="s">
        <v>2</v>
      </c>
      <c r="C81" s="38">
        <v>4740</v>
      </c>
      <c r="D81" s="11">
        <v>4970</v>
      </c>
      <c r="E81" s="11"/>
      <c r="F81" s="11">
        <v>5360</v>
      </c>
      <c r="G81" s="11"/>
      <c r="H81" s="11">
        <v>5360</v>
      </c>
      <c r="I81" s="11"/>
      <c r="J81" s="11"/>
      <c r="K81" s="45"/>
      <c r="L81" s="502"/>
      <c r="M81" s="10"/>
      <c r="N81" s="12"/>
      <c r="O81" s="38"/>
      <c r="P81" s="11"/>
      <c r="Q81" s="11"/>
      <c r="R81" s="191">
        <v>5990</v>
      </c>
      <c r="S81" s="191"/>
      <c r="T81" s="11"/>
      <c r="U81" s="11"/>
      <c r="V81" s="191"/>
      <c r="W81" s="191"/>
      <c r="X81" s="191"/>
      <c r="Y81" s="191"/>
      <c r="Z81" s="191"/>
      <c r="AA81" s="191"/>
      <c r="AB81" s="191"/>
    </row>
    <row r="82" spans="1:28" x14ac:dyDescent="0.2">
      <c r="A82" s="615">
        <v>40857</v>
      </c>
      <c r="B82" s="414" t="s">
        <v>13</v>
      </c>
      <c r="C82" s="38">
        <v>5005800</v>
      </c>
      <c r="D82" s="11">
        <v>5277900</v>
      </c>
      <c r="E82" s="11"/>
      <c r="F82" s="11">
        <v>5691600</v>
      </c>
      <c r="G82" s="11"/>
      <c r="H82" s="320">
        <v>5331200</v>
      </c>
      <c r="I82" s="11"/>
      <c r="J82" s="11"/>
      <c r="K82" s="45"/>
      <c r="L82" s="502"/>
      <c r="M82" s="10"/>
      <c r="N82" s="12"/>
      <c r="O82" s="38"/>
      <c r="P82" s="11"/>
      <c r="Q82" s="11"/>
      <c r="R82" s="191">
        <v>5983800</v>
      </c>
      <c r="S82" s="191"/>
      <c r="T82" s="11"/>
      <c r="U82" s="11"/>
      <c r="V82" s="191"/>
      <c r="W82" s="191"/>
      <c r="X82" s="191"/>
      <c r="Y82" s="191"/>
      <c r="Z82" s="191"/>
      <c r="AA82" s="191"/>
      <c r="AB82" s="191"/>
    </row>
    <row r="83" spans="1:28" x14ac:dyDescent="0.2">
      <c r="A83" s="615"/>
      <c r="B83" s="414" t="s">
        <v>12</v>
      </c>
      <c r="C83" s="38">
        <v>5308333</v>
      </c>
      <c r="D83" s="11">
        <v>5579167</v>
      </c>
      <c r="E83" s="11"/>
      <c r="F83" s="11">
        <v>6012500</v>
      </c>
      <c r="G83" s="11"/>
      <c r="H83" s="11">
        <v>5750000</v>
      </c>
      <c r="I83" s="11"/>
      <c r="J83" s="11"/>
      <c r="K83" s="45"/>
      <c r="L83" s="502"/>
      <c r="M83" s="10"/>
      <c r="N83" s="12"/>
      <c r="O83" s="38"/>
      <c r="P83" s="11"/>
      <c r="Q83" s="11"/>
      <c r="R83" s="191">
        <v>6450000</v>
      </c>
      <c r="S83" s="191"/>
      <c r="T83" s="11"/>
      <c r="U83" s="11"/>
      <c r="V83" s="191"/>
      <c r="W83" s="191"/>
      <c r="X83" s="191"/>
      <c r="Y83" s="191"/>
      <c r="Z83" s="191"/>
      <c r="AA83" s="191"/>
      <c r="AB83" s="191"/>
    </row>
    <row r="84" spans="1:28" x14ac:dyDescent="0.2">
      <c r="A84" s="615"/>
      <c r="B84" s="414" t="s">
        <v>11</v>
      </c>
      <c r="C84" s="38">
        <v>4900</v>
      </c>
      <c r="D84" s="11">
        <v>5150</v>
      </c>
      <c r="E84" s="11"/>
      <c r="F84" s="11">
        <v>5550</v>
      </c>
      <c r="G84" s="11"/>
      <c r="H84" s="11">
        <v>5750</v>
      </c>
      <c r="I84" s="11"/>
      <c r="J84" s="11"/>
      <c r="K84" s="45"/>
      <c r="L84" s="502"/>
      <c r="M84" s="10"/>
      <c r="N84" s="12"/>
      <c r="O84" s="38"/>
      <c r="P84" s="11"/>
      <c r="Q84" s="11"/>
      <c r="R84" s="191">
        <v>6450</v>
      </c>
      <c r="S84" s="191"/>
      <c r="T84" s="11"/>
      <c r="U84" s="11"/>
      <c r="V84" s="191"/>
      <c r="W84" s="191"/>
      <c r="X84" s="191"/>
      <c r="Y84" s="191"/>
      <c r="Z84" s="191"/>
      <c r="AA84" s="191"/>
      <c r="AB84" s="191"/>
    </row>
    <row r="85" spans="1:28" x14ac:dyDescent="0.2">
      <c r="A85" s="615"/>
      <c r="B85" s="415" t="s">
        <v>15</v>
      </c>
      <c r="C85" s="400">
        <f>(C83-C82)/C83</f>
        <v>5.6992091490869166E-2</v>
      </c>
      <c r="D85" s="24">
        <f>(D83-D82)/D83</f>
        <v>5.3998562867897663E-2</v>
      </c>
      <c r="E85" s="24"/>
      <c r="F85" s="24">
        <f>(F83-F82)/F83</f>
        <v>5.3372141372141371E-2</v>
      </c>
      <c r="G85" s="24"/>
      <c r="H85" s="24">
        <f>(H83-H82)/H83</f>
        <v>7.283478260869565E-2</v>
      </c>
      <c r="I85" s="24"/>
      <c r="J85" s="24"/>
      <c r="K85" s="59"/>
      <c r="L85" s="194"/>
      <c r="M85" s="27"/>
      <c r="N85" s="47"/>
      <c r="O85" s="400"/>
      <c r="P85" s="24"/>
      <c r="Q85" s="24"/>
      <c r="R85" s="322">
        <f>(R83-R82)/R83</f>
        <v>7.2279069767441861E-2</v>
      </c>
      <c r="S85" s="322"/>
      <c r="T85" s="24"/>
      <c r="U85" s="24"/>
      <c r="V85" s="322"/>
      <c r="W85" s="322"/>
      <c r="X85" s="322"/>
      <c r="Y85" s="322"/>
      <c r="Z85" s="322"/>
      <c r="AA85" s="322"/>
      <c r="AB85" s="322"/>
    </row>
    <row r="86" spans="1:28" x14ac:dyDescent="0.2">
      <c r="A86" s="615"/>
      <c r="B86" s="415" t="s">
        <v>10</v>
      </c>
      <c r="C86" s="400">
        <f>C84/C81-1</f>
        <v>3.3755274261603407E-2</v>
      </c>
      <c r="D86" s="24">
        <f>D84/D81-1</f>
        <v>3.6217303822937641E-2</v>
      </c>
      <c r="E86" s="24"/>
      <c r="F86" s="24">
        <f>F84/F81-1</f>
        <v>3.5447761194029814E-2</v>
      </c>
      <c r="G86" s="24"/>
      <c r="H86" s="24">
        <f>H84/H81-1</f>
        <v>7.2761194029850706E-2</v>
      </c>
      <c r="I86" s="24"/>
      <c r="J86" s="24"/>
      <c r="K86" s="59"/>
      <c r="L86" s="194"/>
      <c r="M86" s="27"/>
      <c r="N86" s="47"/>
      <c r="O86" s="400"/>
      <c r="P86" s="24"/>
      <c r="Q86" s="24"/>
      <c r="R86" s="322">
        <f>R84/R81-1</f>
        <v>7.6794657762938145E-2</v>
      </c>
      <c r="S86" s="322"/>
      <c r="T86" s="24"/>
      <c r="U86" s="24"/>
      <c r="V86" s="322"/>
      <c r="W86" s="322"/>
      <c r="X86" s="322"/>
      <c r="Y86" s="322"/>
      <c r="Z86" s="322"/>
      <c r="AA86" s="322"/>
      <c r="AB86" s="322"/>
    </row>
    <row r="87" spans="1:28" x14ac:dyDescent="0.2">
      <c r="A87" s="615">
        <v>40880</v>
      </c>
      <c r="B87" s="414" t="s">
        <v>13</v>
      </c>
      <c r="C87" s="38">
        <v>5520800</v>
      </c>
      <c r="D87" s="11">
        <v>5849800</v>
      </c>
      <c r="E87" s="11"/>
      <c r="F87" s="11">
        <v>6262800</v>
      </c>
      <c r="G87" s="11"/>
      <c r="H87" s="320">
        <v>5852000</v>
      </c>
      <c r="I87" s="11"/>
      <c r="J87" s="11"/>
      <c r="K87" s="45"/>
      <c r="L87" s="502"/>
      <c r="M87" s="10"/>
      <c r="N87" s="12"/>
      <c r="O87" s="38"/>
      <c r="P87" s="11"/>
      <c r="Q87" s="11"/>
      <c r="R87" s="191">
        <v>6602100</v>
      </c>
      <c r="S87" s="191"/>
      <c r="T87" s="11"/>
      <c r="U87" s="11"/>
      <c r="V87" s="191"/>
      <c r="W87" s="191"/>
      <c r="X87" s="191"/>
      <c r="Y87" s="191"/>
      <c r="Z87" s="191"/>
      <c r="AA87" s="191"/>
      <c r="AB87" s="191"/>
    </row>
    <row r="88" spans="1:28" x14ac:dyDescent="0.2">
      <c r="A88" s="615"/>
      <c r="B88" s="414" t="s">
        <v>12</v>
      </c>
      <c r="C88" s="38">
        <v>5850000</v>
      </c>
      <c r="D88" s="11">
        <v>6175000</v>
      </c>
      <c r="E88" s="11"/>
      <c r="F88" s="11">
        <v>6608333</v>
      </c>
      <c r="G88" s="11"/>
      <c r="H88" s="11">
        <v>6300000</v>
      </c>
      <c r="I88" s="11"/>
      <c r="J88" s="11"/>
      <c r="K88" s="45"/>
      <c r="L88" s="502"/>
      <c r="M88" s="10"/>
      <c r="N88" s="12"/>
      <c r="O88" s="38"/>
      <c r="P88" s="11"/>
      <c r="Q88" s="11"/>
      <c r="R88" s="191">
        <v>7100000</v>
      </c>
      <c r="S88" s="191"/>
      <c r="T88" s="11"/>
      <c r="U88" s="11"/>
      <c r="V88" s="191"/>
      <c r="W88" s="191"/>
      <c r="X88" s="191"/>
      <c r="Y88" s="191"/>
      <c r="Z88" s="191"/>
      <c r="AA88" s="191"/>
      <c r="AB88" s="191"/>
    </row>
    <row r="89" spans="1:28" x14ac:dyDescent="0.2">
      <c r="A89" s="615"/>
      <c r="B89" s="414" t="s">
        <v>11</v>
      </c>
      <c r="C89" s="38">
        <v>5400</v>
      </c>
      <c r="D89" s="11">
        <v>5700</v>
      </c>
      <c r="E89" s="11"/>
      <c r="F89" s="11">
        <v>6100</v>
      </c>
      <c r="G89" s="11"/>
      <c r="H89" s="11">
        <v>6300</v>
      </c>
      <c r="I89" s="11"/>
      <c r="J89" s="11"/>
      <c r="K89" s="45"/>
      <c r="L89" s="502"/>
      <c r="M89" s="10"/>
      <c r="N89" s="12"/>
      <c r="O89" s="38"/>
      <c r="P89" s="11"/>
      <c r="Q89" s="11"/>
      <c r="R89" s="191">
        <v>7100</v>
      </c>
      <c r="S89" s="191"/>
      <c r="T89" s="11"/>
      <c r="U89" s="11"/>
      <c r="V89" s="191"/>
      <c r="W89" s="191"/>
      <c r="X89" s="191"/>
      <c r="Y89" s="191"/>
      <c r="Z89" s="191"/>
      <c r="AA89" s="191"/>
      <c r="AB89" s="191"/>
    </row>
    <row r="90" spans="1:28" x14ac:dyDescent="0.2">
      <c r="A90" s="615"/>
      <c r="B90" s="415" t="s">
        <v>15</v>
      </c>
      <c r="C90" s="400">
        <f>(C88-C87)/C88</f>
        <v>5.6273504273504277E-2</v>
      </c>
      <c r="D90" s="24">
        <f>(D88-D87)/D88</f>
        <v>5.2663967611336029E-2</v>
      </c>
      <c r="E90" s="24"/>
      <c r="F90" s="24">
        <f>(F88-F87)/F88</f>
        <v>5.2287467959014775E-2</v>
      </c>
      <c r="G90" s="24"/>
      <c r="H90" s="24">
        <f>(H88-H87)/H88</f>
        <v>7.1111111111111111E-2</v>
      </c>
      <c r="I90" s="24"/>
      <c r="J90" s="24"/>
      <c r="K90" s="59"/>
      <c r="L90" s="194"/>
      <c r="M90" s="27"/>
      <c r="N90" s="47"/>
      <c r="O90" s="400"/>
      <c r="P90" s="24"/>
      <c r="Q90" s="24"/>
      <c r="R90" s="322">
        <f>(R88-R87)/R88</f>
        <v>7.0126760563380283E-2</v>
      </c>
      <c r="S90" s="322"/>
      <c r="T90" s="24"/>
      <c r="U90" s="24"/>
      <c r="V90" s="322"/>
      <c r="W90" s="322"/>
      <c r="X90" s="322"/>
      <c r="Y90" s="322"/>
      <c r="Z90" s="322"/>
      <c r="AA90" s="322"/>
      <c r="AB90" s="322"/>
    </row>
    <row r="91" spans="1:28" x14ac:dyDescent="0.2">
      <c r="A91" s="615"/>
      <c r="B91" s="415" t="s">
        <v>10</v>
      </c>
      <c r="C91" s="400">
        <f>C89/C84-1</f>
        <v>0.1020408163265305</v>
      </c>
      <c r="D91" s="24">
        <f>D89/D84-1</f>
        <v>0.10679611650485432</v>
      </c>
      <c r="E91" s="24"/>
      <c r="F91" s="24">
        <f>F89/F84-1</f>
        <v>9.9099099099099197E-2</v>
      </c>
      <c r="G91" s="24"/>
      <c r="H91" s="24">
        <f>H89/H84-1</f>
        <v>9.565217391304337E-2</v>
      </c>
      <c r="I91" s="24"/>
      <c r="J91" s="24"/>
      <c r="K91" s="59"/>
      <c r="L91" s="194"/>
      <c r="M91" s="27"/>
      <c r="N91" s="47"/>
      <c r="O91" s="400"/>
      <c r="P91" s="24"/>
      <c r="Q91" s="24"/>
      <c r="R91" s="322">
        <f>R89/R84-1</f>
        <v>0.10077519379844957</v>
      </c>
      <c r="S91" s="322"/>
      <c r="T91" s="24"/>
      <c r="U91" s="24"/>
      <c r="V91" s="322"/>
      <c r="W91" s="322"/>
      <c r="X91" s="322"/>
      <c r="Y91" s="322"/>
      <c r="Z91" s="322"/>
      <c r="AA91" s="322"/>
      <c r="AB91" s="322"/>
    </row>
    <row r="92" spans="1:28" x14ac:dyDescent="0.2">
      <c r="A92" s="615">
        <v>40982</v>
      </c>
      <c r="B92" s="414" t="s">
        <v>13</v>
      </c>
      <c r="C92" s="38">
        <v>5740700</v>
      </c>
      <c r="D92" s="11">
        <v>6082800</v>
      </c>
      <c r="E92" s="11"/>
      <c r="F92" s="11">
        <v>6512400</v>
      </c>
      <c r="G92" s="11"/>
      <c r="H92" s="320">
        <v>6085100</v>
      </c>
      <c r="I92" s="11"/>
      <c r="J92" s="11"/>
      <c r="K92" s="45"/>
      <c r="L92" s="502"/>
      <c r="M92" s="10"/>
      <c r="N92" s="12"/>
      <c r="O92" s="38"/>
      <c r="P92" s="11"/>
      <c r="Q92" s="11"/>
      <c r="R92" s="191">
        <v>6746200</v>
      </c>
      <c r="S92" s="191"/>
      <c r="T92" s="11"/>
      <c r="U92" s="11"/>
      <c r="V92" s="191"/>
      <c r="W92" s="191"/>
      <c r="X92" s="191"/>
      <c r="Y92" s="191"/>
      <c r="Z92" s="191"/>
      <c r="AA92" s="191"/>
      <c r="AB92" s="191"/>
    </row>
    <row r="93" spans="1:28" x14ac:dyDescent="0.2">
      <c r="A93" s="615"/>
      <c r="B93" s="414" t="s">
        <v>12</v>
      </c>
      <c r="C93" s="38">
        <v>6175000</v>
      </c>
      <c r="D93" s="11">
        <v>6500000</v>
      </c>
      <c r="E93" s="11"/>
      <c r="F93" s="11">
        <v>6987500</v>
      </c>
      <c r="G93" s="11"/>
      <c r="H93" s="11">
        <v>6600000</v>
      </c>
      <c r="I93" s="11"/>
      <c r="J93" s="11"/>
      <c r="K93" s="45"/>
      <c r="L93" s="502"/>
      <c r="M93" s="10"/>
      <c r="N93" s="12"/>
      <c r="O93" s="38"/>
      <c r="P93" s="11"/>
      <c r="Q93" s="11"/>
      <c r="R93" s="191">
        <v>7450000</v>
      </c>
      <c r="S93" s="191"/>
      <c r="T93" s="11"/>
      <c r="U93" s="11"/>
      <c r="V93" s="191"/>
      <c r="W93" s="191"/>
      <c r="X93" s="191"/>
      <c r="Y93" s="191"/>
      <c r="Z93" s="191"/>
      <c r="AA93" s="191"/>
      <c r="AB93" s="191"/>
    </row>
    <row r="94" spans="1:28" x14ac:dyDescent="0.2">
      <c r="A94" s="615"/>
      <c r="B94" s="414" t="s">
        <v>11</v>
      </c>
      <c r="C94" s="38">
        <v>5700</v>
      </c>
      <c r="D94" s="11">
        <v>6000</v>
      </c>
      <c r="E94" s="11"/>
      <c r="F94" s="11">
        <v>6450</v>
      </c>
      <c r="G94" s="11"/>
      <c r="H94" s="11">
        <v>6600</v>
      </c>
      <c r="I94" s="11"/>
      <c r="J94" s="11"/>
      <c r="K94" s="45"/>
      <c r="L94" s="502"/>
      <c r="M94" s="10"/>
      <c r="N94" s="12"/>
      <c r="O94" s="38"/>
      <c r="P94" s="11"/>
      <c r="Q94" s="11"/>
      <c r="R94" s="191">
        <v>7450</v>
      </c>
      <c r="S94" s="191"/>
      <c r="T94" s="11"/>
      <c r="U94" s="11"/>
      <c r="V94" s="191"/>
      <c r="W94" s="191"/>
      <c r="X94" s="191"/>
      <c r="Y94" s="191"/>
      <c r="Z94" s="191"/>
      <c r="AA94" s="191"/>
      <c r="AB94" s="191"/>
    </row>
    <row r="95" spans="1:28" x14ac:dyDescent="0.2">
      <c r="A95" s="615"/>
      <c r="B95" s="415" t="s">
        <v>15</v>
      </c>
      <c r="C95" s="400">
        <f>(C93-C92)/C93</f>
        <v>7.0331983805668019E-2</v>
      </c>
      <c r="D95" s="24">
        <f>(D93-D92)/D93</f>
        <v>6.4184615384615382E-2</v>
      </c>
      <c r="E95" s="24"/>
      <c r="F95" s="24">
        <f>(F93-F92)/F93</f>
        <v>6.7992844364937383E-2</v>
      </c>
      <c r="G95" s="24"/>
      <c r="H95" s="24">
        <f>(H93-H92)/H93</f>
        <v>7.801515151515151E-2</v>
      </c>
      <c r="I95" s="24"/>
      <c r="J95" s="24"/>
      <c r="K95" s="59"/>
      <c r="L95" s="194"/>
      <c r="M95" s="27"/>
      <c r="N95" s="47"/>
      <c r="O95" s="400"/>
      <c r="P95" s="24"/>
      <c r="Q95" s="24"/>
      <c r="R95" s="322">
        <f>(R93-R92)/R93</f>
        <v>9.4469798657718124E-2</v>
      </c>
      <c r="S95" s="322"/>
      <c r="T95" s="24"/>
      <c r="U95" s="24"/>
      <c r="V95" s="322"/>
      <c r="W95" s="322"/>
      <c r="X95" s="322"/>
      <c r="Y95" s="322"/>
      <c r="Z95" s="322"/>
      <c r="AA95" s="322"/>
      <c r="AB95" s="322"/>
    </row>
    <row r="96" spans="1:28" x14ac:dyDescent="0.2">
      <c r="A96" s="615"/>
      <c r="B96" s="415" t="s">
        <v>10</v>
      </c>
      <c r="C96" s="400">
        <f>C94/C89-1</f>
        <v>5.555555555555558E-2</v>
      </c>
      <c r="D96" s="24">
        <f>D94/D89-1</f>
        <v>5.2631578947368363E-2</v>
      </c>
      <c r="E96" s="24"/>
      <c r="F96" s="24">
        <f>F94/F89-1</f>
        <v>5.7377049180327822E-2</v>
      </c>
      <c r="G96" s="24"/>
      <c r="H96" s="24">
        <f>H94/H89-1</f>
        <v>4.7619047619047672E-2</v>
      </c>
      <c r="I96" s="24"/>
      <c r="J96" s="24"/>
      <c r="K96" s="59"/>
      <c r="L96" s="194"/>
      <c r="M96" s="27"/>
      <c r="N96" s="47"/>
      <c r="O96" s="400"/>
      <c r="P96" s="24"/>
      <c r="Q96" s="24"/>
      <c r="R96" s="322">
        <f>R94/R89-1</f>
        <v>4.9295774647887258E-2</v>
      </c>
      <c r="S96" s="322"/>
      <c r="T96" s="24"/>
      <c r="U96" s="24"/>
      <c r="V96" s="322"/>
      <c r="W96" s="322"/>
      <c r="X96" s="322"/>
      <c r="Y96" s="322"/>
      <c r="Z96" s="322"/>
      <c r="AA96" s="322"/>
      <c r="AB96" s="322"/>
    </row>
    <row r="97" spans="1:28" x14ac:dyDescent="0.2">
      <c r="A97" s="615">
        <v>41010</v>
      </c>
      <c r="B97" s="414" t="s">
        <v>13</v>
      </c>
      <c r="C97" s="38">
        <v>6038000</v>
      </c>
      <c r="D97" s="11">
        <v>6326400</v>
      </c>
      <c r="E97" s="11"/>
      <c r="F97" s="11">
        <v>6801800</v>
      </c>
      <c r="G97" s="11"/>
      <c r="H97" s="319">
        <v>6287100</v>
      </c>
      <c r="I97" s="11"/>
      <c r="J97" s="11"/>
      <c r="K97" s="45"/>
      <c r="L97" s="502"/>
      <c r="M97" s="10"/>
      <c r="N97" s="12"/>
      <c r="O97" s="38"/>
      <c r="P97" s="11"/>
      <c r="Q97" s="11"/>
      <c r="R97" s="191">
        <v>7038600</v>
      </c>
      <c r="S97" s="191"/>
      <c r="T97" s="11"/>
      <c r="U97" s="11"/>
      <c r="V97" s="191"/>
      <c r="W97" s="191"/>
      <c r="X97" s="191"/>
      <c r="Y97" s="191"/>
      <c r="Z97" s="191"/>
      <c r="AA97" s="191"/>
      <c r="AB97" s="191"/>
    </row>
    <row r="98" spans="1:28" x14ac:dyDescent="0.2">
      <c r="A98" s="615"/>
      <c r="B98" s="414" t="s">
        <v>12</v>
      </c>
      <c r="C98" s="38">
        <v>6554167</v>
      </c>
      <c r="D98" s="11">
        <v>6825000</v>
      </c>
      <c r="E98" s="11"/>
      <c r="F98" s="11">
        <v>7366667</v>
      </c>
      <c r="G98" s="11"/>
      <c r="H98" s="11">
        <v>6950000</v>
      </c>
      <c r="I98" s="11"/>
      <c r="J98" s="11"/>
      <c r="K98" s="45"/>
      <c r="L98" s="502"/>
      <c r="M98" s="10"/>
      <c r="N98" s="12"/>
      <c r="O98" s="38"/>
      <c r="P98" s="11"/>
      <c r="Q98" s="11"/>
      <c r="R98" s="191">
        <v>7850000</v>
      </c>
      <c r="S98" s="191"/>
      <c r="T98" s="11"/>
      <c r="U98" s="11"/>
      <c r="V98" s="191"/>
      <c r="W98" s="191"/>
      <c r="X98" s="191"/>
      <c r="Y98" s="191"/>
      <c r="Z98" s="191"/>
      <c r="AA98" s="191"/>
      <c r="AB98" s="191"/>
    </row>
    <row r="99" spans="1:28" x14ac:dyDescent="0.2">
      <c r="A99" s="615"/>
      <c r="B99" s="414" t="s">
        <v>11</v>
      </c>
      <c r="C99" s="38">
        <v>6050</v>
      </c>
      <c r="D99" s="11">
        <v>6300</v>
      </c>
      <c r="E99" s="11"/>
      <c r="F99" s="11">
        <v>6800</v>
      </c>
      <c r="G99" s="11"/>
      <c r="H99" s="11">
        <v>6950</v>
      </c>
      <c r="I99" s="11"/>
      <c r="J99" s="11"/>
      <c r="K99" s="45"/>
      <c r="L99" s="502"/>
      <c r="M99" s="10"/>
      <c r="N99" s="12"/>
      <c r="O99" s="38"/>
      <c r="P99" s="11"/>
      <c r="Q99" s="11"/>
      <c r="R99" s="191">
        <v>7850</v>
      </c>
      <c r="S99" s="191"/>
      <c r="T99" s="11"/>
      <c r="U99" s="11"/>
      <c r="V99" s="191"/>
      <c r="W99" s="191"/>
      <c r="X99" s="191"/>
      <c r="Y99" s="191"/>
      <c r="Z99" s="191"/>
      <c r="AA99" s="191"/>
      <c r="AB99" s="191"/>
    </row>
    <row r="100" spans="1:28" x14ac:dyDescent="0.2">
      <c r="A100" s="615"/>
      <c r="B100" s="415" t="s">
        <v>15</v>
      </c>
      <c r="C100" s="400">
        <f>(C98-C97)/C98</f>
        <v>7.8754020152370235E-2</v>
      </c>
      <c r="D100" s="24">
        <f>(D98-D97)/D98</f>
        <v>7.3054945054945059E-2</v>
      </c>
      <c r="E100" s="24"/>
      <c r="F100" s="24">
        <f>(F98-F97)/F98</f>
        <v>7.6678774810915173E-2</v>
      </c>
      <c r="G100" s="24"/>
      <c r="H100" s="24">
        <f>(H98-H97)/H98</f>
        <v>9.5381294964028779E-2</v>
      </c>
      <c r="I100" s="24"/>
      <c r="J100" s="24"/>
      <c r="K100" s="59"/>
      <c r="L100" s="194"/>
      <c r="M100" s="27"/>
      <c r="N100" s="47"/>
      <c r="O100" s="400"/>
      <c r="P100" s="24"/>
      <c r="Q100" s="24"/>
      <c r="R100" s="322">
        <f>(R98-R97)/R98</f>
        <v>0.10336305732484076</v>
      </c>
      <c r="S100" s="322"/>
      <c r="T100" s="24"/>
      <c r="U100" s="24"/>
      <c r="V100" s="322"/>
      <c r="W100" s="322"/>
      <c r="X100" s="322"/>
      <c r="Y100" s="322"/>
      <c r="Z100" s="322"/>
      <c r="AA100" s="322"/>
      <c r="AB100" s="322"/>
    </row>
    <row r="101" spans="1:28" x14ac:dyDescent="0.2">
      <c r="A101" s="615"/>
      <c r="B101" s="415" t="s">
        <v>16</v>
      </c>
      <c r="C101" s="400">
        <f>(C98-C97)/C97</f>
        <v>8.54864193441537E-2</v>
      </c>
      <c r="D101" s="24">
        <f>(D98-D97)/D97</f>
        <v>7.8812594840667674E-2</v>
      </c>
      <c r="E101" s="24"/>
      <c r="F101" s="24">
        <f>(F98-F97)/F97</f>
        <v>8.3046693522302914E-2</v>
      </c>
      <c r="G101" s="24"/>
      <c r="H101" s="24">
        <f>(H98-H97)/H97</f>
        <v>0.10543811932369455</v>
      </c>
      <c r="I101" s="24"/>
      <c r="J101" s="24"/>
      <c r="K101" s="59"/>
      <c r="L101" s="194"/>
      <c r="M101" s="27"/>
      <c r="N101" s="47"/>
      <c r="O101" s="400"/>
      <c r="P101" s="24"/>
      <c r="Q101" s="24"/>
      <c r="R101" s="322">
        <f>(R98-R97)/R97</f>
        <v>0.11527860654107351</v>
      </c>
      <c r="S101" s="322"/>
      <c r="T101" s="24"/>
      <c r="U101" s="24"/>
      <c r="V101" s="322"/>
      <c r="W101" s="322"/>
      <c r="X101" s="322"/>
      <c r="Y101" s="322"/>
      <c r="Z101" s="322"/>
      <c r="AA101" s="322"/>
      <c r="AB101" s="322"/>
    </row>
    <row r="102" spans="1:28" x14ac:dyDescent="0.2">
      <c r="A102" s="615"/>
      <c r="B102" s="415" t="s">
        <v>10</v>
      </c>
      <c r="C102" s="400">
        <f>C99/C94-1</f>
        <v>6.1403508771929793E-2</v>
      </c>
      <c r="D102" s="24">
        <f>D99/D94-1</f>
        <v>5.0000000000000044E-2</v>
      </c>
      <c r="E102" s="24"/>
      <c r="F102" s="24">
        <f>F99/F94-1</f>
        <v>5.4263565891472965E-2</v>
      </c>
      <c r="G102" s="24"/>
      <c r="H102" s="24">
        <f>H99/H94-1</f>
        <v>5.3030303030302983E-2</v>
      </c>
      <c r="I102" s="24"/>
      <c r="J102" s="24"/>
      <c r="K102" s="59"/>
      <c r="L102" s="194"/>
      <c r="M102" s="27"/>
      <c r="N102" s="47"/>
      <c r="O102" s="400"/>
      <c r="P102" s="24"/>
      <c r="Q102" s="24"/>
      <c r="R102" s="322">
        <f>R99/R94-1</f>
        <v>5.3691275167785157E-2</v>
      </c>
      <c r="S102" s="322"/>
      <c r="T102" s="24"/>
      <c r="U102" s="24"/>
      <c r="V102" s="322"/>
      <c r="W102" s="322"/>
      <c r="X102" s="322"/>
      <c r="Y102" s="322"/>
      <c r="Z102" s="322"/>
      <c r="AA102" s="322"/>
      <c r="AB102" s="322"/>
    </row>
    <row r="103" spans="1:28" x14ac:dyDescent="0.2">
      <c r="A103" s="615">
        <v>41054</v>
      </c>
      <c r="B103" s="414" t="s">
        <v>13</v>
      </c>
      <c r="C103" s="38">
        <v>6038000</v>
      </c>
      <c r="D103" s="11">
        <v>6326400</v>
      </c>
      <c r="E103" s="11"/>
      <c r="F103" s="11">
        <v>6801800</v>
      </c>
      <c r="G103" s="11"/>
      <c r="H103" s="319">
        <v>6287100</v>
      </c>
      <c r="I103" s="11">
        <v>4992800</v>
      </c>
      <c r="J103" s="11"/>
      <c r="K103" s="45"/>
      <c r="L103" s="502"/>
      <c r="M103" s="10">
        <v>6941400</v>
      </c>
      <c r="N103" s="12"/>
      <c r="O103" s="38">
        <v>6397500</v>
      </c>
      <c r="P103" s="11"/>
      <c r="Q103" s="11">
        <v>5097500</v>
      </c>
      <c r="R103" s="191">
        <v>7038600</v>
      </c>
      <c r="S103" s="191">
        <v>7148800</v>
      </c>
      <c r="T103" s="11"/>
      <c r="U103" s="11">
        <v>7054600</v>
      </c>
      <c r="V103" s="191"/>
      <c r="W103" s="191"/>
      <c r="X103" s="191"/>
      <c r="Y103" s="191"/>
      <c r="Z103" s="191"/>
      <c r="AA103" s="191"/>
      <c r="AB103" s="191"/>
    </row>
    <row r="104" spans="1:28" x14ac:dyDescent="0.2">
      <c r="A104" s="615"/>
      <c r="B104" s="414" t="s">
        <v>12</v>
      </c>
      <c r="C104" s="38">
        <v>6554167</v>
      </c>
      <c r="D104" s="11">
        <v>6825000</v>
      </c>
      <c r="E104" s="11"/>
      <c r="F104" s="11">
        <v>7366667</v>
      </c>
      <c r="G104" s="11"/>
      <c r="H104" s="11">
        <v>6950000</v>
      </c>
      <c r="I104" s="11"/>
      <c r="J104" s="11"/>
      <c r="K104" s="45"/>
      <c r="L104" s="502"/>
      <c r="M104" s="10">
        <v>7600000</v>
      </c>
      <c r="N104" s="12"/>
      <c r="O104" s="38">
        <v>7050000</v>
      </c>
      <c r="P104" s="11"/>
      <c r="Q104" s="11"/>
      <c r="R104" s="191">
        <v>7850000</v>
      </c>
      <c r="S104" s="191">
        <v>7950000</v>
      </c>
      <c r="T104" s="11"/>
      <c r="U104" s="11">
        <v>7700000</v>
      </c>
      <c r="V104" s="191"/>
      <c r="W104" s="191"/>
      <c r="X104" s="191"/>
      <c r="Y104" s="191"/>
      <c r="Z104" s="191"/>
      <c r="AA104" s="191"/>
      <c r="AB104" s="191"/>
    </row>
    <row r="105" spans="1:28" x14ac:dyDescent="0.2">
      <c r="A105" s="615"/>
      <c r="B105" s="414" t="s">
        <v>11</v>
      </c>
      <c r="C105" s="38">
        <v>6050</v>
      </c>
      <c r="D105" s="11">
        <v>6300</v>
      </c>
      <c r="E105" s="11"/>
      <c r="F105" s="11">
        <v>6800</v>
      </c>
      <c r="G105" s="11"/>
      <c r="H105" s="11">
        <v>6950</v>
      </c>
      <c r="I105" s="11"/>
      <c r="J105" s="11"/>
      <c r="K105" s="45"/>
      <c r="L105" s="502"/>
      <c r="M105" s="10">
        <v>7600</v>
      </c>
      <c r="N105" s="12"/>
      <c r="O105" s="38">
        <v>7050</v>
      </c>
      <c r="P105" s="11"/>
      <c r="Q105" s="11"/>
      <c r="R105" s="191">
        <v>7850</v>
      </c>
      <c r="S105" s="191">
        <v>7950</v>
      </c>
      <c r="T105" s="11"/>
      <c r="U105" s="11">
        <v>7700</v>
      </c>
      <c r="V105" s="191"/>
      <c r="W105" s="191"/>
      <c r="X105" s="191"/>
      <c r="Y105" s="191"/>
      <c r="Z105" s="191"/>
      <c r="AA105" s="191"/>
      <c r="AB105" s="191"/>
    </row>
    <row r="106" spans="1:28" x14ac:dyDescent="0.2">
      <c r="A106" s="615"/>
      <c r="B106" s="415" t="s">
        <v>15</v>
      </c>
      <c r="C106" s="400">
        <f>(C104-C103)/C104</f>
        <v>7.8754020152370235E-2</v>
      </c>
      <c r="D106" s="24">
        <f>(D104-D103)/D104</f>
        <v>7.3054945054945059E-2</v>
      </c>
      <c r="E106" s="24"/>
      <c r="F106" s="24">
        <f>(F104-F103)/F104</f>
        <v>7.6678774810915173E-2</v>
      </c>
      <c r="G106" s="24"/>
      <c r="H106" s="24">
        <f>(H104-H103)/H104</f>
        <v>9.5381294964028779E-2</v>
      </c>
      <c r="I106" s="24"/>
      <c r="J106" s="24"/>
      <c r="K106" s="59"/>
      <c r="L106" s="194"/>
      <c r="M106" s="27">
        <f>(M104-M103)/M104</f>
        <v>8.66578947368421E-2</v>
      </c>
      <c r="N106" s="47"/>
      <c r="O106" s="400">
        <f>(O104-O103)/O104</f>
        <v>9.2553191489361697E-2</v>
      </c>
      <c r="P106" s="24"/>
      <c r="Q106" s="24"/>
      <c r="R106" s="322">
        <f>(R104-R103)/R104</f>
        <v>0.10336305732484076</v>
      </c>
      <c r="S106" s="322">
        <f>(S104-S103)/S104</f>
        <v>0.10077987421383648</v>
      </c>
      <c r="T106" s="24"/>
      <c r="U106" s="24">
        <f>(U104-U103)/U104</f>
        <v>8.3818181818181819E-2</v>
      </c>
      <c r="V106" s="322"/>
      <c r="W106" s="322"/>
      <c r="X106" s="322"/>
      <c r="Y106" s="322"/>
      <c r="Z106" s="322"/>
      <c r="AA106" s="322"/>
      <c r="AB106" s="322"/>
    </row>
    <row r="107" spans="1:28" x14ac:dyDescent="0.2">
      <c r="A107" s="615"/>
      <c r="B107" s="415" t="s">
        <v>16</v>
      </c>
      <c r="C107" s="400">
        <f>(C104-C103)/C103</f>
        <v>8.54864193441537E-2</v>
      </c>
      <c r="D107" s="24">
        <f>(D104-D103)/D103</f>
        <v>7.8812594840667674E-2</v>
      </c>
      <c r="E107" s="24"/>
      <c r="F107" s="24">
        <f>(F104-F103)/F103</f>
        <v>8.3046693522302914E-2</v>
      </c>
      <c r="G107" s="24"/>
      <c r="H107" s="24">
        <f>(H104-H103)/H103</f>
        <v>0.10543811932369455</v>
      </c>
      <c r="I107" s="24"/>
      <c r="J107" s="24"/>
      <c r="K107" s="59"/>
      <c r="L107" s="194"/>
      <c r="M107" s="27">
        <f>(M104-M103)/M103</f>
        <v>9.4879995389978961E-2</v>
      </c>
      <c r="N107" s="47"/>
      <c r="O107" s="400">
        <f>(O104-O103)/O103</f>
        <v>0.10199296600234467</v>
      </c>
      <c r="P107" s="24"/>
      <c r="Q107" s="24"/>
      <c r="R107" s="322">
        <f>(R104-R103)/R103</f>
        <v>0.11527860654107351</v>
      </c>
      <c r="S107" s="322">
        <f>(S104-S103)/S103</f>
        <v>0.11207475380483438</v>
      </c>
      <c r="T107" s="24"/>
      <c r="U107" s="24">
        <f>(U104-U103)/U103</f>
        <v>9.1486406032943043E-2</v>
      </c>
      <c r="V107" s="322"/>
      <c r="W107" s="322"/>
      <c r="X107" s="322"/>
      <c r="Y107" s="322"/>
      <c r="Z107" s="322"/>
      <c r="AA107" s="322"/>
      <c r="AB107" s="322"/>
    </row>
    <row r="108" spans="1:28" x14ac:dyDescent="0.2">
      <c r="A108" s="615"/>
      <c r="B108" s="415" t="s">
        <v>10</v>
      </c>
      <c r="C108" s="400">
        <f>C105/C99-1</f>
        <v>0</v>
      </c>
      <c r="D108" s="24">
        <f>D105/D99-1</f>
        <v>0</v>
      </c>
      <c r="E108" s="24"/>
      <c r="F108" s="24">
        <f>F105/F99-1</f>
        <v>0</v>
      </c>
      <c r="G108" s="24"/>
      <c r="H108" s="24">
        <f>H105/H99-1</f>
        <v>0</v>
      </c>
      <c r="I108" s="24"/>
      <c r="J108" s="24"/>
      <c r="K108" s="59"/>
      <c r="L108" s="194"/>
      <c r="M108" s="27"/>
      <c r="N108" s="47"/>
      <c r="O108" s="400"/>
      <c r="P108" s="24"/>
      <c r="Q108" s="24"/>
      <c r="R108" s="322">
        <f>R105/R99-1</f>
        <v>0</v>
      </c>
      <c r="S108" s="322"/>
      <c r="T108" s="24"/>
      <c r="U108" s="24"/>
      <c r="V108" s="322"/>
      <c r="W108" s="322"/>
      <c r="X108" s="322"/>
      <c r="Y108" s="322"/>
      <c r="Z108" s="322"/>
      <c r="AA108" s="322"/>
      <c r="AB108" s="322"/>
    </row>
    <row r="109" spans="1:28" x14ac:dyDescent="0.2">
      <c r="A109" s="615">
        <v>41068</v>
      </c>
      <c r="B109" s="414" t="s">
        <v>13</v>
      </c>
      <c r="C109" s="38">
        <v>6342300</v>
      </c>
      <c r="D109" s="11">
        <v>6682800</v>
      </c>
      <c r="E109" s="11"/>
      <c r="F109" s="11">
        <v>7156900</v>
      </c>
      <c r="G109" s="11"/>
      <c r="H109" s="319">
        <v>6608800</v>
      </c>
      <c r="I109" s="11">
        <v>5242900</v>
      </c>
      <c r="J109" s="11">
        <v>6608800</v>
      </c>
      <c r="K109" s="45">
        <v>6673600</v>
      </c>
      <c r="L109" s="502"/>
      <c r="M109" s="10">
        <v>7260000</v>
      </c>
      <c r="N109" s="12"/>
      <c r="O109" s="38">
        <v>6713100</v>
      </c>
      <c r="P109" s="11">
        <v>6777900</v>
      </c>
      <c r="Q109" s="11">
        <v>5347600</v>
      </c>
      <c r="R109" s="191">
        <v>7368100</v>
      </c>
      <c r="S109" s="191">
        <v>7472200</v>
      </c>
      <c r="T109" s="11"/>
      <c r="U109" s="11">
        <v>7364100</v>
      </c>
      <c r="V109" s="191"/>
      <c r="W109" s="191"/>
      <c r="X109" s="191"/>
      <c r="Y109" s="191"/>
      <c r="Z109" s="191"/>
      <c r="AA109" s="191"/>
      <c r="AB109" s="191"/>
    </row>
    <row r="110" spans="1:28" x14ac:dyDescent="0.2">
      <c r="A110" s="615"/>
      <c r="B110" s="414" t="s">
        <v>12</v>
      </c>
      <c r="C110" s="38">
        <v>6879167</v>
      </c>
      <c r="D110" s="11">
        <v>7204167</v>
      </c>
      <c r="E110" s="11"/>
      <c r="F110" s="11">
        <v>7745833</v>
      </c>
      <c r="G110" s="11"/>
      <c r="H110" s="11">
        <v>7300000</v>
      </c>
      <c r="I110" s="11"/>
      <c r="J110" s="11">
        <v>7300000</v>
      </c>
      <c r="K110" s="45">
        <v>7300000</v>
      </c>
      <c r="L110" s="502"/>
      <c r="M110" s="10">
        <v>7950000</v>
      </c>
      <c r="N110" s="12"/>
      <c r="O110" s="38">
        <v>7400000</v>
      </c>
      <c r="P110" s="11">
        <v>7400000</v>
      </c>
      <c r="Q110" s="11"/>
      <c r="R110" s="191">
        <v>8250000</v>
      </c>
      <c r="S110" s="191">
        <v>8350000</v>
      </c>
      <c r="T110" s="11"/>
      <c r="U110" s="11">
        <v>8050000</v>
      </c>
      <c r="V110" s="191"/>
      <c r="W110" s="191"/>
      <c r="X110" s="191"/>
      <c r="Y110" s="191"/>
      <c r="Z110" s="191"/>
      <c r="AA110" s="191"/>
      <c r="AB110" s="191"/>
    </row>
    <row r="111" spans="1:28" x14ac:dyDescent="0.2">
      <c r="A111" s="615"/>
      <c r="B111" s="414" t="s">
        <v>11</v>
      </c>
      <c r="C111" s="38">
        <v>6350</v>
      </c>
      <c r="D111" s="11">
        <v>6650</v>
      </c>
      <c r="E111" s="11"/>
      <c r="F111" s="11">
        <v>7150</v>
      </c>
      <c r="G111" s="11"/>
      <c r="H111" s="11">
        <v>7300</v>
      </c>
      <c r="I111" s="11"/>
      <c r="J111" s="11">
        <v>7300</v>
      </c>
      <c r="K111" s="45">
        <v>7300</v>
      </c>
      <c r="L111" s="502"/>
      <c r="M111" s="10">
        <v>7950</v>
      </c>
      <c r="N111" s="12"/>
      <c r="O111" s="38">
        <v>7400</v>
      </c>
      <c r="P111" s="11">
        <v>7400</v>
      </c>
      <c r="Q111" s="11"/>
      <c r="R111" s="191">
        <v>8250</v>
      </c>
      <c r="S111" s="191">
        <v>8350</v>
      </c>
      <c r="T111" s="11"/>
      <c r="U111" s="11">
        <v>8050</v>
      </c>
      <c r="V111" s="191"/>
      <c r="W111" s="191"/>
      <c r="X111" s="191"/>
      <c r="Y111" s="191"/>
      <c r="Z111" s="191"/>
      <c r="AA111" s="191"/>
      <c r="AB111" s="191"/>
    </row>
    <row r="112" spans="1:28" x14ac:dyDescent="0.2">
      <c r="A112" s="615"/>
      <c r="B112" s="415" t="s">
        <v>15</v>
      </c>
      <c r="C112" s="400">
        <f>(C110-C109)/C110</f>
        <v>7.8042443220232918E-2</v>
      </c>
      <c r="D112" s="24">
        <f>(D110-D109)/D110</f>
        <v>7.2370199080615427E-2</v>
      </c>
      <c r="E112" s="24"/>
      <c r="F112" s="24">
        <f>(F110-F109)/F110</f>
        <v>7.603223565496442E-2</v>
      </c>
      <c r="G112" s="24"/>
      <c r="H112" s="24">
        <f>(H110-H109)/H110</f>
        <v>9.4684931506849312E-2</v>
      </c>
      <c r="I112" s="24"/>
      <c r="J112" s="24">
        <f>(J110-J109)/J110</f>
        <v>9.4684931506849312E-2</v>
      </c>
      <c r="K112" s="59">
        <f>(K110-K109)/K110</f>
        <v>8.5808219178082193E-2</v>
      </c>
      <c r="L112" s="194"/>
      <c r="M112" s="27">
        <f>(M110-M109)/M110</f>
        <v>8.6792452830188674E-2</v>
      </c>
      <c r="N112" s="47"/>
      <c r="O112" s="400">
        <f>(O110-O109)/O110</f>
        <v>9.2824324324324331E-2</v>
      </c>
      <c r="P112" s="24">
        <f>(P110-P109)/P110</f>
        <v>8.4067567567567572E-2</v>
      </c>
      <c r="Q112" s="24"/>
      <c r="R112" s="322">
        <f>(R110-R109)/R110</f>
        <v>0.1068969696969697</v>
      </c>
      <c r="S112" s="322">
        <f>(S110-S109)/S110</f>
        <v>0.10512574850299401</v>
      </c>
      <c r="T112" s="24"/>
      <c r="U112" s="24">
        <f>(U110-U109)/U110</f>
        <v>8.5204968944099374E-2</v>
      </c>
      <c r="V112" s="322"/>
      <c r="W112" s="322"/>
      <c r="X112" s="322"/>
      <c r="Y112" s="322"/>
      <c r="Z112" s="322"/>
      <c r="AA112" s="322"/>
      <c r="AB112" s="322"/>
    </row>
    <row r="113" spans="1:28" x14ac:dyDescent="0.2">
      <c r="A113" s="615"/>
      <c r="B113" s="415" t="s">
        <v>16</v>
      </c>
      <c r="C113" s="400">
        <f>(C110-C109)/C109</f>
        <v>8.4648629046245052E-2</v>
      </c>
      <c r="D113" s="24">
        <f>(D110-D109)/D109</f>
        <v>7.8016250673370438E-2</v>
      </c>
      <c r="E113" s="24"/>
      <c r="F113" s="24">
        <f>(F110-F109)/F109</f>
        <v>8.2288840140284203E-2</v>
      </c>
      <c r="G113" s="24"/>
      <c r="H113" s="24">
        <f>(H110-H109)/H109</f>
        <v>0.10458782229754267</v>
      </c>
      <c r="I113" s="24"/>
      <c r="J113" s="24">
        <f>(J110-J109)/J109</f>
        <v>0.10458782229754267</v>
      </c>
      <c r="K113" s="59">
        <f>(K110-K109)/K109</f>
        <v>9.386238312155358E-2</v>
      </c>
      <c r="L113" s="194"/>
      <c r="M113" s="27">
        <f>(M110-M109)/M109</f>
        <v>9.5041322314049589E-2</v>
      </c>
      <c r="N113" s="47"/>
      <c r="O113" s="400">
        <f>(O110-O109)/O109</f>
        <v>0.1023223250063309</v>
      </c>
      <c r="P113" s="24">
        <f>(P110-P109)/P109</f>
        <v>9.1783590787707106E-2</v>
      </c>
      <c r="Q113" s="24"/>
      <c r="R113" s="322">
        <f>(R110-R109)/R109</f>
        <v>0.11969164370733296</v>
      </c>
      <c r="S113" s="322">
        <f>(S110-S109)/S109</f>
        <v>0.11747544230614812</v>
      </c>
      <c r="T113" s="24"/>
      <c r="U113" s="24">
        <f>(U110-U109)/U109</f>
        <v>9.3141049143819335E-2</v>
      </c>
      <c r="V113" s="322"/>
      <c r="W113" s="322"/>
      <c r="X113" s="322"/>
      <c r="Y113" s="322"/>
      <c r="Z113" s="322"/>
      <c r="AA113" s="322"/>
      <c r="AB113" s="322"/>
    </row>
    <row r="114" spans="1:28" x14ac:dyDescent="0.2">
      <c r="A114" s="615"/>
      <c r="B114" s="415" t="s">
        <v>10</v>
      </c>
      <c r="C114" s="400">
        <f>C111/C105-1</f>
        <v>4.9586776859504189E-2</v>
      </c>
      <c r="D114" s="24">
        <f>D111/D105-1</f>
        <v>5.555555555555558E-2</v>
      </c>
      <c r="E114" s="24"/>
      <c r="F114" s="24">
        <f>F111/F105-1</f>
        <v>5.1470588235294157E-2</v>
      </c>
      <c r="G114" s="24"/>
      <c r="H114" s="24">
        <f>H111/H105-1</f>
        <v>5.0359712230215736E-2</v>
      </c>
      <c r="I114" s="24"/>
      <c r="J114" s="24"/>
      <c r="K114" s="59"/>
      <c r="L114" s="194"/>
      <c r="M114" s="27">
        <f>M111/M105-1</f>
        <v>4.6052631578947345E-2</v>
      </c>
      <c r="N114" s="47"/>
      <c r="O114" s="400">
        <f>O111/O105-1</f>
        <v>4.9645390070921946E-2</v>
      </c>
      <c r="P114" s="24"/>
      <c r="Q114" s="24"/>
      <c r="R114" s="322">
        <f>R111/R105-1</f>
        <v>5.0955414012738842E-2</v>
      </c>
      <c r="S114" s="322">
        <f>S111/S105-1</f>
        <v>5.031446540880502E-2</v>
      </c>
      <c r="T114" s="24"/>
      <c r="U114" s="24"/>
      <c r="V114" s="322"/>
      <c r="W114" s="322"/>
      <c r="X114" s="322"/>
      <c r="Y114" s="322"/>
      <c r="Z114" s="322"/>
      <c r="AA114" s="322"/>
      <c r="AB114" s="322"/>
    </row>
    <row r="115" spans="1:28" x14ac:dyDescent="0.2">
      <c r="A115" s="615">
        <v>41185</v>
      </c>
      <c r="B115" s="414" t="s">
        <v>13</v>
      </c>
      <c r="C115" s="38">
        <v>6685400</v>
      </c>
      <c r="D115" s="11">
        <v>6924800</v>
      </c>
      <c r="E115" s="11"/>
      <c r="F115" s="11">
        <v>7443300</v>
      </c>
      <c r="G115" s="11"/>
      <c r="H115" s="323">
        <v>6934600</v>
      </c>
      <c r="I115" s="11">
        <v>5512000</v>
      </c>
      <c r="J115" s="319">
        <v>6867300</v>
      </c>
      <c r="K115" s="425">
        <v>6934600</v>
      </c>
      <c r="L115" s="502"/>
      <c r="M115" s="30">
        <v>7268500</v>
      </c>
      <c r="N115" s="453">
        <v>7339900</v>
      </c>
      <c r="O115" s="437">
        <v>7518900</v>
      </c>
      <c r="P115" s="316">
        <v>7591600</v>
      </c>
      <c r="Q115" s="11">
        <v>5616600</v>
      </c>
      <c r="R115" s="191">
        <v>7376600</v>
      </c>
      <c r="S115" s="191">
        <v>8068900</v>
      </c>
      <c r="T115" s="319">
        <v>7952200</v>
      </c>
      <c r="U115" s="316">
        <v>8029300</v>
      </c>
      <c r="V115" s="191"/>
      <c r="W115" s="191"/>
      <c r="X115" s="191"/>
      <c r="Y115" s="191"/>
      <c r="Z115" s="191"/>
      <c r="AA115" s="191"/>
      <c r="AB115" s="191"/>
    </row>
    <row r="116" spans="1:28" x14ac:dyDescent="0.2">
      <c r="A116" s="615"/>
      <c r="B116" s="414" t="s">
        <v>12</v>
      </c>
      <c r="C116" s="38">
        <v>7312500</v>
      </c>
      <c r="D116" s="11">
        <v>7529167</v>
      </c>
      <c r="E116" s="11"/>
      <c r="F116" s="11">
        <v>8125000</v>
      </c>
      <c r="G116" s="11"/>
      <c r="H116" s="71"/>
      <c r="I116" s="11"/>
      <c r="J116" s="319">
        <v>7650000</v>
      </c>
      <c r="K116" s="425">
        <v>7650000</v>
      </c>
      <c r="L116" s="502"/>
      <c r="M116" s="30">
        <v>8050000</v>
      </c>
      <c r="N116" s="453">
        <v>8050000</v>
      </c>
      <c r="O116" s="437">
        <v>7750000</v>
      </c>
      <c r="P116" s="316">
        <v>7750000</v>
      </c>
      <c r="Q116" s="11"/>
      <c r="R116" s="191">
        <v>8600000</v>
      </c>
      <c r="S116" s="191">
        <v>8700000</v>
      </c>
      <c r="T116" s="319">
        <v>8150000</v>
      </c>
      <c r="U116" s="316">
        <v>8150000</v>
      </c>
      <c r="V116" s="191"/>
      <c r="W116" s="191"/>
      <c r="X116" s="191"/>
      <c r="Y116" s="191"/>
      <c r="Z116" s="191"/>
      <c r="AA116" s="191"/>
      <c r="AB116" s="191"/>
    </row>
    <row r="117" spans="1:28" x14ac:dyDescent="0.2">
      <c r="A117" s="615"/>
      <c r="B117" s="414" t="s">
        <v>11</v>
      </c>
      <c r="C117" s="38">
        <v>6750</v>
      </c>
      <c r="D117" s="11">
        <v>6950</v>
      </c>
      <c r="E117" s="11"/>
      <c r="F117" s="11">
        <v>7500</v>
      </c>
      <c r="G117" s="11"/>
      <c r="H117" s="71"/>
      <c r="I117" s="11"/>
      <c r="J117" s="319">
        <v>7650</v>
      </c>
      <c r="K117" s="425">
        <v>7650</v>
      </c>
      <c r="L117" s="502"/>
      <c r="M117" s="30">
        <v>8050</v>
      </c>
      <c r="N117" s="453">
        <v>8050</v>
      </c>
      <c r="O117" s="437">
        <v>7750</v>
      </c>
      <c r="P117" s="316">
        <v>7750</v>
      </c>
      <c r="Q117" s="11"/>
      <c r="R117" s="191">
        <v>8600</v>
      </c>
      <c r="S117" s="191">
        <v>8700</v>
      </c>
      <c r="T117" s="319">
        <v>8150</v>
      </c>
      <c r="U117" s="316">
        <v>8150</v>
      </c>
      <c r="V117" s="191"/>
      <c r="W117" s="191"/>
      <c r="X117" s="191"/>
      <c r="Y117" s="191"/>
      <c r="Z117" s="191"/>
      <c r="AA117" s="191"/>
      <c r="AB117" s="191"/>
    </row>
    <row r="118" spans="1:28" x14ac:dyDescent="0.2">
      <c r="A118" s="615"/>
      <c r="B118" s="415" t="s">
        <v>15</v>
      </c>
      <c r="C118" s="400">
        <f>(C116-C115)/C116</f>
        <v>8.5757264957264961E-2</v>
      </c>
      <c r="D118" s="24">
        <f>(D116-D115)/D116</f>
        <v>8.0270101592911938E-2</v>
      </c>
      <c r="E118" s="24"/>
      <c r="F118" s="24">
        <f>(F116-F115)/F116</f>
        <v>8.3901538461538458E-2</v>
      </c>
      <c r="G118" s="24"/>
      <c r="H118" s="324"/>
      <c r="I118" s="24"/>
      <c r="J118" s="325">
        <f t="shared" ref="J118:P118" si="0">(J116-J115)/J116</f>
        <v>0.10231372549019607</v>
      </c>
      <c r="K118" s="426">
        <f t="shared" si="0"/>
        <v>9.351633986928104E-2</v>
      </c>
      <c r="L118" s="194"/>
      <c r="M118" s="454">
        <f t="shared" si="0"/>
        <v>9.7080745341614913E-2</v>
      </c>
      <c r="N118" s="455">
        <f t="shared" si="0"/>
        <v>8.8211180124223604E-2</v>
      </c>
      <c r="O118" s="438">
        <f t="shared" si="0"/>
        <v>2.9819354838709677E-2</v>
      </c>
      <c r="P118" s="321">
        <f t="shared" si="0"/>
        <v>2.0438709677419356E-2</v>
      </c>
      <c r="Q118" s="24"/>
      <c r="R118" s="322">
        <f>(R116-R115)/R116</f>
        <v>0.14225581395348838</v>
      </c>
      <c r="S118" s="322">
        <f>(S116-S115)/S116</f>
        <v>7.2540229885057469E-2</v>
      </c>
      <c r="T118" s="325">
        <f>(T116-T115)/T116</f>
        <v>2.4269938650306747E-2</v>
      </c>
      <c r="U118" s="321">
        <f>(U116-U115)/U116</f>
        <v>1.4809815950920246E-2</v>
      </c>
      <c r="V118" s="322"/>
      <c r="W118" s="322"/>
      <c r="X118" s="322"/>
      <c r="Y118" s="322"/>
      <c r="Z118" s="322"/>
      <c r="AA118" s="322"/>
      <c r="AB118" s="322"/>
    </row>
    <row r="119" spans="1:28" x14ac:dyDescent="0.2">
      <c r="A119" s="615"/>
      <c r="B119" s="415" t="s">
        <v>16</v>
      </c>
      <c r="C119" s="400">
        <f>(C116-C115)/C115</f>
        <v>9.3801418015376795E-2</v>
      </c>
      <c r="D119" s="24">
        <f>(D116-D115)/D115</f>
        <v>8.7275733595194083E-2</v>
      </c>
      <c r="E119" s="24"/>
      <c r="F119" s="24">
        <f>(F116-F115)/F115</f>
        <v>9.1585721387019203E-2</v>
      </c>
      <c r="G119" s="24"/>
      <c r="H119" s="324"/>
      <c r="I119" s="24"/>
      <c r="J119" s="325">
        <f t="shared" ref="J119:P119" si="1">(J116-J115)/J115</f>
        <v>0.11397492464287275</v>
      </c>
      <c r="K119" s="426">
        <f t="shared" si="1"/>
        <v>0.10316384506676665</v>
      </c>
      <c r="L119" s="194"/>
      <c r="M119" s="454">
        <f t="shared" si="1"/>
        <v>0.10751874527068858</v>
      </c>
      <c r="N119" s="455">
        <f t="shared" si="1"/>
        <v>9.6745187264131657E-2</v>
      </c>
      <c r="O119" s="438">
        <f t="shared" si="1"/>
        <v>3.0735878918458817E-2</v>
      </c>
      <c r="P119" s="321">
        <f t="shared" si="1"/>
        <v>2.0865166763264661E-2</v>
      </c>
      <c r="Q119" s="24"/>
      <c r="R119" s="322">
        <f>(R116-R115)/R115</f>
        <v>0.16584876501369195</v>
      </c>
      <c r="S119" s="322">
        <f>(S116-S115)/S115</f>
        <v>7.8213882933237486E-2</v>
      </c>
      <c r="T119" s="325">
        <f>(T116-T115)/T115</f>
        <v>2.4873619878775684E-2</v>
      </c>
      <c r="U119" s="321">
        <f>(U116-U115)/U115</f>
        <v>1.5032443675040166E-2</v>
      </c>
      <c r="V119" s="322"/>
      <c r="W119" s="322"/>
      <c r="X119" s="322"/>
      <c r="Y119" s="322"/>
      <c r="Z119" s="322"/>
      <c r="AA119" s="322"/>
      <c r="AB119" s="322"/>
    </row>
    <row r="120" spans="1:28" x14ac:dyDescent="0.2">
      <c r="A120" s="615"/>
      <c r="B120" s="415" t="s">
        <v>10</v>
      </c>
      <c r="C120" s="400">
        <f>C117/C111-1</f>
        <v>6.2992125984252079E-2</v>
      </c>
      <c r="D120" s="24">
        <f>D117/D111-1</f>
        <v>4.5112781954887327E-2</v>
      </c>
      <c r="E120" s="24"/>
      <c r="F120" s="24">
        <f>F117/F111-1</f>
        <v>4.8951048951048959E-2</v>
      </c>
      <c r="G120" s="24"/>
      <c r="H120" s="324"/>
      <c r="I120" s="24"/>
      <c r="J120" s="325">
        <f t="shared" ref="J120:P120" si="2">J117/J111-1</f>
        <v>4.7945205479452024E-2</v>
      </c>
      <c r="K120" s="426">
        <f t="shared" si="2"/>
        <v>4.7945205479452024E-2</v>
      </c>
      <c r="L120" s="194"/>
      <c r="M120" s="454">
        <f t="shared" si="2"/>
        <v>1.2578616352201255E-2</v>
      </c>
      <c r="N120" s="455" t="e">
        <f t="shared" si="2"/>
        <v>#DIV/0!</v>
      </c>
      <c r="O120" s="438">
        <f t="shared" si="2"/>
        <v>4.7297297297297369E-2</v>
      </c>
      <c r="P120" s="321">
        <f t="shared" si="2"/>
        <v>4.7297297297297369E-2</v>
      </c>
      <c r="Q120" s="24"/>
      <c r="R120" s="322">
        <f>R117/R111-1</f>
        <v>4.2424242424242475E-2</v>
      </c>
      <c r="S120" s="322">
        <f>S117/S111-1</f>
        <v>4.1916167664670656E-2</v>
      </c>
      <c r="T120" s="325" t="e">
        <f>T117/T111-1</f>
        <v>#DIV/0!</v>
      </c>
      <c r="U120" s="321">
        <f>U117/U111-1</f>
        <v>1.2422360248447228E-2</v>
      </c>
      <c r="V120" s="322"/>
      <c r="W120" s="322"/>
      <c r="X120" s="322"/>
      <c r="Y120" s="322"/>
      <c r="Z120" s="322"/>
      <c r="AA120" s="322"/>
      <c r="AB120" s="322"/>
    </row>
    <row r="121" spans="1:28" x14ac:dyDescent="0.2">
      <c r="A121" s="615">
        <v>41290</v>
      </c>
      <c r="B121" s="414" t="s">
        <v>13</v>
      </c>
      <c r="C121" s="38">
        <v>7231800</v>
      </c>
      <c r="D121" s="11">
        <v>7274000</v>
      </c>
      <c r="E121" s="11">
        <v>7325300</v>
      </c>
      <c r="F121" s="11">
        <v>7758800</v>
      </c>
      <c r="G121" s="11"/>
      <c r="H121" s="323"/>
      <c r="I121" s="11">
        <v>5939200</v>
      </c>
      <c r="J121" s="319">
        <v>7232200</v>
      </c>
      <c r="K121" s="425">
        <v>7301600</v>
      </c>
      <c r="L121" s="502"/>
      <c r="M121" s="30">
        <v>7616700</v>
      </c>
      <c r="N121" s="453">
        <v>7690100</v>
      </c>
      <c r="O121" s="437">
        <v>7913000</v>
      </c>
      <c r="P121" s="316">
        <v>7987900</v>
      </c>
      <c r="Q121" s="11">
        <v>6075700</v>
      </c>
      <c r="R121" s="191">
        <v>8100000</v>
      </c>
      <c r="S121" s="191">
        <v>8850200</v>
      </c>
      <c r="T121" s="319">
        <v>8328200</v>
      </c>
      <c r="U121" s="316">
        <v>8407500</v>
      </c>
      <c r="V121" s="191"/>
      <c r="W121" s="191">
        <v>7954200</v>
      </c>
      <c r="X121" s="326">
        <v>0.09</v>
      </c>
      <c r="Y121" s="326">
        <v>0.08</v>
      </c>
      <c r="Z121" s="326">
        <v>0.05</v>
      </c>
      <c r="AA121" s="326">
        <v>0.03</v>
      </c>
      <c r="AB121" s="326">
        <v>1.4999999999999999E-2</v>
      </c>
    </row>
    <row r="122" spans="1:28" x14ac:dyDescent="0.2">
      <c r="A122" s="615"/>
      <c r="B122" s="414" t="s">
        <v>12</v>
      </c>
      <c r="C122" s="38">
        <v>7800000</v>
      </c>
      <c r="D122" s="11">
        <v>7908333</v>
      </c>
      <c r="E122" s="11">
        <v>8016667</v>
      </c>
      <c r="F122" s="11">
        <v>8450000</v>
      </c>
      <c r="G122" s="11"/>
      <c r="H122" s="71"/>
      <c r="I122" s="11"/>
      <c r="J122" s="319"/>
      <c r="K122" s="425">
        <v>8000000</v>
      </c>
      <c r="L122" s="502"/>
      <c r="M122" s="30"/>
      <c r="N122" s="453">
        <v>8400000</v>
      </c>
      <c r="O122" s="437"/>
      <c r="P122" s="316">
        <v>8100000</v>
      </c>
      <c r="Q122" s="11"/>
      <c r="R122" s="191">
        <v>9300000</v>
      </c>
      <c r="S122" s="191">
        <v>9400000</v>
      </c>
      <c r="T122" s="319"/>
      <c r="U122" s="316">
        <v>8500000</v>
      </c>
      <c r="V122" s="191"/>
      <c r="W122" s="191"/>
      <c r="X122" s="191"/>
      <c r="Y122" s="191"/>
      <c r="Z122" s="191"/>
      <c r="AA122" s="191"/>
      <c r="AB122" s="191"/>
    </row>
    <row r="123" spans="1:28" x14ac:dyDescent="0.2">
      <c r="A123" s="615"/>
      <c r="B123" s="414" t="s">
        <v>11</v>
      </c>
      <c r="C123" s="38">
        <v>7200</v>
      </c>
      <c r="D123" s="11">
        <v>7300</v>
      </c>
      <c r="E123" s="11">
        <v>7400</v>
      </c>
      <c r="F123" s="11">
        <v>7800</v>
      </c>
      <c r="G123" s="11"/>
      <c r="H123" s="71"/>
      <c r="I123" s="11"/>
      <c r="J123" s="319"/>
      <c r="K123" s="425">
        <v>8000</v>
      </c>
      <c r="L123" s="502"/>
      <c r="M123" s="30"/>
      <c r="N123" s="453">
        <v>8400</v>
      </c>
      <c r="O123" s="437"/>
      <c r="P123" s="316">
        <v>8100</v>
      </c>
      <c r="Q123" s="11"/>
      <c r="R123" s="191">
        <v>9300</v>
      </c>
      <c r="S123" s="191">
        <v>9400</v>
      </c>
      <c r="T123" s="319"/>
      <c r="U123" s="316">
        <v>8500</v>
      </c>
      <c r="V123" s="191"/>
      <c r="W123" s="191"/>
      <c r="X123" s="191"/>
      <c r="Y123" s="191"/>
      <c r="Z123" s="191"/>
      <c r="AA123" s="191"/>
      <c r="AB123" s="191"/>
    </row>
    <row r="124" spans="1:28" x14ac:dyDescent="0.2">
      <c r="A124" s="615"/>
      <c r="B124" s="415" t="s">
        <v>15</v>
      </c>
      <c r="C124" s="400">
        <f>(C122-C121)/C122</f>
        <v>7.2846153846153852E-2</v>
      </c>
      <c r="D124" s="24">
        <f>(D122-D121)/D122</f>
        <v>8.0210709387174256E-2</v>
      </c>
      <c r="E124" s="24">
        <f>(E122-E121)/E122</f>
        <v>8.6241202235293052E-2</v>
      </c>
      <c r="F124" s="24">
        <f>(F122-F121)/F122</f>
        <v>8.1798816568047342E-2</v>
      </c>
      <c r="G124" s="24"/>
      <c r="H124" s="324"/>
      <c r="I124" s="24"/>
      <c r="J124" s="325" t="e">
        <f t="shared" ref="J124:W124" si="3">(J122-J121)/J122</f>
        <v>#DIV/0!</v>
      </c>
      <c r="K124" s="426">
        <f t="shared" si="3"/>
        <v>8.7300000000000003E-2</v>
      </c>
      <c r="L124" s="194"/>
      <c r="M124" s="454" t="e">
        <f t="shared" si="3"/>
        <v>#DIV/0!</v>
      </c>
      <c r="N124" s="455">
        <f t="shared" si="3"/>
        <v>8.451190476190476E-2</v>
      </c>
      <c r="O124" s="438" t="e">
        <f t="shared" si="3"/>
        <v>#DIV/0!</v>
      </c>
      <c r="P124" s="321">
        <f t="shared" si="3"/>
        <v>1.3839506172839506E-2</v>
      </c>
      <c r="Q124" s="24" t="e">
        <f t="shared" si="3"/>
        <v>#DIV/0!</v>
      </c>
      <c r="R124" s="322">
        <f t="shared" si="3"/>
        <v>0.12903225806451613</v>
      </c>
      <c r="S124" s="322">
        <f t="shared" si="3"/>
        <v>5.8489361702127658E-2</v>
      </c>
      <c r="T124" s="325" t="e">
        <f t="shared" si="3"/>
        <v>#DIV/0!</v>
      </c>
      <c r="U124" s="321">
        <f t="shared" si="3"/>
        <v>1.088235294117647E-2</v>
      </c>
      <c r="V124" s="322"/>
      <c r="W124" s="322" t="e">
        <f t="shared" si="3"/>
        <v>#DIV/0!</v>
      </c>
      <c r="X124" s="322"/>
      <c r="Y124" s="322"/>
      <c r="Z124" s="322"/>
      <c r="AA124" s="322"/>
      <c r="AB124" s="322"/>
    </row>
    <row r="125" spans="1:28" x14ac:dyDescent="0.2">
      <c r="A125" s="615"/>
      <c r="B125" s="415" t="s">
        <v>16</v>
      </c>
      <c r="C125" s="400">
        <f>(C122-C121)/C121</f>
        <v>7.8569650709366959E-2</v>
      </c>
      <c r="D125" s="24">
        <f>(D122-D121)/D121</f>
        <v>8.720552653285675E-2</v>
      </c>
      <c r="E125" s="24">
        <f>(E122-E121)/E121</f>
        <v>9.4380707957353288E-2</v>
      </c>
      <c r="F125" s="24">
        <f>(F122-F121)/F121</f>
        <v>8.9085941124916218E-2</v>
      </c>
      <c r="G125" s="24"/>
      <c r="H125" s="324"/>
      <c r="I125" s="24"/>
      <c r="J125" s="325">
        <f t="shared" ref="J125:W125" si="4">(J122-J121)/J121</f>
        <v>-1</v>
      </c>
      <c r="K125" s="426">
        <f t="shared" si="4"/>
        <v>9.5650268434315761E-2</v>
      </c>
      <c r="L125" s="194"/>
      <c r="M125" s="454">
        <f t="shared" si="4"/>
        <v>-1</v>
      </c>
      <c r="N125" s="455">
        <f t="shared" si="4"/>
        <v>9.231349397277018E-2</v>
      </c>
      <c r="O125" s="438">
        <f t="shared" si="4"/>
        <v>-1</v>
      </c>
      <c r="P125" s="321">
        <f t="shared" si="4"/>
        <v>1.4033726010591019E-2</v>
      </c>
      <c r="Q125" s="24">
        <f t="shared" si="4"/>
        <v>-1</v>
      </c>
      <c r="R125" s="322">
        <f t="shared" si="4"/>
        <v>0.14814814814814814</v>
      </c>
      <c r="S125" s="322">
        <f t="shared" si="4"/>
        <v>6.2122889878194844E-2</v>
      </c>
      <c r="T125" s="325">
        <f t="shared" si="4"/>
        <v>-1</v>
      </c>
      <c r="U125" s="321">
        <f t="shared" si="4"/>
        <v>1.1002081474873625E-2</v>
      </c>
      <c r="V125" s="322"/>
      <c r="W125" s="322">
        <f t="shared" si="4"/>
        <v>-1</v>
      </c>
      <c r="X125" s="322"/>
      <c r="Y125" s="322"/>
      <c r="Z125" s="322"/>
      <c r="AA125" s="322"/>
      <c r="AB125" s="322"/>
    </row>
    <row r="126" spans="1:28" x14ac:dyDescent="0.2">
      <c r="A126" s="615"/>
      <c r="B126" s="415" t="s">
        <v>10</v>
      </c>
      <c r="C126" s="400">
        <f>C123/C117-1</f>
        <v>6.6666666666666652E-2</v>
      </c>
      <c r="D126" s="24">
        <f>D123/D117-1</f>
        <v>5.0359712230215736E-2</v>
      </c>
      <c r="E126" s="24" t="e">
        <f>E123/E117-1</f>
        <v>#DIV/0!</v>
      </c>
      <c r="F126" s="24">
        <f>F123/F117-1</f>
        <v>4.0000000000000036E-2</v>
      </c>
      <c r="G126" s="24"/>
      <c r="H126" s="324"/>
      <c r="I126" s="24"/>
      <c r="J126" s="325">
        <f t="shared" ref="J126:P126" si="5">J123/J117-1</f>
        <v>-1</v>
      </c>
      <c r="K126" s="426">
        <f t="shared" si="5"/>
        <v>4.5751633986928164E-2</v>
      </c>
      <c r="L126" s="194"/>
      <c r="M126" s="454">
        <f t="shared" si="5"/>
        <v>-1</v>
      </c>
      <c r="N126" s="455">
        <f t="shared" si="5"/>
        <v>4.3478260869565188E-2</v>
      </c>
      <c r="O126" s="438">
        <f t="shared" si="5"/>
        <v>-1</v>
      </c>
      <c r="P126" s="321">
        <f t="shared" si="5"/>
        <v>4.5161290322580649E-2</v>
      </c>
      <c r="Q126" s="24"/>
      <c r="R126" s="322">
        <f>R123/R117-1</f>
        <v>8.1395348837209225E-2</v>
      </c>
      <c r="S126" s="322">
        <f>S123/S117-1</f>
        <v>8.0459770114942541E-2</v>
      </c>
      <c r="T126" s="325">
        <f>T123/T117-1</f>
        <v>-1</v>
      </c>
      <c r="U126" s="321">
        <f>U123/U117-1</f>
        <v>4.2944785276073594E-2</v>
      </c>
      <c r="V126" s="322"/>
      <c r="W126" s="322"/>
      <c r="X126" s="322"/>
      <c r="Y126" s="322"/>
      <c r="Z126" s="322"/>
      <c r="AA126" s="322"/>
      <c r="AB126" s="322"/>
    </row>
    <row r="127" spans="1:28" x14ac:dyDescent="0.2">
      <c r="A127" s="615">
        <v>41373</v>
      </c>
      <c r="B127" s="414" t="s">
        <v>13</v>
      </c>
      <c r="C127" s="38">
        <v>7231800</v>
      </c>
      <c r="D127" s="11">
        <v>7274000</v>
      </c>
      <c r="E127" s="11">
        <v>7325300</v>
      </c>
      <c r="F127" s="11">
        <v>7758800</v>
      </c>
      <c r="G127" s="11"/>
      <c r="H127" s="323"/>
      <c r="I127" s="11"/>
      <c r="J127" s="319">
        <v>7232200</v>
      </c>
      <c r="K127" s="425">
        <v>7301600</v>
      </c>
      <c r="L127" s="502"/>
      <c r="M127" s="30">
        <v>7616700</v>
      </c>
      <c r="N127" s="453">
        <v>7690100</v>
      </c>
      <c r="O127" s="437">
        <v>7913000</v>
      </c>
      <c r="P127" s="316">
        <v>7987900</v>
      </c>
      <c r="Q127" s="11">
        <v>6372000</v>
      </c>
      <c r="R127" s="191">
        <v>8100000</v>
      </c>
      <c r="S127" s="191">
        <v>8850200</v>
      </c>
      <c r="T127" s="319">
        <v>8328200</v>
      </c>
      <c r="U127" s="316">
        <v>8407500</v>
      </c>
      <c r="V127" s="191"/>
      <c r="W127" s="191">
        <v>7954200</v>
      </c>
      <c r="X127" s="326">
        <v>0.09</v>
      </c>
      <c r="Y127" s="326">
        <v>0.08</v>
      </c>
      <c r="Z127" s="326">
        <v>0.05</v>
      </c>
      <c r="AA127" s="326">
        <v>0.03</v>
      </c>
      <c r="AB127" s="326">
        <v>1.4999999999999999E-2</v>
      </c>
    </row>
    <row r="128" spans="1:28" x14ac:dyDescent="0.2">
      <c r="A128" s="615"/>
      <c r="B128" s="414" t="s">
        <v>12</v>
      </c>
      <c r="C128" s="38">
        <v>7800000</v>
      </c>
      <c r="D128" s="11">
        <v>7908333</v>
      </c>
      <c r="E128" s="11">
        <v>8016667</v>
      </c>
      <c r="F128" s="11">
        <v>8450000</v>
      </c>
      <c r="G128" s="11"/>
      <c r="H128" s="71"/>
      <c r="I128" s="11"/>
      <c r="J128" s="319">
        <v>8000000</v>
      </c>
      <c r="K128" s="425">
        <v>8000000</v>
      </c>
      <c r="L128" s="502"/>
      <c r="M128" s="30">
        <v>8400000</v>
      </c>
      <c r="N128" s="453">
        <v>8400000</v>
      </c>
      <c r="O128" s="437">
        <v>8100000</v>
      </c>
      <c r="P128" s="316">
        <v>8100000</v>
      </c>
      <c r="Q128" s="11"/>
      <c r="R128" s="191">
        <v>9300000</v>
      </c>
      <c r="S128" s="191">
        <v>9400000</v>
      </c>
      <c r="T128" s="319">
        <v>9400000</v>
      </c>
      <c r="U128" s="316">
        <v>8500000</v>
      </c>
      <c r="V128" s="191"/>
      <c r="W128" s="191"/>
      <c r="X128" s="315"/>
      <c r="Y128" s="315"/>
      <c r="Z128" s="315"/>
      <c r="AA128" s="315"/>
      <c r="AB128" s="315"/>
    </row>
    <row r="129" spans="1:28" x14ac:dyDescent="0.2">
      <c r="A129" s="615"/>
      <c r="B129" s="414" t="s">
        <v>11</v>
      </c>
      <c r="C129" s="38">
        <v>7200</v>
      </c>
      <c r="D129" s="11">
        <v>7300</v>
      </c>
      <c r="E129" s="11">
        <v>7400</v>
      </c>
      <c r="F129" s="11">
        <v>7800</v>
      </c>
      <c r="G129" s="11"/>
      <c r="H129" s="71"/>
      <c r="I129" s="11"/>
      <c r="J129" s="319">
        <v>8000</v>
      </c>
      <c r="K129" s="425">
        <v>8000</v>
      </c>
      <c r="L129" s="502"/>
      <c r="M129" s="30">
        <v>8400</v>
      </c>
      <c r="N129" s="453">
        <v>8400</v>
      </c>
      <c r="O129" s="437">
        <v>8100</v>
      </c>
      <c r="P129" s="316">
        <v>8100</v>
      </c>
      <c r="Q129" s="11"/>
      <c r="R129" s="191">
        <v>9300</v>
      </c>
      <c r="S129" s="191">
        <v>9400</v>
      </c>
      <c r="T129" s="319">
        <v>9400</v>
      </c>
      <c r="U129" s="316">
        <v>8500</v>
      </c>
      <c r="V129" s="191"/>
      <c r="W129" s="191"/>
      <c r="X129" s="315"/>
      <c r="Y129" s="315"/>
      <c r="Z129" s="315"/>
      <c r="AA129" s="315"/>
      <c r="AB129" s="315"/>
    </row>
    <row r="130" spans="1:28" x14ac:dyDescent="0.2">
      <c r="A130" s="615"/>
      <c r="B130" s="415" t="s">
        <v>15</v>
      </c>
      <c r="C130" s="400">
        <f>(C128-C127)/C128</f>
        <v>7.2846153846153852E-2</v>
      </c>
      <c r="D130" s="24">
        <f>(D128-D127)/D128</f>
        <v>8.0210709387174256E-2</v>
      </c>
      <c r="E130" s="24">
        <f>(E128-E127)/E128</f>
        <v>8.6241202235293052E-2</v>
      </c>
      <c r="F130" s="24">
        <f>(F128-F127)/F128</f>
        <v>8.1798816568047342E-2</v>
      </c>
      <c r="G130" s="24"/>
      <c r="H130" s="324"/>
      <c r="I130" s="24"/>
      <c r="J130" s="325">
        <f t="shared" ref="J130:W130" si="6">(J128-J127)/J128</f>
        <v>9.5975000000000005E-2</v>
      </c>
      <c r="K130" s="426">
        <f t="shared" si="6"/>
        <v>8.7300000000000003E-2</v>
      </c>
      <c r="L130" s="194"/>
      <c r="M130" s="454">
        <f t="shared" si="6"/>
        <v>9.325E-2</v>
      </c>
      <c r="N130" s="455">
        <f t="shared" si="6"/>
        <v>8.451190476190476E-2</v>
      </c>
      <c r="O130" s="438">
        <f t="shared" si="6"/>
        <v>2.308641975308642E-2</v>
      </c>
      <c r="P130" s="321">
        <f t="shared" si="6"/>
        <v>1.3839506172839506E-2</v>
      </c>
      <c r="Q130" s="24" t="e">
        <f t="shared" si="6"/>
        <v>#DIV/0!</v>
      </c>
      <c r="R130" s="322">
        <f t="shared" si="6"/>
        <v>0.12903225806451613</v>
      </c>
      <c r="S130" s="322">
        <f t="shared" si="6"/>
        <v>5.8489361702127658E-2</v>
      </c>
      <c r="T130" s="325">
        <f t="shared" si="6"/>
        <v>0.11402127659574468</v>
      </c>
      <c r="U130" s="321">
        <f t="shared" si="6"/>
        <v>1.088235294117647E-2</v>
      </c>
      <c r="V130" s="322"/>
      <c r="W130" s="322" t="e">
        <f t="shared" si="6"/>
        <v>#DIV/0!</v>
      </c>
      <c r="X130" s="322"/>
      <c r="Y130" s="315"/>
      <c r="Z130" s="315"/>
      <c r="AA130" s="315"/>
      <c r="AB130" s="315"/>
    </row>
    <row r="131" spans="1:28" x14ac:dyDescent="0.2">
      <c r="A131" s="615"/>
      <c r="B131" s="415" t="s">
        <v>16</v>
      </c>
      <c r="C131" s="400">
        <f>(C128-C127)/C127</f>
        <v>7.8569650709366959E-2</v>
      </c>
      <c r="D131" s="24">
        <f>(D128-D127)/D127</f>
        <v>8.720552653285675E-2</v>
      </c>
      <c r="E131" s="24">
        <f>(E128-E127)/E127</f>
        <v>9.4380707957353288E-2</v>
      </c>
      <c r="F131" s="24">
        <f>(F128-F127)/F127</f>
        <v>8.9085941124916218E-2</v>
      </c>
      <c r="G131" s="24"/>
      <c r="H131" s="324"/>
      <c r="I131" s="24"/>
      <c r="J131" s="325">
        <f t="shared" ref="J131:W131" si="7">(J128-J127)/J127</f>
        <v>0.10616409944415255</v>
      </c>
      <c r="K131" s="426">
        <f t="shared" si="7"/>
        <v>9.5650268434315761E-2</v>
      </c>
      <c r="L131" s="194"/>
      <c r="M131" s="454">
        <f t="shared" si="7"/>
        <v>0.10283981251723187</v>
      </c>
      <c r="N131" s="455">
        <f t="shared" si="7"/>
        <v>9.231349397277018E-2</v>
      </c>
      <c r="O131" s="438">
        <f t="shared" si="7"/>
        <v>2.3631997978010869E-2</v>
      </c>
      <c r="P131" s="321">
        <f t="shared" si="7"/>
        <v>1.4033726010591019E-2</v>
      </c>
      <c r="Q131" s="24">
        <f t="shared" si="7"/>
        <v>-1</v>
      </c>
      <c r="R131" s="322">
        <f t="shared" si="7"/>
        <v>0.14814814814814814</v>
      </c>
      <c r="S131" s="322">
        <f t="shared" si="7"/>
        <v>6.2122889878194844E-2</v>
      </c>
      <c r="T131" s="325">
        <f t="shared" si="7"/>
        <v>0.12869527629019475</v>
      </c>
      <c r="U131" s="321">
        <f t="shared" si="7"/>
        <v>1.1002081474873625E-2</v>
      </c>
      <c r="V131" s="322"/>
      <c r="W131" s="322">
        <f t="shared" si="7"/>
        <v>-1</v>
      </c>
      <c r="X131" s="322"/>
      <c r="Y131" s="315"/>
      <c r="Z131" s="315"/>
      <c r="AA131" s="315"/>
      <c r="AB131" s="315"/>
    </row>
    <row r="132" spans="1:28" ht="13.3" thickBot="1" x14ac:dyDescent="0.25">
      <c r="A132" s="626"/>
      <c r="B132" s="416" t="s">
        <v>10</v>
      </c>
      <c r="C132" s="401">
        <f>C129/C123-1</f>
        <v>0</v>
      </c>
      <c r="D132" s="63">
        <f>D129/D123-1</f>
        <v>0</v>
      </c>
      <c r="E132" s="63">
        <f>E129/E123-1</f>
        <v>0</v>
      </c>
      <c r="F132" s="63">
        <f>F129/F123-1</f>
        <v>0</v>
      </c>
      <c r="G132" s="63"/>
      <c r="H132" s="374"/>
      <c r="I132" s="63"/>
      <c r="J132" s="364" t="e">
        <f t="shared" ref="J132:P132" si="8">J129/J123-1</f>
        <v>#DIV/0!</v>
      </c>
      <c r="K132" s="427">
        <f t="shared" si="8"/>
        <v>0</v>
      </c>
      <c r="L132" s="503"/>
      <c r="M132" s="456" t="e">
        <f t="shared" si="8"/>
        <v>#DIV/0!</v>
      </c>
      <c r="N132" s="80">
        <f t="shared" si="8"/>
        <v>0</v>
      </c>
      <c r="O132" s="439" t="e">
        <f t="shared" si="8"/>
        <v>#DIV/0!</v>
      </c>
      <c r="P132" s="363">
        <f t="shared" si="8"/>
        <v>0</v>
      </c>
      <c r="Q132" s="63"/>
      <c r="R132" s="362">
        <f>R129/R123-1</f>
        <v>0</v>
      </c>
      <c r="S132" s="362">
        <f>S129/S123-1</f>
        <v>0</v>
      </c>
      <c r="T132" s="364" t="e">
        <f>T129/T123-1</f>
        <v>#DIV/0!</v>
      </c>
      <c r="U132" s="363">
        <f>U129/U123-1</f>
        <v>0</v>
      </c>
      <c r="V132" s="362"/>
      <c r="W132" s="362"/>
      <c r="X132" s="315"/>
      <c r="Y132" s="315"/>
      <c r="Z132" s="315"/>
      <c r="AA132" s="315"/>
      <c r="AB132" s="315"/>
    </row>
    <row r="133" spans="1:28" x14ac:dyDescent="0.2">
      <c r="A133" s="619">
        <v>41520</v>
      </c>
      <c r="B133" s="417" t="s">
        <v>13</v>
      </c>
      <c r="C133" s="402">
        <v>7513400</v>
      </c>
      <c r="D133" s="159">
        <v>7592700</v>
      </c>
      <c r="E133" s="159">
        <v>7639200</v>
      </c>
      <c r="F133" s="159">
        <v>8137100</v>
      </c>
      <c r="G133" s="159"/>
      <c r="H133" s="376"/>
      <c r="I133" s="159">
        <v>6489600</v>
      </c>
      <c r="J133" s="87">
        <v>7513800</v>
      </c>
      <c r="K133" s="428">
        <v>7586000</v>
      </c>
      <c r="L133" s="504"/>
      <c r="M133" s="86">
        <v>7698400</v>
      </c>
      <c r="N133" s="457">
        <v>7772600</v>
      </c>
      <c r="O133" s="440">
        <v>8221500</v>
      </c>
      <c r="P133" s="369">
        <v>8295000</v>
      </c>
      <c r="Q133" s="159">
        <v>6489600</v>
      </c>
      <c r="R133" s="366">
        <v>8416300</v>
      </c>
      <c r="S133" s="366">
        <v>9204200</v>
      </c>
      <c r="T133" s="87">
        <v>8420500</v>
      </c>
      <c r="U133" s="369">
        <v>8490000</v>
      </c>
      <c r="V133" s="491"/>
      <c r="W133" s="475">
        <v>7954200</v>
      </c>
      <c r="X133" s="478">
        <v>0.09</v>
      </c>
      <c r="Y133" s="326">
        <v>0.08</v>
      </c>
      <c r="Z133" s="326">
        <v>0.05</v>
      </c>
      <c r="AA133" s="326">
        <v>0.03</v>
      </c>
      <c r="AB133" s="326">
        <v>0.01</v>
      </c>
    </row>
    <row r="134" spans="1:28" x14ac:dyDescent="0.2">
      <c r="A134" s="615"/>
      <c r="B134" s="414" t="s">
        <v>12</v>
      </c>
      <c r="C134" s="38">
        <v>8016667</v>
      </c>
      <c r="D134" s="11">
        <v>8341667</v>
      </c>
      <c r="E134" s="11">
        <v>8450000</v>
      </c>
      <c r="F134" s="11">
        <v>8991667</v>
      </c>
      <c r="G134" s="11"/>
      <c r="H134" s="71"/>
      <c r="I134" s="11"/>
      <c r="J134" s="319">
        <v>8500000</v>
      </c>
      <c r="K134" s="425">
        <v>8500000</v>
      </c>
      <c r="L134" s="502"/>
      <c r="M134" s="30">
        <v>8700000</v>
      </c>
      <c r="N134" s="453">
        <v>8700000</v>
      </c>
      <c r="O134" s="437">
        <v>8600000</v>
      </c>
      <c r="P134" s="316">
        <v>8600000</v>
      </c>
      <c r="Q134" s="11"/>
      <c r="R134" s="191">
        <v>9800000</v>
      </c>
      <c r="S134" s="191">
        <v>9900000</v>
      </c>
      <c r="T134" s="319">
        <v>8800000</v>
      </c>
      <c r="U134" s="316">
        <v>8800000</v>
      </c>
      <c r="V134" s="192"/>
      <c r="W134" s="476"/>
      <c r="X134" s="472"/>
      <c r="Y134" s="315"/>
      <c r="Z134" s="315"/>
      <c r="AA134" s="315"/>
      <c r="AB134" s="315"/>
    </row>
    <row r="135" spans="1:28" x14ac:dyDescent="0.2">
      <c r="A135" s="615"/>
      <c r="B135" s="414" t="s">
        <v>11</v>
      </c>
      <c r="C135" s="38">
        <v>7400</v>
      </c>
      <c r="D135" s="11">
        <v>7700</v>
      </c>
      <c r="E135" s="11">
        <v>7800</v>
      </c>
      <c r="F135" s="11">
        <v>8300</v>
      </c>
      <c r="G135" s="11"/>
      <c r="H135" s="71"/>
      <c r="I135" s="11"/>
      <c r="J135" s="319">
        <v>8500</v>
      </c>
      <c r="K135" s="425">
        <v>8500</v>
      </c>
      <c r="L135" s="502"/>
      <c r="M135" s="30">
        <v>8700</v>
      </c>
      <c r="N135" s="453">
        <v>8700</v>
      </c>
      <c r="O135" s="437">
        <v>8600</v>
      </c>
      <c r="P135" s="316">
        <v>8600</v>
      </c>
      <c r="Q135" s="11"/>
      <c r="R135" s="191">
        <v>9800</v>
      </c>
      <c r="S135" s="191">
        <v>9900</v>
      </c>
      <c r="T135" s="319">
        <v>8800</v>
      </c>
      <c r="U135" s="316">
        <v>8800</v>
      </c>
      <c r="V135" s="192"/>
      <c r="W135" s="476"/>
      <c r="X135" s="472"/>
      <c r="Y135" s="315"/>
      <c r="Z135" s="315"/>
      <c r="AA135" s="315"/>
      <c r="AB135" s="315"/>
    </row>
    <row r="136" spans="1:28" x14ac:dyDescent="0.2">
      <c r="A136" s="615"/>
      <c r="B136" s="415" t="s">
        <v>15</v>
      </c>
      <c r="C136" s="400">
        <f>(C134-C133)/C134</f>
        <v>6.2777585747293738E-2</v>
      </c>
      <c r="D136" s="24">
        <f>(D134-D133)/D134</f>
        <v>8.9786250158391603E-2</v>
      </c>
      <c r="E136" s="24">
        <f>(E134-E133)/E134</f>
        <v>9.5952662721893497E-2</v>
      </c>
      <c r="F136" s="24">
        <f>(F134-F133)/F134</f>
        <v>9.5039885262654861E-2</v>
      </c>
      <c r="G136" s="24"/>
      <c r="H136" s="324"/>
      <c r="I136" s="24"/>
      <c r="J136" s="325">
        <f t="shared" ref="J136:X136" si="9">(J134-J133)/J134</f>
        <v>0.11602352941176471</v>
      </c>
      <c r="K136" s="426">
        <f t="shared" si="9"/>
        <v>0.10752941176470589</v>
      </c>
      <c r="L136" s="194"/>
      <c r="M136" s="454">
        <f t="shared" si="9"/>
        <v>0.11512643678160919</v>
      </c>
      <c r="N136" s="455">
        <f t="shared" si="9"/>
        <v>0.10659770114942528</v>
      </c>
      <c r="O136" s="438">
        <f t="shared" si="9"/>
        <v>4.4011627906976741E-2</v>
      </c>
      <c r="P136" s="321">
        <f t="shared" si="9"/>
        <v>3.5465116279069765E-2</v>
      </c>
      <c r="Q136" s="24" t="e">
        <f t="shared" si="9"/>
        <v>#DIV/0!</v>
      </c>
      <c r="R136" s="322">
        <f t="shared" si="9"/>
        <v>0.14119387755102042</v>
      </c>
      <c r="S136" s="322">
        <f t="shared" si="9"/>
        <v>7.028282828282828E-2</v>
      </c>
      <c r="T136" s="325">
        <f t="shared" si="9"/>
        <v>4.3124999999999997E-2</v>
      </c>
      <c r="U136" s="321">
        <f t="shared" si="9"/>
        <v>3.5227272727272725E-2</v>
      </c>
      <c r="V136" s="492"/>
      <c r="W136" s="195" t="e">
        <f t="shared" si="9"/>
        <v>#DIV/0!</v>
      </c>
      <c r="X136" s="406" t="e">
        <f t="shared" si="9"/>
        <v>#DIV/0!</v>
      </c>
      <c r="Y136" s="315"/>
      <c r="Z136" s="315"/>
      <c r="AA136" s="315"/>
      <c r="AB136" s="315"/>
    </row>
    <row r="137" spans="1:28" x14ac:dyDescent="0.2">
      <c r="A137" s="615"/>
      <c r="B137" s="415" t="s">
        <v>16</v>
      </c>
      <c r="C137" s="400">
        <f>(C134-C133)/C133</f>
        <v>6.6982591103894373E-2</v>
      </c>
      <c r="D137" s="24">
        <f>(D134-D133)/D133</f>
        <v>9.8643038708232905E-2</v>
      </c>
      <c r="E137" s="24">
        <f>(E134-E133)/E133</f>
        <v>0.10613676824798408</v>
      </c>
      <c r="F137" s="24">
        <f>(F134-F133)/F133</f>
        <v>0.10502107630482604</v>
      </c>
      <c r="G137" s="24"/>
      <c r="H137" s="324"/>
      <c r="I137" s="24"/>
      <c r="J137" s="325">
        <f t="shared" ref="J137:X137" si="10">(J134-J133)/J133</f>
        <v>0.13125182996619553</v>
      </c>
      <c r="K137" s="426">
        <f t="shared" si="10"/>
        <v>0.1204851041392038</v>
      </c>
      <c r="L137" s="194"/>
      <c r="M137" s="454">
        <f t="shared" si="10"/>
        <v>0.13010495687415566</v>
      </c>
      <c r="N137" s="455">
        <f t="shared" si="10"/>
        <v>0.119316573604714</v>
      </c>
      <c r="O137" s="438">
        <f t="shared" si="10"/>
        <v>4.603782764702305E-2</v>
      </c>
      <c r="P137" s="321">
        <f t="shared" si="10"/>
        <v>3.6769138034960819E-2</v>
      </c>
      <c r="Q137" s="24">
        <f t="shared" si="10"/>
        <v>-1</v>
      </c>
      <c r="R137" s="322">
        <f t="shared" si="10"/>
        <v>0.16440716229221866</v>
      </c>
      <c r="S137" s="322">
        <f t="shared" si="10"/>
        <v>7.5595923600095608E-2</v>
      </c>
      <c r="T137" s="325">
        <f t="shared" si="10"/>
        <v>4.5068582625734814E-2</v>
      </c>
      <c r="U137" s="321">
        <f t="shared" si="10"/>
        <v>3.6513545347467612E-2</v>
      </c>
      <c r="V137" s="492"/>
      <c r="W137" s="195">
        <f t="shared" si="10"/>
        <v>-1</v>
      </c>
      <c r="X137" s="406">
        <f t="shared" si="10"/>
        <v>-1</v>
      </c>
      <c r="Y137" s="315"/>
      <c r="Z137" s="315"/>
      <c r="AA137" s="315"/>
      <c r="AB137" s="315"/>
    </row>
    <row r="138" spans="1:28" ht="13.3" thickBot="1" x14ac:dyDescent="0.25">
      <c r="A138" s="620"/>
      <c r="B138" s="418" t="s">
        <v>10</v>
      </c>
      <c r="C138" s="403">
        <f>C135/C129-1</f>
        <v>2.7777777777777679E-2</v>
      </c>
      <c r="D138" s="25">
        <f>D135/D129-1</f>
        <v>5.4794520547945202E-2</v>
      </c>
      <c r="E138" s="25">
        <f>E135/E129-1</f>
        <v>5.4054054054053946E-2</v>
      </c>
      <c r="F138" s="25">
        <f>F135/F129-1</f>
        <v>6.4102564102564097E-2</v>
      </c>
      <c r="G138" s="25"/>
      <c r="H138" s="378"/>
      <c r="I138" s="25"/>
      <c r="J138" s="373">
        <f t="shared" ref="J138:P138" si="11">J135/J129-1</f>
        <v>6.25E-2</v>
      </c>
      <c r="K138" s="429">
        <f t="shared" si="11"/>
        <v>6.25E-2</v>
      </c>
      <c r="L138" s="505"/>
      <c r="M138" s="458">
        <f t="shared" si="11"/>
        <v>3.5714285714285809E-2</v>
      </c>
      <c r="N138" s="79">
        <f t="shared" si="11"/>
        <v>3.5714285714285809E-2</v>
      </c>
      <c r="O138" s="441">
        <f t="shared" si="11"/>
        <v>6.1728395061728447E-2</v>
      </c>
      <c r="P138" s="372">
        <f t="shared" si="11"/>
        <v>6.1728395061728447E-2</v>
      </c>
      <c r="Q138" s="25"/>
      <c r="R138" s="370">
        <f>R135/R129-1</f>
        <v>5.3763440860215006E-2</v>
      </c>
      <c r="S138" s="370">
        <f>S135/S129-1</f>
        <v>5.3191489361702038E-2</v>
      </c>
      <c r="T138" s="373">
        <f>T135/T129-1</f>
        <v>-6.3829787234042534E-2</v>
      </c>
      <c r="U138" s="372">
        <f>U135/U129-1</f>
        <v>3.529411764705892E-2</v>
      </c>
      <c r="V138" s="493"/>
      <c r="W138" s="477"/>
      <c r="X138" s="472"/>
      <c r="Y138" s="315"/>
      <c r="Z138" s="315"/>
      <c r="AA138" s="315"/>
      <c r="AB138" s="315"/>
    </row>
    <row r="139" spans="1:28" x14ac:dyDescent="0.2">
      <c r="A139" s="619">
        <v>41534</v>
      </c>
      <c r="B139" s="417" t="s">
        <v>13</v>
      </c>
      <c r="C139" s="402">
        <v>8008300</v>
      </c>
      <c r="D139" s="159">
        <v>8073000</v>
      </c>
      <c r="E139" s="159">
        <v>8211900</v>
      </c>
      <c r="F139" s="159">
        <v>8903000</v>
      </c>
      <c r="G139" s="159"/>
      <c r="H139" s="376"/>
      <c r="I139" s="159">
        <v>6489600</v>
      </c>
      <c r="J139" s="87">
        <v>8117100</v>
      </c>
      <c r="K139" s="428">
        <v>8195300</v>
      </c>
      <c r="L139" s="504"/>
      <c r="M139" s="86">
        <v>8302700</v>
      </c>
      <c r="N139" s="457">
        <v>8382800</v>
      </c>
      <c r="O139" s="440">
        <v>8870100</v>
      </c>
      <c r="P139" s="369">
        <v>8952000</v>
      </c>
      <c r="Q139" s="159">
        <v>6489600</v>
      </c>
      <c r="R139" s="366">
        <v>9087400</v>
      </c>
      <c r="S139" s="366">
        <v>9917000</v>
      </c>
      <c r="T139" s="87">
        <v>9070500</v>
      </c>
      <c r="U139" s="369">
        <v>9157000</v>
      </c>
      <c r="V139" s="491"/>
      <c r="W139" s="475">
        <v>7954200</v>
      </c>
      <c r="X139" s="478">
        <v>0.09</v>
      </c>
      <c r="Y139" s="326">
        <v>0.08</v>
      </c>
      <c r="Z139" s="326">
        <v>0.05</v>
      </c>
      <c r="AA139" s="326">
        <v>0.03</v>
      </c>
      <c r="AB139" s="326">
        <v>1.4999999999999999E-2</v>
      </c>
    </row>
    <row r="140" spans="1:28" x14ac:dyDescent="0.2">
      <c r="A140" s="615"/>
      <c r="B140" s="414" t="s">
        <v>12</v>
      </c>
      <c r="C140" s="38">
        <v>8558333</v>
      </c>
      <c r="D140" s="11">
        <v>8883333</v>
      </c>
      <c r="E140" s="11">
        <v>9100000</v>
      </c>
      <c r="F140" s="11">
        <v>9858333</v>
      </c>
      <c r="G140" s="11"/>
      <c r="H140" s="71"/>
      <c r="I140" s="11"/>
      <c r="J140" s="319">
        <v>9200000</v>
      </c>
      <c r="K140" s="425">
        <v>9200000</v>
      </c>
      <c r="L140" s="502"/>
      <c r="M140" s="30">
        <v>9400000</v>
      </c>
      <c r="N140" s="453">
        <v>9400000</v>
      </c>
      <c r="O140" s="437">
        <v>9300000</v>
      </c>
      <c r="P140" s="316">
        <v>9300000</v>
      </c>
      <c r="Q140" s="11"/>
      <c r="R140" s="191">
        <v>10600000</v>
      </c>
      <c r="S140" s="191">
        <v>10700000</v>
      </c>
      <c r="T140" s="319">
        <v>9500000</v>
      </c>
      <c r="U140" s="316">
        <v>9500000</v>
      </c>
      <c r="V140" s="192"/>
      <c r="W140" s="476"/>
      <c r="X140" s="472"/>
      <c r="Y140" s="315"/>
      <c r="Z140" s="315"/>
      <c r="AA140" s="315"/>
      <c r="AB140" s="315"/>
    </row>
    <row r="141" spans="1:28" x14ac:dyDescent="0.2">
      <c r="A141" s="615"/>
      <c r="B141" s="414" t="s">
        <v>11</v>
      </c>
      <c r="C141" s="38">
        <v>7900</v>
      </c>
      <c r="D141" s="11">
        <v>8200</v>
      </c>
      <c r="E141" s="11">
        <v>8400</v>
      </c>
      <c r="F141" s="11">
        <v>9100</v>
      </c>
      <c r="G141" s="11"/>
      <c r="H141" s="71"/>
      <c r="I141" s="11"/>
      <c r="J141" s="319">
        <v>9200</v>
      </c>
      <c r="K141" s="425">
        <v>9200</v>
      </c>
      <c r="L141" s="502"/>
      <c r="M141" s="30">
        <v>9400</v>
      </c>
      <c r="N141" s="453">
        <v>9400</v>
      </c>
      <c r="O141" s="437">
        <v>9300</v>
      </c>
      <c r="P141" s="316">
        <v>9300</v>
      </c>
      <c r="Q141" s="11"/>
      <c r="R141" s="191">
        <v>10600</v>
      </c>
      <c r="S141" s="191">
        <v>10700</v>
      </c>
      <c r="T141" s="319">
        <v>9500</v>
      </c>
      <c r="U141" s="316">
        <v>9500</v>
      </c>
      <c r="V141" s="192"/>
      <c r="W141" s="476"/>
      <c r="X141" s="472"/>
      <c r="Y141" s="315"/>
      <c r="Z141" s="315"/>
      <c r="AA141" s="315"/>
      <c r="AB141" s="315"/>
    </row>
    <row r="142" spans="1:28" x14ac:dyDescent="0.2">
      <c r="A142" s="615"/>
      <c r="B142" s="415" t="s">
        <v>15</v>
      </c>
      <c r="C142" s="400">
        <f>(C140-C139)/C140</f>
        <v>6.4268707469083058E-2</v>
      </c>
      <c r="D142" s="24">
        <f>(D140-D139)/D140</f>
        <v>9.1219478094539522E-2</v>
      </c>
      <c r="E142" s="24">
        <f>(E140-E139)/E140</f>
        <v>9.7593406593406595E-2</v>
      </c>
      <c r="F142" s="24">
        <f>(F140-F139)/F140</f>
        <v>9.6906140216606595E-2</v>
      </c>
      <c r="G142" s="24"/>
      <c r="H142" s="324"/>
      <c r="I142" s="24"/>
      <c r="J142" s="325">
        <f t="shared" ref="J142:X142" si="12">(J140-J139)/J140</f>
        <v>0.11770652173913043</v>
      </c>
      <c r="K142" s="426">
        <f t="shared" si="12"/>
        <v>0.10920652173913044</v>
      </c>
      <c r="L142" s="194"/>
      <c r="M142" s="454">
        <f t="shared" si="12"/>
        <v>0.11673404255319149</v>
      </c>
      <c r="N142" s="455">
        <f t="shared" si="12"/>
        <v>0.1082127659574468</v>
      </c>
      <c r="O142" s="438">
        <f t="shared" si="12"/>
        <v>4.6225806451612901E-2</v>
      </c>
      <c r="P142" s="321">
        <f t="shared" si="12"/>
        <v>3.741935483870968E-2</v>
      </c>
      <c r="Q142" s="24" t="e">
        <f t="shared" si="12"/>
        <v>#DIV/0!</v>
      </c>
      <c r="R142" s="322">
        <f t="shared" si="12"/>
        <v>0.14269811320754716</v>
      </c>
      <c r="S142" s="322">
        <f t="shared" si="12"/>
        <v>7.3177570093457947E-2</v>
      </c>
      <c r="T142" s="325">
        <f t="shared" si="12"/>
        <v>4.5210526315789472E-2</v>
      </c>
      <c r="U142" s="321">
        <f t="shared" si="12"/>
        <v>3.6105263157894738E-2</v>
      </c>
      <c r="V142" s="492"/>
      <c r="W142" s="195" t="e">
        <f t="shared" si="12"/>
        <v>#DIV/0!</v>
      </c>
      <c r="X142" s="406" t="e">
        <f t="shared" si="12"/>
        <v>#DIV/0!</v>
      </c>
      <c r="Y142" s="315"/>
      <c r="Z142" s="315"/>
      <c r="AA142" s="315"/>
      <c r="AB142" s="315"/>
    </row>
    <row r="143" spans="1:28" x14ac:dyDescent="0.2">
      <c r="A143" s="615"/>
      <c r="B143" s="415" t="s">
        <v>16</v>
      </c>
      <c r="C143" s="400">
        <f>(C140-C139)/C139</f>
        <v>6.8682866525979297E-2</v>
      </c>
      <c r="D143" s="24">
        <f>(D140-D139)/D139</f>
        <v>0.10037569676700112</v>
      </c>
      <c r="E143" s="24">
        <f>(E140-E139)/E139</f>
        <v>0.10814793166015173</v>
      </c>
      <c r="F143" s="24">
        <f>(F140-F139)/F139</f>
        <v>0.10730461642143098</v>
      </c>
      <c r="G143" s="24"/>
      <c r="H143" s="324"/>
      <c r="I143" s="24"/>
      <c r="J143" s="325">
        <f t="shared" ref="J143:X143" si="13">(J140-J139)/J139</f>
        <v>0.13340971529240739</v>
      </c>
      <c r="K143" s="426">
        <f t="shared" si="13"/>
        <v>0.12259465791368224</v>
      </c>
      <c r="L143" s="194"/>
      <c r="M143" s="454">
        <f t="shared" si="13"/>
        <v>0.13216182687559469</v>
      </c>
      <c r="N143" s="455">
        <f t="shared" si="13"/>
        <v>0.12134370377439518</v>
      </c>
      <c r="O143" s="438">
        <f t="shared" si="13"/>
        <v>4.8466195420570228E-2</v>
      </c>
      <c r="P143" s="321">
        <f t="shared" si="13"/>
        <v>3.8873994638069703E-2</v>
      </c>
      <c r="Q143" s="24">
        <f t="shared" si="13"/>
        <v>-1</v>
      </c>
      <c r="R143" s="322">
        <f t="shared" si="13"/>
        <v>0.16645024979642142</v>
      </c>
      <c r="S143" s="322">
        <f t="shared" si="13"/>
        <v>7.8955329232630836E-2</v>
      </c>
      <c r="T143" s="325">
        <f t="shared" si="13"/>
        <v>4.7351303676754317E-2</v>
      </c>
      <c r="U143" s="321">
        <f t="shared" si="13"/>
        <v>3.7457682647155183E-2</v>
      </c>
      <c r="V143" s="492"/>
      <c r="W143" s="195">
        <f t="shared" si="13"/>
        <v>-1</v>
      </c>
      <c r="X143" s="406">
        <f t="shared" si="13"/>
        <v>-1</v>
      </c>
      <c r="Y143" s="315"/>
      <c r="Z143" s="315"/>
      <c r="AA143" s="315"/>
      <c r="AB143" s="315"/>
    </row>
    <row r="144" spans="1:28" ht="13.3" thickBot="1" x14ac:dyDescent="0.25">
      <c r="A144" s="620"/>
      <c r="B144" s="418" t="s">
        <v>10</v>
      </c>
      <c r="C144" s="403">
        <f>C141/C135-1</f>
        <v>6.7567567567567544E-2</v>
      </c>
      <c r="D144" s="25">
        <f>D141/D135-1</f>
        <v>6.4935064935064846E-2</v>
      </c>
      <c r="E144" s="25">
        <f>E141/E135-1</f>
        <v>7.6923076923076872E-2</v>
      </c>
      <c r="F144" s="25">
        <f>F141/F135-1</f>
        <v>9.6385542168674787E-2</v>
      </c>
      <c r="G144" s="25"/>
      <c r="H144" s="378"/>
      <c r="I144" s="25"/>
      <c r="J144" s="373">
        <f t="shared" ref="J144:P144" si="14">J141/J135-1</f>
        <v>8.2352941176470518E-2</v>
      </c>
      <c r="K144" s="429">
        <f t="shared" si="14"/>
        <v>8.2352941176470518E-2</v>
      </c>
      <c r="L144" s="505"/>
      <c r="M144" s="458">
        <f t="shared" si="14"/>
        <v>8.0459770114942541E-2</v>
      </c>
      <c r="N144" s="79">
        <f t="shared" si="14"/>
        <v>8.0459770114942541E-2</v>
      </c>
      <c r="O144" s="441">
        <f t="shared" si="14"/>
        <v>8.1395348837209225E-2</v>
      </c>
      <c r="P144" s="372">
        <f t="shared" si="14"/>
        <v>8.1395348837209225E-2</v>
      </c>
      <c r="Q144" s="25"/>
      <c r="R144" s="370">
        <f>R141/R135-1</f>
        <v>8.163265306122458E-2</v>
      </c>
      <c r="S144" s="370">
        <f>S141/S135-1</f>
        <v>8.0808080808080884E-2</v>
      </c>
      <c r="T144" s="373">
        <f>T141/T135-1</f>
        <v>7.9545454545454586E-2</v>
      </c>
      <c r="U144" s="372">
        <f>U141/U135-1</f>
        <v>7.9545454545454586E-2</v>
      </c>
      <c r="V144" s="493"/>
      <c r="W144" s="477"/>
      <c r="X144" s="472"/>
      <c r="Y144" s="315"/>
      <c r="Z144" s="315"/>
      <c r="AA144" s="315"/>
      <c r="AB144" s="315"/>
    </row>
    <row r="145" spans="1:28" x14ac:dyDescent="0.2">
      <c r="A145" s="619">
        <v>41613</v>
      </c>
      <c r="B145" s="417" t="s">
        <v>13</v>
      </c>
      <c r="C145" s="402">
        <v>8008300</v>
      </c>
      <c r="D145" s="159">
        <v>8265300</v>
      </c>
      <c r="E145" s="159">
        <v>8402800</v>
      </c>
      <c r="F145" s="159">
        <v>9094600</v>
      </c>
      <c r="G145" s="159"/>
      <c r="H145" s="376"/>
      <c r="I145" s="159">
        <v>6619400</v>
      </c>
      <c r="J145" s="87">
        <v>8289100</v>
      </c>
      <c r="K145" s="428">
        <v>8369000</v>
      </c>
      <c r="L145" s="504"/>
      <c r="M145" s="86">
        <v>8475500</v>
      </c>
      <c r="N145" s="457">
        <v>8557300</v>
      </c>
      <c r="O145" s="440">
        <v>9056400</v>
      </c>
      <c r="P145" s="369">
        <v>9140000</v>
      </c>
      <c r="Q145" s="159">
        <v>6725900</v>
      </c>
      <c r="R145" s="366">
        <v>9199100</v>
      </c>
      <c r="S145" s="366">
        <v>10036100</v>
      </c>
      <c r="T145" s="87">
        <v>9261000</v>
      </c>
      <c r="U145" s="369">
        <v>9349300</v>
      </c>
      <c r="V145" s="491"/>
      <c r="W145" s="475">
        <v>7954200</v>
      </c>
      <c r="X145" s="478">
        <v>0.09</v>
      </c>
      <c r="Y145" s="326">
        <v>0.08</v>
      </c>
      <c r="Z145" s="326">
        <v>0.05</v>
      </c>
      <c r="AA145" s="326">
        <v>0.03</v>
      </c>
      <c r="AB145" s="326">
        <v>1.4999999999999999E-2</v>
      </c>
    </row>
    <row r="146" spans="1:28" x14ac:dyDescent="0.2">
      <c r="A146" s="615"/>
      <c r="B146" s="414" t="s">
        <v>12</v>
      </c>
      <c r="C146" s="38">
        <v>8558333</v>
      </c>
      <c r="D146" s="11">
        <v>9100000</v>
      </c>
      <c r="E146" s="11">
        <v>9316667</v>
      </c>
      <c r="F146" s="11">
        <v>10075000</v>
      </c>
      <c r="G146" s="11"/>
      <c r="H146" s="71"/>
      <c r="I146" s="11"/>
      <c r="J146" s="319">
        <v>9400000</v>
      </c>
      <c r="K146" s="425">
        <v>9400000</v>
      </c>
      <c r="L146" s="502"/>
      <c r="M146" s="30">
        <v>9600000</v>
      </c>
      <c r="N146" s="453">
        <v>9600000</v>
      </c>
      <c r="O146" s="437">
        <v>9500000</v>
      </c>
      <c r="P146" s="316">
        <v>9500000</v>
      </c>
      <c r="Q146" s="11"/>
      <c r="R146" s="191">
        <v>10900000</v>
      </c>
      <c r="S146" s="191">
        <v>11000000</v>
      </c>
      <c r="T146" s="319">
        <v>9700000</v>
      </c>
      <c r="U146" s="316">
        <v>9700000</v>
      </c>
      <c r="V146" s="192"/>
      <c r="W146" s="476"/>
      <c r="X146" s="472"/>
      <c r="Y146" s="315"/>
      <c r="Z146" s="315"/>
      <c r="AA146" s="315"/>
      <c r="AB146" s="315"/>
    </row>
    <row r="147" spans="1:28" x14ac:dyDescent="0.2">
      <c r="A147" s="615"/>
      <c r="B147" s="414" t="s">
        <v>11</v>
      </c>
      <c r="C147" s="38">
        <v>7900</v>
      </c>
      <c r="D147" s="11">
        <v>8400</v>
      </c>
      <c r="E147" s="11">
        <v>8600</v>
      </c>
      <c r="F147" s="11">
        <v>9300</v>
      </c>
      <c r="G147" s="11"/>
      <c r="H147" s="71"/>
      <c r="I147" s="11"/>
      <c r="J147" s="319">
        <v>9400</v>
      </c>
      <c r="K147" s="425">
        <v>9400</v>
      </c>
      <c r="L147" s="502"/>
      <c r="M147" s="30">
        <v>9600</v>
      </c>
      <c r="N147" s="453">
        <v>9600</v>
      </c>
      <c r="O147" s="437">
        <v>9500</v>
      </c>
      <c r="P147" s="316">
        <v>9500</v>
      </c>
      <c r="Q147" s="11"/>
      <c r="R147" s="191">
        <v>10900</v>
      </c>
      <c r="S147" s="191"/>
      <c r="T147" s="319">
        <v>9700</v>
      </c>
      <c r="U147" s="316">
        <v>9700</v>
      </c>
      <c r="V147" s="192"/>
      <c r="W147" s="476"/>
      <c r="X147" s="472"/>
      <c r="Y147" s="315"/>
      <c r="Z147" s="315"/>
      <c r="AA147" s="315"/>
      <c r="AB147" s="315"/>
    </row>
    <row r="148" spans="1:28" x14ac:dyDescent="0.2">
      <c r="A148" s="615"/>
      <c r="B148" s="415" t="s">
        <v>15</v>
      </c>
      <c r="C148" s="400">
        <f>(C146-C145)/C146</f>
        <v>6.4268707469083058E-2</v>
      </c>
      <c r="D148" s="24">
        <f>(D146-D145)/D146</f>
        <v>9.1725274725274725E-2</v>
      </c>
      <c r="E148" s="24">
        <f>(E146-E145)/E146</f>
        <v>9.8089477706995429E-2</v>
      </c>
      <c r="F148" s="24">
        <f>(F146-F145)/F146</f>
        <v>9.7310173697270477E-2</v>
      </c>
      <c r="G148" s="24"/>
      <c r="H148" s="324"/>
      <c r="I148" s="24"/>
      <c r="J148" s="325">
        <f t="shared" ref="J148:X148" si="15">(J146-J145)/J146</f>
        <v>0.11818085106382979</v>
      </c>
      <c r="K148" s="426">
        <f t="shared" si="15"/>
        <v>0.10968085106382978</v>
      </c>
      <c r="L148" s="194"/>
      <c r="M148" s="454">
        <f t="shared" si="15"/>
        <v>0.11713541666666667</v>
      </c>
      <c r="N148" s="455">
        <f t="shared" si="15"/>
        <v>0.10861458333333333</v>
      </c>
      <c r="O148" s="438">
        <f t="shared" si="15"/>
        <v>4.6694736842105261E-2</v>
      </c>
      <c r="P148" s="321">
        <f t="shared" si="15"/>
        <v>3.7894736842105266E-2</v>
      </c>
      <c r="Q148" s="24" t="e">
        <f t="shared" si="15"/>
        <v>#DIV/0!</v>
      </c>
      <c r="R148" s="322">
        <f t="shared" si="15"/>
        <v>0.15604587155963304</v>
      </c>
      <c r="S148" s="322">
        <f t="shared" si="15"/>
        <v>8.7627272727272734E-2</v>
      </c>
      <c r="T148" s="325">
        <f t="shared" si="15"/>
        <v>4.5257731958762884E-2</v>
      </c>
      <c r="U148" s="321">
        <f t="shared" si="15"/>
        <v>3.6154639175257734E-2</v>
      </c>
      <c r="V148" s="492"/>
      <c r="W148" s="195" t="e">
        <f t="shared" si="15"/>
        <v>#DIV/0!</v>
      </c>
      <c r="X148" s="406" t="e">
        <f t="shared" si="15"/>
        <v>#DIV/0!</v>
      </c>
      <c r="Y148" s="315"/>
      <c r="Z148" s="315"/>
      <c r="AA148" s="315"/>
      <c r="AB148" s="315"/>
    </row>
    <row r="149" spans="1:28" x14ac:dyDescent="0.2">
      <c r="A149" s="615"/>
      <c r="B149" s="415" t="s">
        <v>16</v>
      </c>
      <c r="C149" s="400">
        <f>(C146-C145)/C145</f>
        <v>6.8682866525979297E-2</v>
      </c>
      <c r="D149" s="24">
        <f>(D146-D145)/D145</f>
        <v>0.10098846986800238</v>
      </c>
      <c r="E149" s="24">
        <f>(E146-E145)/E145</f>
        <v>0.10875743799685819</v>
      </c>
      <c r="F149" s="24">
        <f>(F146-F145)/F145</f>
        <v>0.10780023310535923</v>
      </c>
      <c r="G149" s="24"/>
      <c r="H149" s="324"/>
      <c r="I149" s="24"/>
      <c r="J149" s="325">
        <f t="shared" ref="J149:X149" si="16">(J146-J145)/J145</f>
        <v>0.13401937484165952</v>
      </c>
      <c r="K149" s="426">
        <f t="shared" si="16"/>
        <v>0.12319273509379854</v>
      </c>
      <c r="L149" s="194"/>
      <c r="M149" s="454">
        <f t="shared" si="16"/>
        <v>0.13267653825732995</v>
      </c>
      <c r="N149" s="455">
        <f t="shared" si="16"/>
        <v>0.12184918140067545</v>
      </c>
      <c r="O149" s="438">
        <f t="shared" si="16"/>
        <v>4.8981935426880438E-2</v>
      </c>
      <c r="P149" s="321">
        <f t="shared" si="16"/>
        <v>3.9387308533916851E-2</v>
      </c>
      <c r="Q149" s="24">
        <f t="shared" si="16"/>
        <v>-1</v>
      </c>
      <c r="R149" s="322">
        <f t="shared" si="16"/>
        <v>0.18489852268156667</v>
      </c>
      <c r="S149" s="322">
        <f t="shared" si="16"/>
        <v>9.6043283745678096E-2</v>
      </c>
      <c r="T149" s="325">
        <f t="shared" si="16"/>
        <v>4.7403088219414753E-2</v>
      </c>
      <c r="U149" s="321">
        <f t="shared" si="16"/>
        <v>3.751082968778411E-2</v>
      </c>
      <c r="V149" s="492"/>
      <c r="W149" s="195">
        <f t="shared" si="16"/>
        <v>-1</v>
      </c>
      <c r="X149" s="406">
        <f t="shared" si="16"/>
        <v>-1</v>
      </c>
      <c r="Y149" s="315"/>
      <c r="Z149" s="315"/>
      <c r="AA149" s="315"/>
      <c r="AB149" s="315"/>
    </row>
    <row r="150" spans="1:28" ht="13.3" thickBot="1" x14ac:dyDescent="0.25">
      <c r="A150" s="620"/>
      <c r="B150" s="418" t="s">
        <v>10</v>
      </c>
      <c r="C150" s="403">
        <f>C147/C141-1</f>
        <v>0</v>
      </c>
      <c r="D150" s="25">
        <f>D147/D141-1</f>
        <v>2.4390243902439046E-2</v>
      </c>
      <c r="E150" s="25">
        <f>E147/E141-1</f>
        <v>2.3809523809523725E-2</v>
      </c>
      <c r="F150" s="25">
        <f>F147/F141-1</f>
        <v>2.19780219780219E-2</v>
      </c>
      <c r="G150" s="25"/>
      <c r="H150" s="378"/>
      <c r="I150" s="25"/>
      <c r="J150" s="373">
        <f t="shared" ref="J150:P150" si="17">J147/J141-1</f>
        <v>2.1739130434782705E-2</v>
      </c>
      <c r="K150" s="429">
        <f t="shared" si="17"/>
        <v>2.1739130434782705E-2</v>
      </c>
      <c r="L150" s="505"/>
      <c r="M150" s="458">
        <f t="shared" si="17"/>
        <v>2.1276595744680771E-2</v>
      </c>
      <c r="N150" s="79">
        <f t="shared" si="17"/>
        <v>2.1276595744680771E-2</v>
      </c>
      <c r="O150" s="441">
        <f t="shared" si="17"/>
        <v>2.1505376344086002E-2</v>
      </c>
      <c r="P150" s="372">
        <f t="shared" si="17"/>
        <v>2.1505376344086002E-2</v>
      </c>
      <c r="Q150" s="25"/>
      <c r="R150" s="370">
        <f>R147/R141-1</f>
        <v>2.8301886792452935E-2</v>
      </c>
      <c r="S150" s="370">
        <f>S147/S141-1</f>
        <v>-1</v>
      </c>
      <c r="T150" s="373">
        <f>T147/T141-1</f>
        <v>2.1052631578947434E-2</v>
      </c>
      <c r="U150" s="372">
        <f>U147/U141-1</f>
        <v>2.1052631578947434E-2</v>
      </c>
      <c r="V150" s="493"/>
      <c r="W150" s="477"/>
      <c r="X150" s="472"/>
      <c r="Y150" s="315"/>
      <c r="Z150" s="315"/>
      <c r="AA150" s="315"/>
      <c r="AB150" s="315"/>
    </row>
    <row r="151" spans="1:28" x14ac:dyDescent="0.2">
      <c r="A151" s="619">
        <v>41636</v>
      </c>
      <c r="B151" s="417" t="s">
        <v>13</v>
      </c>
      <c r="C151" s="402">
        <v>8260800</v>
      </c>
      <c r="D151" s="159">
        <v>8480300</v>
      </c>
      <c r="E151" s="159">
        <v>8616200</v>
      </c>
      <c r="F151" s="159">
        <v>9308500</v>
      </c>
      <c r="G151" s="159"/>
      <c r="H151" s="376"/>
      <c r="I151" s="159">
        <v>6771600</v>
      </c>
      <c r="J151" s="87">
        <v>8483600</v>
      </c>
      <c r="K151" s="428">
        <v>8569300</v>
      </c>
      <c r="L151" s="504"/>
      <c r="M151" s="86">
        <v>8669900</v>
      </c>
      <c r="N151" s="457">
        <v>8753500</v>
      </c>
      <c r="O151" s="440">
        <v>9237600</v>
      </c>
      <c r="P151" s="369">
        <v>9332000</v>
      </c>
      <c r="Q151" s="159"/>
      <c r="R151" s="366">
        <v>9408700</v>
      </c>
      <c r="S151" s="366">
        <v>10236900</v>
      </c>
      <c r="T151" s="87">
        <v>9455500</v>
      </c>
      <c r="U151" s="369">
        <v>9545700</v>
      </c>
      <c r="V151" s="491"/>
      <c r="W151" s="475">
        <v>8127400</v>
      </c>
      <c r="X151" s="478">
        <v>0.09</v>
      </c>
      <c r="Y151" s="326">
        <v>0.08</v>
      </c>
      <c r="Z151" s="326">
        <v>0.05</v>
      </c>
      <c r="AA151" s="326">
        <v>0.03</v>
      </c>
      <c r="AB151" s="326">
        <v>1.4999999999999999E-2</v>
      </c>
    </row>
    <row r="152" spans="1:28" x14ac:dyDescent="0.2">
      <c r="A152" s="615"/>
      <c r="B152" s="414" t="s">
        <v>12</v>
      </c>
      <c r="C152" s="38">
        <v>8558333</v>
      </c>
      <c r="D152" s="11">
        <v>9316667</v>
      </c>
      <c r="E152" s="11">
        <v>9533333</v>
      </c>
      <c r="F152" s="11">
        <v>10291667</v>
      </c>
      <c r="G152" s="11"/>
      <c r="H152" s="71"/>
      <c r="I152" s="11"/>
      <c r="J152" s="319">
        <v>9600000</v>
      </c>
      <c r="K152" s="425">
        <v>9600000</v>
      </c>
      <c r="L152" s="502"/>
      <c r="M152" s="30">
        <v>9800000</v>
      </c>
      <c r="N152" s="453">
        <v>9800000</v>
      </c>
      <c r="O152" s="437">
        <v>9700000</v>
      </c>
      <c r="P152" s="316">
        <v>9700000</v>
      </c>
      <c r="Q152" s="11"/>
      <c r="R152" s="191">
        <v>11100000</v>
      </c>
      <c r="S152" s="191">
        <v>11200000</v>
      </c>
      <c r="T152" s="319">
        <v>9900000</v>
      </c>
      <c r="U152" s="316">
        <v>9900000</v>
      </c>
      <c r="V152" s="192"/>
      <c r="W152" s="476"/>
      <c r="X152" s="472"/>
      <c r="Y152" s="315"/>
      <c r="Z152" s="315"/>
      <c r="AA152" s="315"/>
      <c r="AB152" s="315"/>
    </row>
    <row r="153" spans="1:28" x14ac:dyDescent="0.2">
      <c r="A153" s="615"/>
      <c r="B153" s="414" t="s">
        <v>11</v>
      </c>
      <c r="C153" s="38">
        <v>7900</v>
      </c>
      <c r="D153" s="11">
        <v>8600</v>
      </c>
      <c r="E153" s="11">
        <v>8800</v>
      </c>
      <c r="F153" s="11">
        <v>9500</v>
      </c>
      <c r="G153" s="11"/>
      <c r="H153" s="71"/>
      <c r="I153" s="11"/>
      <c r="J153" s="319">
        <v>9600</v>
      </c>
      <c r="K153" s="425">
        <v>9600</v>
      </c>
      <c r="L153" s="502"/>
      <c r="M153" s="30">
        <v>9800</v>
      </c>
      <c r="N153" s="453">
        <v>9800</v>
      </c>
      <c r="O153" s="437">
        <v>9700</v>
      </c>
      <c r="P153" s="316">
        <v>9700</v>
      </c>
      <c r="Q153" s="11"/>
      <c r="R153" s="191">
        <v>11100</v>
      </c>
      <c r="S153" s="191">
        <v>11200</v>
      </c>
      <c r="T153" s="319">
        <v>9900</v>
      </c>
      <c r="U153" s="316">
        <v>9900</v>
      </c>
      <c r="V153" s="192"/>
      <c r="W153" s="476"/>
      <c r="X153" s="472"/>
      <c r="Y153" s="315"/>
      <c r="Z153" s="315"/>
      <c r="AA153" s="315"/>
      <c r="AB153" s="315"/>
    </row>
    <row r="154" spans="1:28" x14ac:dyDescent="0.2">
      <c r="A154" s="615"/>
      <c r="B154" s="415" t="s">
        <v>15</v>
      </c>
      <c r="C154" s="400">
        <f>(C152-C151)/C152</f>
        <v>3.4765298335552031E-2</v>
      </c>
      <c r="D154" s="24">
        <f>(D152-D151)/D152</f>
        <v>8.9771052244327285E-2</v>
      </c>
      <c r="E154" s="24">
        <f>(E152-E151)/E152</f>
        <v>9.6202765601495308E-2</v>
      </c>
      <c r="F154" s="24">
        <f>(F152-F151)/F152</f>
        <v>9.5530393667031782E-2</v>
      </c>
      <c r="G154" s="24"/>
      <c r="H154" s="324"/>
      <c r="I154" s="24"/>
      <c r="J154" s="325">
        <f t="shared" ref="J154:W154" si="18">(J152-J151)/J152</f>
        <v>0.11629166666666667</v>
      </c>
      <c r="K154" s="426">
        <f t="shared" si="18"/>
        <v>0.10736458333333333</v>
      </c>
      <c r="L154" s="194"/>
      <c r="M154" s="454">
        <f t="shared" si="18"/>
        <v>0.11531632653061225</v>
      </c>
      <c r="N154" s="455">
        <f t="shared" si="18"/>
        <v>0.10678571428571429</v>
      </c>
      <c r="O154" s="438">
        <f t="shared" si="18"/>
        <v>4.7670103092783508E-2</v>
      </c>
      <c r="P154" s="321">
        <f t="shared" si="18"/>
        <v>3.7938144329896908E-2</v>
      </c>
      <c r="Q154" s="24" t="e">
        <f t="shared" si="18"/>
        <v>#DIV/0!</v>
      </c>
      <c r="R154" s="322">
        <f t="shared" si="18"/>
        <v>0.15236936936936937</v>
      </c>
      <c r="S154" s="322">
        <f t="shared" si="18"/>
        <v>8.5991071428571431E-2</v>
      </c>
      <c r="T154" s="325">
        <f t="shared" si="18"/>
        <v>4.4898989898989897E-2</v>
      </c>
      <c r="U154" s="321">
        <f t="shared" si="18"/>
        <v>3.5787878787878785E-2</v>
      </c>
      <c r="V154" s="492"/>
      <c r="W154" s="195" t="e">
        <f t="shared" si="18"/>
        <v>#DIV/0!</v>
      </c>
      <c r="X154" s="472"/>
      <c r="Y154" s="315"/>
      <c r="Z154" s="315"/>
      <c r="AA154" s="315"/>
      <c r="AB154" s="315"/>
    </row>
    <row r="155" spans="1:28" x14ac:dyDescent="0.2">
      <c r="A155" s="615"/>
      <c r="B155" s="415" t="s">
        <v>16</v>
      </c>
      <c r="C155" s="400">
        <f>(C152-C151)/C151</f>
        <v>3.6017455936471043E-2</v>
      </c>
      <c r="D155" s="24">
        <f>(D152-D151)/D151</f>
        <v>9.8624694881077321E-2</v>
      </c>
      <c r="E155" s="24">
        <f>(E152-E151)/E151</f>
        <v>0.10644286344328126</v>
      </c>
      <c r="F155" s="24">
        <f>(F152-F151)/F151</f>
        <v>0.10562034699468228</v>
      </c>
      <c r="G155" s="24"/>
      <c r="H155" s="324"/>
      <c r="I155" s="24"/>
      <c r="J155" s="325">
        <f t="shared" ref="J155:W155" si="19">(J152-J151)/J151</f>
        <v>0.13159507756141262</v>
      </c>
      <c r="K155" s="426">
        <f t="shared" si="19"/>
        <v>0.1202782024202677</v>
      </c>
      <c r="L155" s="194"/>
      <c r="M155" s="454">
        <f t="shared" si="19"/>
        <v>0.13034752419289727</v>
      </c>
      <c r="N155" s="455">
        <f t="shared" si="19"/>
        <v>0.11955217912834866</v>
      </c>
      <c r="O155" s="438">
        <f t="shared" si="19"/>
        <v>5.0056291677491989E-2</v>
      </c>
      <c r="P155" s="321">
        <f t="shared" si="19"/>
        <v>3.9434204886412347E-2</v>
      </c>
      <c r="Q155" s="24" t="e">
        <f t="shared" si="19"/>
        <v>#DIV/0!</v>
      </c>
      <c r="R155" s="322">
        <f t="shared" si="19"/>
        <v>0.17975915907617418</v>
      </c>
      <c r="S155" s="322">
        <f t="shared" si="19"/>
        <v>9.4081215993122913E-2</v>
      </c>
      <c r="T155" s="325">
        <f t="shared" si="19"/>
        <v>4.7009676907619903E-2</v>
      </c>
      <c r="U155" s="321">
        <f t="shared" si="19"/>
        <v>3.7116188440868662E-2</v>
      </c>
      <c r="V155" s="492"/>
      <c r="W155" s="195">
        <f t="shared" si="19"/>
        <v>-1</v>
      </c>
      <c r="X155" s="472"/>
      <c r="Y155" s="315"/>
      <c r="Z155" s="315"/>
      <c r="AA155" s="315"/>
      <c r="AB155" s="315"/>
    </row>
    <row r="156" spans="1:28" ht="13.3" thickBot="1" x14ac:dyDescent="0.25">
      <c r="A156" s="620"/>
      <c r="B156" s="418" t="s">
        <v>10</v>
      </c>
      <c r="C156" s="403">
        <f>C153/C147-1</f>
        <v>0</v>
      </c>
      <c r="D156" s="25">
        <f>D153/D147-1</f>
        <v>2.3809523809523725E-2</v>
      </c>
      <c r="E156" s="25">
        <f>E153/E147-1</f>
        <v>2.3255813953488413E-2</v>
      </c>
      <c r="F156" s="25">
        <f>F153/F147-1</f>
        <v>2.1505376344086002E-2</v>
      </c>
      <c r="G156" s="25"/>
      <c r="H156" s="378"/>
      <c r="I156" s="25"/>
      <c r="J156" s="373">
        <f t="shared" ref="J156:P156" si="20">J153/J147-1</f>
        <v>2.1276595744680771E-2</v>
      </c>
      <c r="K156" s="429">
        <f t="shared" si="20"/>
        <v>2.1276595744680771E-2</v>
      </c>
      <c r="L156" s="505"/>
      <c r="M156" s="458">
        <f t="shared" si="20"/>
        <v>2.0833333333333259E-2</v>
      </c>
      <c r="N156" s="79">
        <f t="shared" si="20"/>
        <v>2.0833333333333259E-2</v>
      </c>
      <c r="O156" s="441">
        <f t="shared" si="20"/>
        <v>2.1052631578947434E-2</v>
      </c>
      <c r="P156" s="372">
        <f t="shared" si="20"/>
        <v>2.1052631578947434E-2</v>
      </c>
      <c r="Q156" s="25"/>
      <c r="R156" s="370">
        <f>R153/R147-1</f>
        <v>1.8348623853210899E-2</v>
      </c>
      <c r="S156" s="370" t="e">
        <f>S153/S147-1</f>
        <v>#DIV/0!</v>
      </c>
      <c r="T156" s="373">
        <f>T153/T147-1</f>
        <v>2.0618556701030855E-2</v>
      </c>
      <c r="U156" s="372">
        <f>U153/U147-1</f>
        <v>2.0618556701030855E-2</v>
      </c>
      <c r="V156" s="493"/>
      <c r="W156" s="477"/>
      <c r="X156" s="472"/>
      <c r="Y156" s="315"/>
      <c r="Z156" s="315"/>
      <c r="AA156" s="315"/>
      <c r="AB156" s="315"/>
    </row>
    <row r="157" spans="1:28" x14ac:dyDescent="0.2">
      <c r="A157" s="619">
        <v>41828</v>
      </c>
      <c r="B157" s="417" t="s">
        <v>13</v>
      </c>
      <c r="C157" s="402">
        <v>8733300</v>
      </c>
      <c r="D157" s="159">
        <v>8963800</v>
      </c>
      <c r="E157" s="159">
        <v>9106500</v>
      </c>
      <c r="F157" s="159">
        <v>9833400</v>
      </c>
      <c r="G157" s="159"/>
      <c r="H157" s="376"/>
      <c r="I157" s="159">
        <v>7110200</v>
      </c>
      <c r="J157" s="87">
        <v>8967300</v>
      </c>
      <c r="K157" s="428">
        <v>9057300</v>
      </c>
      <c r="L157" s="504"/>
      <c r="M157" s="86">
        <v>9162900</v>
      </c>
      <c r="N157" s="457">
        <v>9250700</v>
      </c>
      <c r="O157" s="440">
        <v>9786900</v>
      </c>
      <c r="P157" s="369">
        <v>9884100</v>
      </c>
      <c r="Q157" s="159"/>
      <c r="R157" s="366">
        <v>9938600</v>
      </c>
      <c r="S157" s="366">
        <v>10835900</v>
      </c>
      <c r="T157" s="87">
        <v>9998200</v>
      </c>
      <c r="U157" s="369">
        <v>10093000</v>
      </c>
      <c r="V157" s="491"/>
      <c r="W157" s="475">
        <v>8593300</v>
      </c>
      <c r="X157" s="478">
        <v>0.115</v>
      </c>
      <c r="Y157" s="326">
        <v>0.08</v>
      </c>
      <c r="Z157" s="326">
        <v>0.05</v>
      </c>
      <c r="AA157" s="326">
        <v>0.03</v>
      </c>
      <c r="AB157" s="326">
        <v>1.4999999999999999E-2</v>
      </c>
    </row>
    <row r="158" spans="1:28" x14ac:dyDescent="0.2">
      <c r="A158" s="615"/>
      <c r="B158" s="414" t="s">
        <v>12</v>
      </c>
      <c r="C158" s="38">
        <v>9100000</v>
      </c>
      <c r="D158" s="11">
        <v>9858333</v>
      </c>
      <c r="E158" s="11">
        <v>10075000</v>
      </c>
      <c r="F158" s="11">
        <v>10833333</v>
      </c>
      <c r="G158" s="11"/>
      <c r="H158" s="71"/>
      <c r="I158" s="11"/>
      <c r="J158" s="319">
        <v>10100000</v>
      </c>
      <c r="K158" s="425">
        <v>10100000</v>
      </c>
      <c r="L158" s="502"/>
      <c r="M158" s="30">
        <v>10300000</v>
      </c>
      <c r="N158" s="453">
        <v>10300000</v>
      </c>
      <c r="O158" s="437"/>
      <c r="P158" s="316"/>
      <c r="Q158" s="11"/>
      <c r="R158" s="191">
        <v>11600000</v>
      </c>
      <c r="S158" s="191"/>
      <c r="T158" s="319"/>
      <c r="U158" s="316"/>
      <c r="V158" s="192"/>
      <c r="W158" s="476"/>
      <c r="X158" s="472"/>
      <c r="Y158" s="315"/>
      <c r="Z158" s="315"/>
      <c r="AA158" s="315"/>
      <c r="AB158" s="315"/>
    </row>
    <row r="159" spans="1:28" x14ac:dyDescent="0.2">
      <c r="A159" s="615"/>
      <c r="B159" s="414" t="s">
        <v>11</v>
      </c>
      <c r="C159" s="38">
        <v>8400</v>
      </c>
      <c r="D159" s="11">
        <v>9100</v>
      </c>
      <c r="E159" s="11">
        <v>9300</v>
      </c>
      <c r="F159" s="11">
        <v>10000</v>
      </c>
      <c r="G159" s="11"/>
      <c r="H159" s="71"/>
      <c r="I159" s="11"/>
      <c r="J159" s="319">
        <v>10100</v>
      </c>
      <c r="K159" s="425">
        <v>10100</v>
      </c>
      <c r="L159" s="502"/>
      <c r="M159" s="30">
        <v>10300</v>
      </c>
      <c r="N159" s="453">
        <v>10300</v>
      </c>
      <c r="O159" s="437"/>
      <c r="P159" s="316"/>
      <c r="Q159" s="11"/>
      <c r="R159" s="191">
        <v>11600</v>
      </c>
      <c r="S159" s="191"/>
      <c r="T159" s="319"/>
      <c r="U159" s="316"/>
      <c r="V159" s="192"/>
      <c r="W159" s="476"/>
      <c r="X159" s="472"/>
      <c r="Y159" s="315"/>
      <c r="Z159" s="315"/>
      <c r="AA159" s="315"/>
      <c r="AB159" s="315"/>
    </row>
    <row r="160" spans="1:28" x14ac:dyDescent="0.2">
      <c r="A160" s="615"/>
      <c r="B160" s="415" t="s">
        <v>15</v>
      </c>
      <c r="C160" s="400">
        <f>(C158-C157)/C158</f>
        <v>4.0296703296703297E-2</v>
      </c>
      <c r="D160" s="24">
        <f>(D158-D157)/D158</f>
        <v>9.073876891762532E-2</v>
      </c>
      <c r="E160" s="24">
        <f>(E158-E157)/E158</f>
        <v>9.6129032258064517E-2</v>
      </c>
      <c r="F160" s="24">
        <f>(F158-F157)/F158</f>
        <v>9.2301510532354164E-2</v>
      </c>
      <c r="G160" s="24"/>
      <c r="H160" s="324"/>
      <c r="I160" s="24"/>
      <c r="J160" s="325">
        <f>(J158-J157)/J158</f>
        <v>0.11214851485148515</v>
      </c>
      <c r="K160" s="426">
        <f>(K158-K157)/K158</f>
        <v>0.10323762376237623</v>
      </c>
      <c r="L160" s="194"/>
      <c r="M160" s="454">
        <f>(M158-M157)/M158</f>
        <v>0.11039805825242718</v>
      </c>
      <c r="N160" s="455">
        <f>(N158-N157)/N158</f>
        <v>0.10187378640776699</v>
      </c>
      <c r="O160" s="438"/>
      <c r="P160" s="321"/>
      <c r="Q160" s="24"/>
      <c r="R160" s="322">
        <f>(R158-R157)/R158</f>
        <v>0.14322413793103447</v>
      </c>
      <c r="S160" s="322"/>
      <c r="T160" s="325"/>
      <c r="U160" s="321"/>
      <c r="V160" s="492"/>
      <c r="W160" s="195"/>
      <c r="X160" s="472"/>
      <c r="Y160" s="315"/>
      <c r="Z160" s="315"/>
      <c r="AA160" s="315"/>
      <c r="AB160" s="315"/>
    </row>
    <row r="161" spans="1:28" x14ac:dyDescent="0.2">
      <c r="A161" s="615"/>
      <c r="B161" s="415" t="s">
        <v>16</v>
      </c>
      <c r="C161" s="400">
        <f>(C158-C157)/C157</f>
        <v>4.1988709880572066E-2</v>
      </c>
      <c r="D161" s="24">
        <f>(D158-D157)/D157</f>
        <v>9.9793948994845935E-2</v>
      </c>
      <c r="E161" s="24">
        <f>(E158-E157)/E157</f>
        <v>0.10635260528194147</v>
      </c>
      <c r="F161" s="24">
        <f>(F158-F157)/F157</f>
        <v>0.10168741228873024</v>
      </c>
      <c r="G161" s="24"/>
      <c r="H161" s="324"/>
      <c r="I161" s="24"/>
      <c r="J161" s="325">
        <f>(J158-J157)/J157</f>
        <v>0.12631449823246685</v>
      </c>
      <c r="K161" s="426">
        <f>(K158-K157)/K157</f>
        <v>0.11512260828282159</v>
      </c>
      <c r="L161" s="194"/>
      <c r="M161" s="454">
        <f>(M158-M157)/M157</f>
        <v>0.12409826583286951</v>
      </c>
      <c r="N161" s="455">
        <f>(N158-N157)/N157</f>
        <v>0.11342925400239982</v>
      </c>
      <c r="O161" s="438"/>
      <c r="P161" s="321"/>
      <c r="Q161" s="24"/>
      <c r="R161" s="322">
        <f>(R158-R157)/R157</f>
        <v>0.16716640170647779</v>
      </c>
      <c r="S161" s="322"/>
      <c r="T161" s="325"/>
      <c r="U161" s="321"/>
      <c r="V161" s="492"/>
      <c r="W161" s="195"/>
      <c r="X161" s="472"/>
      <c r="Y161" s="315"/>
      <c r="Z161" s="315"/>
      <c r="AA161" s="315"/>
      <c r="AB161" s="315"/>
    </row>
    <row r="162" spans="1:28" ht="13.3" thickBot="1" x14ac:dyDescent="0.25">
      <c r="A162" s="620"/>
      <c r="B162" s="418" t="s">
        <v>10</v>
      </c>
      <c r="C162" s="403">
        <f>C159/C153-1</f>
        <v>6.3291139240506222E-2</v>
      </c>
      <c r="D162" s="25">
        <f>D159/D153-1</f>
        <v>5.8139534883721034E-2</v>
      </c>
      <c r="E162" s="25">
        <f>E159/E153-1</f>
        <v>5.6818181818181879E-2</v>
      </c>
      <c r="F162" s="25">
        <f>F159/F153-1</f>
        <v>5.2631578947368363E-2</v>
      </c>
      <c r="G162" s="25"/>
      <c r="H162" s="378"/>
      <c r="I162" s="25"/>
      <c r="J162" s="373">
        <f>J159/J153-1</f>
        <v>5.2083333333333259E-2</v>
      </c>
      <c r="K162" s="429">
        <f>K159/K153-1</f>
        <v>5.2083333333333259E-2</v>
      </c>
      <c r="L162" s="505"/>
      <c r="M162" s="458">
        <f>M159/M153-1</f>
        <v>5.1020408163265252E-2</v>
      </c>
      <c r="N162" s="79">
        <f>N159/N153-1</f>
        <v>5.1020408163265252E-2</v>
      </c>
      <c r="O162" s="441"/>
      <c r="P162" s="372"/>
      <c r="Q162" s="25"/>
      <c r="R162" s="370">
        <f>R159/R153-1</f>
        <v>4.5045045045045029E-2</v>
      </c>
      <c r="S162" s="370"/>
      <c r="T162" s="373"/>
      <c r="U162" s="372"/>
      <c r="V162" s="493"/>
      <c r="W162" s="477"/>
      <c r="X162" s="472"/>
      <c r="Y162" s="315"/>
      <c r="Z162" s="315"/>
      <c r="AA162" s="315"/>
      <c r="AB162" s="315"/>
    </row>
    <row r="163" spans="1:28" x14ac:dyDescent="0.2">
      <c r="A163" s="619">
        <v>41870</v>
      </c>
      <c r="B163" s="417" t="s">
        <v>13</v>
      </c>
      <c r="C163" s="402">
        <v>9139100</v>
      </c>
      <c r="D163" s="159">
        <v>9363300</v>
      </c>
      <c r="E163" s="159">
        <v>9512500</v>
      </c>
      <c r="F163" s="159">
        <v>10244200</v>
      </c>
      <c r="G163" s="159"/>
      <c r="H163" s="376"/>
      <c r="I163" s="159">
        <v>7418800</v>
      </c>
      <c r="J163" s="87">
        <v>9340900</v>
      </c>
      <c r="K163" s="428">
        <v>9434700</v>
      </c>
      <c r="L163" s="504"/>
      <c r="M163" s="86">
        <v>9544900</v>
      </c>
      <c r="N163" s="457">
        <v>9636400</v>
      </c>
      <c r="O163" s="440">
        <v>10205200</v>
      </c>
      <c r="P163" s="369">
        <v>10309700</v>
      </c>
      <c r="Q163" s="159">
        <v>7523000</v>
      </c>
      <c r="R163" s="366">
        <v>10353900</v>
      </c>
      <c r="S163" s="366">
        <v>11334600</v>
      </c>
      <c r="T163" s="87">
        <v>10432600</v>
      </c>
      <c r="U163" s="369">
        <v>10534600</v>
      </c>
      <c r="V163" s="491"/>
      <c r="W163" s="475">
        <v>8950800</v>
      </c>
      <c r="X163" s="472"/>
      <c r="Y163" s="315"/>
      <c r="Z163" s="315"/>
      <c r="AA163" s="315"/>
      <c r="AB163" s="315"/>
    </row>
    <row r="164" spans="1:28" x14ac:dyDescent="0.2">
      <c r="A164" s="615"/>
      <c r="B164" s="414" t="s">
        <v>12</v>
      </c>
      <c r="C164" s="38">
        <v>9533333</v>
      </c>
      <c r="D164" s="11">
        <v>10291667</v>
      </c>
      <c r="E164" s="11">
        <v>10508333</v>
      </c>
      <c r="F164" s="11">
        <v>11266667</v>
      </c>
      <c r="G164" s="11"/>
      <c r="H164" s="71"/>
      <c r="I164" s="11"/>
      <c r="J164" s="319">
        <v>10500000</v>
      </c>
      <c r="K164" s="425">
        <v>10500000</v>
      </c>
      <c r="L164" s="502"/>
      <c r="M164" s="30">
        <v>10700000</v>
      </c>
      <c r="N164" s="453">
        <v>10700000</v>
      </c>
      <c r="O164" s="437"/>
      <c r="P164" s="316"/>
      <c r="Q164" s="11"/>
      <c r="R164" s="191">
        <v>12100000</v>
      </c>
      <c r="S164" s="191"/>
      <c r="T164" s="319"/>
      <c r="U164" s="316"/>
      <c r="V164" s="192"/>
      <c r="W164" s="476"/>
      <c r="X164" s="472"/>
      <c r="Y164" s="315"/>
      <c r="Z164" s="315"/>
      <c r="AA164" s="315"/>
      <c r="AB164" s="315"/>
    </row>
    <row r="165" spans="1:28" x14ac:dyDescent="0.2">
      <c r="A165" s="615"/>
      <c r="B165" s="414" t="s">
        <v>11</v>
      </c>
      <c r="C165" s="38">
        <v>8800</v>
      </c>
      <c r="D165" s="11">
        <v>9500</v>
      </c>
      <c r="E165" s="11">
        <v>9700</v>
      </c>
      <c r="F165" s="11">
        <v>10400</v>
      </c>
      <c r="G165" s="11"/>
      <c r="H165" s="71"/>
      <c r="I165" s="11"/>
      <c r="J165" s="319">
        <v>10500</v>
      </c>
      <c r="K165" s="425">
        <v>10500</v>
      </c>
      <c r="L165" s="502"/>
      <c r="M165" s="30">
        <v>10700</v>
      </c>
      <c r="N165" s="453">
        <v>10700</v>
      </c>
      <c r="O165" s="437"/>
      <c r="P165" s="316"/>
      <c r="Q165" s="11"/>
      <c r="R165" s="191">
        <v>12100</v>
      </c>
      <c r="S165" s="191"/>
      <c r="T165" s="319"/>
      <c r="U165" s="316"/>
      <c r="V165" s="192"/>
      <c r="W165" s="476"/>
      <c r="X165" s="472"/>
      <c r="Y165" s="315"/>
      <c r="Z165" s="315"/>
      <c r="AA165" s="315"/>
      <c r="AB165" s="315"/>
    </row>
    <row r="166" spans="1:28" x14ac:dyDescent="0.2">
      <c r="A166" s="615"/>
      <c r="B166" s="415" t="s">
        <v>15</v>
      </c>
      <c r="C166" s="400">
        <f>(C164-C163)/C164</f>
        <v>4.1353113334024943E-2</v>
      </c>
      <c r="D166" s="24">
        <f>(D164-D163)/D164</f>
        <v>9.0205697483216274E-2</v>
      </c>
      <c r="E166" s="24">
        <f>(E164-E163)/E164</f>
        <v>9.4766029968787621E-2</v>
      </c>
      <c r="F166" s="24">
        <f>(F164-F163)/F164</f>
        <v>9.0751506190783843E-2</v>
      </c>
      <c r="G166" s="24"/>
      <c r="H166" s="324"/>
      <c r="I166" s="24"/>
      <c r="J166" s="325">
        <f>(J164-J163)/J164</f>
        <v>0.11039047619047619</v>
      </c>
      <c r="K166" s="426">
        <f>(K164-K163)/K164</f>
        <v>0.10145714285714286</v>
      </c>
      <c r="L166" s="194"/>
      <c r="M166" s="454">
        <f>(M164-M163)/M164</f>
        <v>0.10795327102803738</v>
      </c>
      <c r="N166" s="455">
        <f>(N164-N163)/N164</f>
        <v>9.9401869158878511E-2</v>
      </c>
      <c r="O166" s="438"/>
      <c r="P166" s="321"/>
      <c r="Q166" s="24"/>
      <c r="R166" s="322">
        <f>(R164-R163)/R164</f>
        <v>0.14430578512396694</v>
      </c>
      <c r="S166" s="322"/>
      <c r="T166" s="325"/>
      <c r="U166" s="321"/>
      <c r="V166" s="492"/>
      <c r="W166" s="195"/>
      <c r="X166" s="473">
        <v>0.115</v>
      </c>
      <c r="Y166" s="328">
        <v>0.08</v>
      </c>
      <c r="Z166" s="328">
        <v>0.05</v>
      </c>
      <c r="AA166" s="328">
        <v>0.03</v>
      </c>
      <c r="AB166" s="327">
        <v>1.4999999999999999E-2</v>
      </c>
    </row>
    <row r="167" spans="1:28" x14ac:dyDescent="0.2">
      <c r="A167" s="615"/>
      <c r="B167" s="415" t="s">
        <v>16</v>
      </c>
      <c r="C167" s="400">
        <f>(C164-C163)/C163</f>
        <v>4.3136960969898566E-2</v>
      </c>
      <c r="D167" s="24">
        <f>(D164-D163)/D163</f>
        <v>9.9149551974197128E-2</v>
      </c>
      <c r="E167" s="24">
        <f>(E164-E163)/E163</f>
        <v>0.10468678055190539</v>
      </c>
      <c r="F167" s="24">
        <f>(F164-F163)/F163</f>
        <v>9.9809355537767708E-2</v>
      </c>
      <c r="G167" s="24"/>
      <c r="H167" s="324"/>
      <c r="I167" s="24"/>
      <c r="J167" s="325">
        <f>(J164-J163)/J163</f>
        <v>0.12408868524446252</v>
      </c>
      <c r="K167" s="426">
        <f>(K164-K163)/K163</f>
        <v>0.11291297020572991</v>
      </c>
      <c r="L167" s="194"/>
      <c r="M167" s="454">
        <f>(M164-M163)/M163</f>
        <v>0.12101750673134344</v>
      </c>
      <c r="N167" s="455">
        <f>(N164-N163)/N163</f>
        <v>0.1103731684031381</v>
      </c>
      <c r="O167" s="438"/>
      <c r="P167" s="321"/>
      <c r="Q167" s="24"/>
      <c r="R167" s="322">
        <f>(R164-R163)/R163</f>
        <v>0.16864176783627424</v>
      </c>
      <c r="S167" s="322"/>
      <c r="T167" s="325"/>
      <c r="U167" s="321"/>
      <c r="V167" s="492"/>
      <c r="W167" s="195"/>
      <c r="X167" s="472"/>
      <c r="Y167" s="315"/>
      <c r="Z167" s="315"/>
      <c r="AA167" s="315"/>
      <c r="AB167" s="315"/>
    </row>
    <row r="168" spans="1:28" ht="13.3" thickBot="1" x14ac:dyDescent="0.25">
      <c r="A168" s="620"/>
      <c r="B168" s="418" t="s">
        <v>10</v>
      </c>
      <c r="C168" s="403">
        <f>C165/C159-1</f>
        <v>4.7619047619047672E-2</v>
      </c>
      <c r="D168" s="25">
        <f>D165/D159-1</f>
        <v>4.3956043956044022E-2</v>
      </c>
      <c r="E168" s="25">
        <f>E165/E159-1</f>
        <v>4.3010752688172005E-2</v>
      </c>
      <c r="F168" s="25">
        <f>F165/F159-1</f>
        <v>4.0000000000000036E-2</v>
      </c>
      <c r="G168" s="25"/>
      <c r="H168" s="378"/>
      <c r="I168" s="25"/>
      <c r="J168" s="373">
        <f>J165/J159-1</f>
        <v>3.9603960396039639E-2</v>
      </c>
      <c r="K168" s="429">
        <f>K165/K159-1</f>
        <v>3.9603960396039639E-2</v>
      </c>
      <c r="L168" s="505"/>
      <c r="M168" s="458">
        <f>M165/M159-1</f>
        <v>3.8834951456310662E-2</v>
      </c>
      <c r="N168" s="79">
        <f>N165/N159-1</f>
        <v>3.8834951456310662E-2</v>
      </c>
      <c r="O168" s="441"/>
      <c r="P168" s="372"/>
      <c r="Q168" s="25"/>
      <c r="R168" s="370">
        <f>R165/R159-1</f>
        <v>4.31034482758621E-2</v>
      </c>
      <c r="S168" s="370"/>
      <c r="T168" s="373"/>
      <c r="U168" s="372"/>
      <c r="V168" s="493"/>
      <c r="W168" s="477"/>
      <c r="X168" s="474"/>
      <c r="Y168" s="345"/>
      <c r="Z168" s="345"/>
      <c r="AA168" s="345"/>
      <c r="AB168" s="345"/>
    </row>
    <row r="169" spans="1:28" x14ac:dyDescent="0.2">
      <c r="A169" s="619">
        <v>41891</v>
      </c>
      <c r="B169" s="417" t="s">
        <v>13</v>
      </c>
      <c r="C169" s="402">
        <v>9518300</v>
      </c>
      <c r="D169" s="159">
        <v>9796600</v>
      </c>
      <c r="E169" s="159">
        <v>9945500</v>
      </c>
      <c r="F169" s="159">
        <v>10731400</v>
      </c>
      <c r="G169" s="159"/>
      <c r="H169" s="376"/>
      <c r="I169" s="159">
        <v>7786800</v>
      </c>
      <c r="J169" s="87">
        <v>9790300</v>
      </c>
      <c r="K169" s="428">
        <v>9888800</v>
      </c>
      <c r="L169" s="504"/>
      <c r="M169" s="86">
        <v>9994200</v>
      </c>
      <c r="N169" s="457">
        <v>10090200</v>
      </c>
      <c r="O169" s="440">
        <v>10707100</v>
      </c>
      <c r="P169" s="369">
        <v>10816900</v>
      </c>
      <c r="Q169" s="159">
        <v>7891400</v>
      </c>
      <c r="R169" s="366">
        <v>10853600</v>
      </c>
      <c r="S169" s="366">
        <v>11892400</v>
      </c>
      <c r="T169" s="87">
        <v>10934400</v>
      </c>
      <c r="U169" s="369">
        <v>11041400</v>
      </c>
      <c r="V169" s="366"/>
      <c r="W169" s="366">
        <v>8950800</v>
      </c>
      <c r="X169" s="350"/>
      <c r="Y169" s="350"/>
      <c r="Z169" s="350"/>
      <c r="AA169" s="350"/>
      <c r="AB169" s="351"/>
    </row>
    <row r="170" spans="1:28" x14ac:dyDescent="0.2">
      <c r="A170" s="615"/>
      <c r="B170" s="414" t="s">
        <v>12</v>
      </c>
      <c r="C170" s="38">
        <v>9912500</v>
      </c>
      <c r="D170" s="11">
        <v>10725000</v>
      </c>
      <c r="E170" s="11">
        <v>10941667</v>
      </c>
      <c r="F170" s="11">
        <v>11754167</v>
      </c>
      <c r="G170" s="11"/>
      <c r="H170" s="71"/>
      <c r="I170" s="11"/>
      <c r="J170" s="319">
        <v>10950000</v>
      </c>
      <c r="K170" s="425">
        <v>10950000</v>
      </c>
      <c r="L170" s="502"/>
      <c r="M170" s="30">
        <v>11150000</v>
      </c>
      <c r="N170" s="453">
        <v>11150000</v>
      </c>
      <c r="O170" s="437"/>
      <c r="P170" s="316"/>
      <c r="Q170" s="11"/>
      <c r="R170" s="191">
        <v>12600000</v>
      </c>
      <c r="S170" s="191"/>
      <c r="T170" s="319"/>
      <c r="U170" s="316"/>
      <c r="V170" s="191"/>
      <c r="W170" s="191"/>
      <c r="X170" s="315"/>
      <c r="Y170" s="315"/>
      <c r="Z170" s="315"/>
      <c r="AA170" s="315"/>
      <c r="AB170" s="352"/>
    </row>
    <row r="171" spans="1:28" x14ac:dyDescent="0.2">
      <c r="A171" s="615"/>
      <c r="B171" s="414" t="s">
        <v>11</v>
      </c>
      <c r="C171" s="38">
        <v>9150</v>
      </c>
      <c r="D171" s="11">
        <v>9900</v>
      </c>
      <c r="E171" s="11">
        <v>10100</v>
      </c>
      <c r="F171" s="11">
        <v>10850</v>
      </c>
      <c r="G171" s="11"/>
      <c r="H171" s="71"/>
      <c r="I171" s="11"/>
      <c r="J171" s="319">
        <v>10950</v>
      </c>
      <c r="K171" s="425">
        <v>10950</v>
      </c>
      <c r="L171" s="502"/>
      <c r="M171" s="30">
        <v>11150</v>
      </c>
      <c r="N171" s="453">
        <v>11150</v>
      </c>
      <c r="O171" s="437"/>
      <c r="P171" s="316"/>
      <c r="Q171" s="11"/>
      <c r="R171" s="191">
        <v>12600</v>
      </c>
      <c r="S171" s="191"/>
      <c r="T171" s="319"/>
      <c r="U171" s="316"/>
      <c r="V171" s="191"/>
      <c r="W171" s="191"/>
      <c r="X171" s="315"/>
      <c r="Y171" s="315"/>
      <c r="Z171" s="315"/>
      <c r="AA171" s="315"/>
      <c r="AB171" s="352"/>
    </row>
    <row r="172" spans="1:28" x14ac:dyDescent="0.2">
      <c r="A172" s="615"/>
      <c r="B172" s="415" t="s">
        <v>15</v>
      </c>
      <c r="C172" s="400">
        <f>(C170-C169)/C170</f>
        <v>3.9767969735182852E-2</v>
      </c>
      <c r="D172" s="24">
        <f>(D170-D169)/D170</f>
        <v>8.656410256410256E-2</v>
      </c>
      <c r="E172" s="24">
        <f>(E170-E169)/E170</f>
        <v>9.1043439724495356E-2</v>
      </c>
      <c r="F172" s="24">
        <f>(F170-F169)/F170</f>
        <v>8.7013141807496863E-2</v>
      </c>
      <c r="G172" s="24"/>
      <c r="H172" s="324"/>
      <c r="I172" s="24"/>
      <c r="J172" s="325">
        <f t="shared" ref="J172:R172" si="21">(J170-J169)/J170</f>
        <v>0.10590867579908676</v>
      </c>
      <c r="K172" s="426">
        <f t="shared" si="21"/>
        <v>9.6913242009132414E-2</v>
      </c>
      <c r="L172" s="194"/>
      <c r="M172" s="454">
        <f t="shared" si="21"/>
        <v>0.1036591928251121</v>
      </c>
      <c r="N172" s="455">
        <f t="shared" si="21"/>
        <v>9.5049327354260096E-2</v>
      </c>
      <c r="O172" s="438" t="e">
        <f t="shared" si="21"/>
        <v>#DIV/0!</v>
      </c>
      <c r="P172" s="321" t="e">
        <f t="shared" si="21"/>
        <v>#DIV/0!</v>
      </c>
      <c r="Q172" s="24" t="e">
        <f t="shared" si="21"/>
        <v>#DIV/0!</v>
      </c>
      <c r="R172" s="322">
        <f t="shared" si="21"/>
        <v>0.13860317460317462</v>
      </c>
      <c r="S172" s="322"/>
      <c r="T172" s="325"/>
      <c r="U172" s="321"/>
      <c r="V172" s="322"/>
      <c r="W172" s="322"/>
      <c r="X172" s="327">
        <v>0.115</v>
      </c>
      <c r="Y172" s="328">
        <v>0.08</v>
      </c>
      <c r="Z172" s="328">
        <v>0.05</v>
      </c>
      <c r="AA172" s="328">
        <v>0.03</v>
      </c>
      <c r="AB172" s="377">
        <v>1.4999999999999999E-2</v>
      </c>
    </row>
    <row r="173" spans="1:28" x14ac:dyDescent="0.2">
      <c r="A173" s="615"/>
      <c r="B173" s="415" t="s">
        <v>16</v>
      </c>
      <c r="C173" s="400">
        <f>(C170-C169)/C169</f>
        <v>4.1414958553523215E-2</v>
      </c>
      <c r="D173" s="24">
        <f>(D170-D169)/D169</f>
        <v>9.4767572423085561E-2</v>
      </c>
      <c r="E173" s="24">
        <f>(E170-E169)/E169</f>
        <v>0.10016258609421347</v>
      </c>
      <c r="F173" s="24">
        <f>(F170-F169)/F169</f>
        <v>9.5306017854147648E-2</v>
      </c>
      <c r="G173" s="24"/>
      <c r="H173" s="324"/>
      <c r="I173" s="24"/>
      <c r="J173" s="325">
        <f t="shared" ref="J173:R173" si="22">(J170-J169)/J169</f>
        <v>0.11845397995975608</v>
      </c>
      <c r="K173" s="426">
        <f t="shared" si="22"/>
        <v>0.10731332416471159</v>
      </c>
      <c r="L173" s="194"/>
      <c r="M173" s="454">
        <f t="shared" si="22"/>
        <v>0.11564707530367613</v>
      </c>
      <c r="N173" s="455">
        <f t="shared" si="22"/>
        <v>0.10503260589482864</v>
      </c>
      <c r="O173" s="438">
        <f t="shared" si="22"/>
        <v>-1</v>
      </c>
      <c r="P173" s="321">
        <f t="shared" si="22"/>
        <v>-1</v>
      </c>
      <c r="Q173" s="24">
        <f t="shared" si="22"/>
        <v>-1</v>
      </c>
      <c r="R173" s="322">
        <f t="shared" si="22"/>
        <v>0.16090513746590993</v>
      </c>
      <c r="S173" s="322"/>
      <c r="T173" s="325"/>
      <c r="U173" s="321"/>
      <c r="V173" s="322"/>
      <c r="W173" s="322"/>
      <c r="X173" s="315"/>
      <c r="Y173" s="315"/>
      <c r="Z173" s="315"/>
      <c r="AA173" s="315"/>
      <c r="AB173" s="352"/>
    </row>
    <row r="174" spans="1:28" ht="13.3" thickBot="1" x14ac:dyDescent="0.25">
      <c r="A174" s="620"/>
      <c r="B174" s="418" t="s">
        <v>10</v>
      </c>
      <c r="C174" s="403">
        <f>C171/C165-1</f>
        <v>3.9772727272727293E-2</v>
      </c>
      <c r="D174" s="25">
        <f>D171/D165-1</f>
        <v>4.2105263157894646E-2</v>
      </c>
      <c r="E174" s="25">
        <f>E171/E165-1</f>
        <v>4.1237113402061931E-2</v>
      </c>
      <c r="F174" s="25">
        <f>F171/F165-1</f>
        <v>4.3269230769230838E-2</v>
      </c>
      <c r="G174" s="25"/>
      <c r="H174" s="378"/>
      <c r="I174" s="25"/>
      <c r="J174" s="373">
        <f>J171/J165-1</f>
        <v>4.2857142857142927E-2</v>
      </c>
      <c r="K174" s="429">
        <f>K171/K165-1</f>
        <v>4.2857142857142927E-2</v>
      </c>
      <c r="L174" s="505"/>
      <c r="M174" s="458">
        <f>M171/M165-1</f>
        <v>4.20560747663552E-2</v>
      </c>
      <c r="N174" s="79">
        <f>N171/N165-1</f>
        <v>4.20560747663552E-2</v>
      </c>
      <c r="O174" s="441"/>
      <c r="P174" s="372"/>
      <c r="Q174" s="25"/>
      <c r="R174" s="370">
        <f>R171/R165-1</f>
        <v>4.1322314049586861E-2</v>
      </c>
      <c r="S174" s="370"/>
      <c r="T174" s="373"/>
      <c r="U174" s="372"/>
      <c r="V174" s="370"/>
      <c r="W174" s="370"/>
      <c r="X174" s="359"/>
      <c r="Y174" s="359"/>
      <c r="Z174" s="359"/>
      <c r="AA174" s="359"/>
      <c r="AB174" s="360"/>
    </row>
    <row r="175" spans="1:28" x14ac:dyDescent="0.2">
      <c r="A175" s="619">
        <v>41913</v>
      </c>
      <c r="B175" s="417" t="s">
        <v>13</v>
      </c>
      <c r="C175" s="402">
        <v>9951600</v>
      </c>
      <c r="D175" s="159">
        <v>10284100</v>
      </c>
      <c r="E175" s="159">
        <v>10487100</v>
      </c>
      <c r="F175" s="159">
        <v>11327100</v>
      </c>
      <c r="G175" s="159"/>
      <c r="H175" s="376"/>
      <c r="I175" s="159">
        <v>8237100</v>
      </c>
      <c r="J175" s="87">
        <v>10340300</v>
      </c>
      <c r="K175" s="428">
        <v>10444500</v>
      </c>
      <c r="L175" s="504"/>
      <c r="M175" s="86">
        <v>10544200</v>
      </c>
      <c r="N175" s="457">
        <v>10645600</v>
      </c>
      <c r="O175" s="440">
        <v>11320200</v>
      </c>
      <c r="P175" s="369">
        <v>11436400</v>
      </c>
      <c r="Q175" s="159">
        <v>8341600</v>
      </c>
      <c r="R175" s="366">
        <v>11453600</v>
      </c>
      <c r="S175" s="366">
        <v>12561200</v>
      </c>
      <c r="T175" s="87">
        <v>11547500</v>
      </c>
      <c r="U175" s="369">
        <v>11660500</v>
      </c>
      <c r="V175" s="366"/>
      <c r="W175" s="366">
        <v>8950800</v>
      </c>
      <c r="X175" s="350"/>
      <c r="Y175" s="350"/>
      <c r="Z175" s="350"/>
      <c r="AA175" s="350"/>
      <c r="AB175" s="351"/>
    </row>
    <row r="176" spans="1:28" x14ac:dyDescent="0.2">
      <c r="A176" s="615"/>
      <c r="B176" s="414" t="s">
        <v>12</v>
      </c>
      <c r="C176" s="38">
        <v>10345833</v>
      </c>
      <c r="D176" s="11">
        <v>11212500</v>
      </c>
      <c r="E176" s="11">
        <v>11483333</v>
      </c>
      <c r="F176" s="11">
        <v>12350000</v>
      </c>
      <c r="G176" s="11"/>
      <c r="H176" s="71"/>
      <c r="I176" s="11"/>
      <c r="J176" s="319">
        <v>11500000</v>
      </c>
      <c r="K176" s="425">
        <v>11500000</v>
      </c>
      <c r="L176" s="502"/>
      <c r="M176" s="30">
        <v>11700000</v>
      </c>
      <c r="N176" s="453">
        <v>11700000</v>
      </c>
      <c r="O176" s="437"/>
      <c r="P176" s="316"/>
      <c r="Q176" s="11"/>
      <c r="R176" s="191">
        <v>13200000</v>
      </c>
      <c r="S176" s="191"/>
      <c r="T176" s="319"/>
      <c r="U176" s="316"/>
      <c r="V176" s="191"/>
      <c r="W176" s="191"/>
      <c r="X176" s="327">
        <v>0.115</v>
      </c>
      <c r="Y176" s="328">
        <v>0.08</v>
      </c>
      <c r="Z176" s="328">
        <v>0.05</v>
      </c>
      <c r="AA176" s="328">
        <v>0.03</v>
      </c>
      <c r="AB176" s="377">
        <v>1.4999999999999999E-2</v>
      </c>
    </row>
    <row r="177" spans="1:28" x14ac:dyDescent="0.2">
      <c r="A177" s="615"/>
      <c r="B177" s="414" t="s">
        <v>11</v>
      </c>
      <c r="C177" s="38">
        <v>9550</v>
      </c>
      <c r="D177" s="11">
        <v>10350</v>
      </c>
      <c r="E177" s="11">
        <v>10600</v>
      </c>
      <c r="F177" s="11">
        <v>11400</v>
      </c>
      <c r="G177" s="11"/>
      <c r="H177" s="71"/>
      <c r="I177" s="11"/>
      <c r="J177" s="319">
        <v>11500</v>
      </c>
      <c r="K177" s="425">
        <v>11500</v>
      </c>
      <c r="L177" s="502"/>
      <c r="M177" s="30">
        <v>11700</v>
      </c>
      <c r="N177" s="453">
        <v>11700</v>
      </c>
      <c r="O177" s="437"/>
      <c r="P177" s="316"/>
      <c r="Q177" s="11"/>
      <c r="R177" s="191">
        <v>13200</v>
      </c>
      <c r="S177" s="191"/>
      <c r="T177" s="319"/>
      <c r="U177" s="316"/>
      <c r="V177" s="191"/>
      <c r="W177" s="191"/>
      <c r="X177" s="315"/>
      <c r="Y177" s="315"/>
      <c r="Z177" s="315"/>
      <c r="AA177" s="315"/>
      <c r="AB177" s="352"/>
    </row>
    <row r="178" spans="1:28" x14ac:dyDescent="0.2">
      <c r="A178" s="615"/>
      <c r="B178" s="415" t="s">
        <v>15</v>
      </c>
      <c r="C178" s="400">
        <f>(C176-C175)/C176</f>
        <v>3.8105486527764368E-2</v>
      </c>
      <c r="D178" s="24">
        <f>(D176-D175)/D176</f>
        <v>8.280044593088072E-2</v>
      </c>
      <c r="E178" s="24">
        <f>(E176-E175)/E176</f>
        <v>8.6754690471834262E-2</v>
      </c>
      <c r="F178" s="24">
        <f>(F176-F175)/F176</f>
        <v>8.2825910931174085E-2</v>
      </c>
      <c r="G178" s="24"/>
      <c r="H178" s="324"/>
      <c r="I178" s="24"/>
      <c r="J178" s="325">
        <f>(J176-J175)/J176</f>
        <v>0.10084347826086956</v>
      </c>
      <c r="K178" s="426">
        <f>(K176-K175)/K176</f>
        <v>9.1782608695652176E-2</v>
      </c>
      <c r="L178" s="194"/>
      <c r="M178" s="454">
        <f>(M176-M175)/M176</f>
        <v>9.8786324786324792E-2</v>
      </c>
      <c r="N178" s="455">
        <f>(N176-N175)/N176</f>
        <v>9.0119658119658122E-2</v>
      </c>
      <c r="O178" s="438"/>
      <c r="P178" s="321"/>
      <c r="Q178" s="24"/>
      <c r="R178" s="322">
        <f>(R176-R175)/R176</f>
        <v>0.13230303030303031</v>
      </c>
      <c r="S178" s="322"/>
      <c r="T178" s="325"/>
      <c r="U178" s="321"/>
      <c r="V178" s="322"/>
      <c r="W178" s="322"/>
      <c r="X178" s="327"/>
      <c r="Y178" s="328"/>
      <c r="Z178" s="328"/>
      <c r="AA178" s="328"/>
      <c r="AB178" s="377"/>
    </row>
    <row r="179" spans="1:28" x14ac:dyDescent="0.2">
      <c r="A179" s="615"/>
      <c r="B179" s="415" t="s">
        <v>16</v>
      </c>
      <c r="C179" s="400">
        <f>(C176-C175)/C175</f>
        <v>3.9615036778005548E-2</v>
      </c>
      <c r="D179" s="24">
        <f>(D176-D175)/D175</f>
        <v>9.027527931467022E-2</v>
      </c>
      <c r="E179" s="24">
        <f>(E176-E175)/E175</f>
        <v>9.4996042757292287E-2</v>
      </c>
      <c r="F179" s="24">
        <f>(F176-F175)/F175</f>
        <v>9.0305550405664292E-2</v>
      </c>
      <c r="G179" s="24"/>
      <c r="H179" s="324"/>
      <c r="I179" s="24"/>
      <c r="J179" s="325">
        <f>(J176-J175)/J175</f>
        <v>0.11215341914644643</v>
      </c>
      <c r="K179" s="426">
        <f>(K176-K175)/K175</f>
        <v>0.10105797309588779</v>
      </c>
      <c r="L179" s="194"/>
      <c r="M179" s="454">
        <f>(M176-M175)/M175</f>
        <v>0.10961476451508886</v>
      </c>
      <c r="N179" s="455">
        <f>(N176-N175)/N175</f>
        <v>9.9045615089802364E-2</v>
      </c>
      <c r="O179" s="438"/>
      <c r="P179" s="321"/>
      <c r="Q179" s="24"/>
      <c r="R179" s="322">
        <f>(R176-R175)/R175</f>
        <v>0.15247607739051477</v>
      </c>
      <c r="S179" s="322"/>
      <c r="T179" s="325"/>
      <c r="U179" s="321"/>
      <c r="V179" s="322"/>
      <c r="W179" s="322"/>
      <c r="X179" s="315"/>
      <c r="Y179" s="315"/>
      <c r="Z179" s="315"/>
      <c r="AA179" s="315"/>
      <c r="AB179" s="352"/>
    </row>
    <row r="180" spans="1:28" ht="13.3" thickBot="1" x14ac:dyDescent="0.25">
      <c r="A180" s="620"/>
      <c r="B180" s="418" t="s">
        <v>10</v>
      </c>
      <c r="C180" s="403">
        <f>C177/C171-1</f>
        <v>4.3715846994535568E-2</v>
      </c>
      <c r="D180" s="25">
        <f>D177/D171-1</f>
        <v>4.5454545454545414E-2</v>
      </c>
      <c r="E180" s="25">
        <f>E177/E171-1</f>
        <v>4.9504950495049549E-2</v>
      </c>
      <c r="F180" s="25">
        <f>F177/F171-1</f>
        <v>5.0691244239631228E-2</v>
      </c>
      <c r="G180" s="25"/>
      <c r="H180" s="378"/>
      <c r="I180" s="25"/>
      <c r="J180" s="373">
        <f>J177/J171-1</f>
        <v>5.0228310502283158E-2</v>
      </c>
      <c r="K180" s="429">
        <f>K177/K171-1</f>
        <v>5.0228310502283158E-2</v>
      </c>
      <c r="L180" s="505"/>
      <c r="M180" s="458">
        <f>M177/M171-1</f>
        <v>4.9327354260089606E-2</v>
      </c>
      <c r="N180" s="79">
        <f>N177/N171-1</f>
        <v>4.9327354260089606E-2</v>
      </c>
      <c r="O180" s="441"/>
      <c r="P180" s="372"/>
      <c r="Q180" s="25"/>
      <c r="R180" s="370">
        <f>R177/R171-1</f>
        <v>4.7619047619047672E-2</v>
      </c>
      <c r="S180" s="370"/>
      <c r="T180" s="373"/>
      <c r="U180" s="372"/>
      <c r="V180" s="370"/>
      <c r="W180" s="370"/>
      <c r="X180" s="359"/>
      <c r="Y180" s="359"/>
      <c r="Z180" s="359"/>
      <c r="AA180" s="359"/>
      <c r="AB180" s="360"/>
    </row>
    <row r="181" spans="1:28" x14ac:dyDescent="0.2">
      <c r="A181" s="619">
        <v>42017</v>
      </c>
      <c r="B181" s="417" t="s">
        <v>13</v>
      </c>
      <c r="C181" s="402">
        <v>10420700</v>
      </c>
      <c r="D181" s="159">
        <v>10830700</v>
      </c>
      <c r="E181" s="159">
        <v>10981900</v>
      </c>
      <c r="F181" s="159">
        <v>11824200</v>
      </c>
      <c r="G181" s="159">
        <v>12600000</v>
      </c>
      <c r="H181" s="376"/>
      <c r="I181" s="159">
        <v>8679000</v>
      </c>
      <c r="J181" s="87">
        <v>10880000</v>
      </c>
      <c r="K181" s="428">
        <v>10989800</v>
      </c>
      <c r="L181" s="504"/>
      <c r="M181" s="86">
        <v>11085200</v>
      </c>
      <c r="N181" s="457">
        <v>11191900</v>
      </c>
      <c r="O181" s="440"/>
      <c r="P181" s="369"/>
      <c r="Q181" s="159">
        <v>9133100</v>
      </c>
      <c r="R181" s="366">
        <v>11974300</v>
      </c>
      <c r="S181" s="366">
        <v>13141600</v>
      </c>
      <c r="T181" s="87">
        <v>12150500</v>
      </c>
      <c r="U181" s="369">
        <v>12269500</v>
      </c>
      <c r="V181" s="366"/>
      <c r="W181" s="366">
        <v>8950800</v>
      </c>
      <c r="X181" s="350"/>
      <c r="Y181" s="350"/>
      <c r="Z181" s="350"/>
      <c r="AA181" s="350"/>
      <c r="AB181" s="351"/>
    </row>
    <row r="182" spans="1:28" x14ac:dyDescent="0.2">
      <c r="A182" s="615"/>
      <c r="B182" s="414" t="s">
        <v>12</v>
      </c>
      <c r="C182" s="38">
        <v>10833333</v>
      </c>
      <c r="D182" s="11"/>
      <c r="E182" s="11">
        <v>12025000</v>
      </c>
      <c r="F182" s="11">
        <v>12891667</v>
      </c>
      <c r="G182" s="11">
        <v>15166667</v>
      </c>
      <c r="H182" s="71"/>
      <c r="I182" s="11"/>
      <c r="J182" s="319"/>
      <c r="K182" s="425"/>
      <c r="L182" s="502"/>
      <c r="M182" s="30">
        <v>12300000</v>
      </c>
      <c r="N182" s="453">
        <v>12300000</v>
      </c>
      <c r="O182" s="437"/>
      <c r="P182" s="316"/>
      <c r="Q182" s="11"/>
      <c r="R182" s="191">
        <v>13800000</v>
      </c>
      <c r="S182" s="191"/>
      <c r="T182" s="319"/>
      <c r="U182" s="316"/>
      <c r="V182" s="191"/>
      <c r="W182" s="191"/>
      <c r="X182" s="327">
        <v>0.115</v>
      </c>
      <c r="Y182" s="328">
        <v>0.08</v>
      </c>
      <c r="Z182" s="328">
        <v>0.05</v>
      </c>
      <c r="AA182" s="328">
        <v>0.03</v>
      </c>
      <c r="AB182" s="377">
        <v>1.4999999999999999E-2</v>
      </c>
    </row>
    <row r="183" spans="1:28" x14ac:dyDescent="0.2">
      <c r="A183" s="615"/>
      <c r="B183" s="414" t="s">
        <v>11</v>
      </c>
      <c r="C183" s="38">
        <v>10000</v>
      </c>
      <c r="D183" s="11"/>
      <c r="E183" s="11">
        <v>11100</v>
      </c>
      <c r="F183" s="11">
        <v>11900</v>
      </c>
      <c r="G183" s="11">
        <v>13000</v>
      </c>
      <c r="H183" s="71"/>
      <c r="I183" s="11"/>
      <c r="J183" s="319"/>
      <c r="K183" s="425"/>
      <c r="L183" s="502"/>
      <c r="M183" s="30">
        <v>12300</v>
      </c>
      <c r="N183" s="453">
        <v>12300</v>
      </c>
      <c r="O183" s="437"/>
      <c r="P183" s="316"/>
      <c r="Q183" s="11"/>
      <c r="R183" s="191">
        <v>13800</v>
      </c>
      <c r="S183" s="191"/>
      <c r="T183" s="319"/>
      <c r="U183" s="316"/>
      <c r="V183" s="191"/>
      <c r="W183" s="191"/>
      <c r="X183" s="315"/>
      <c r="Y183" s="315"/>
      <c r="Z183" s="315"/>
      <c r="AA183" s="315"/>
      <c r="AB183" s="352"/>
    </row>
    <row r="184" spans="1:28" x14ac:dyDescent="0.2">
      <c r="A184" s="615"/>
      <c r="B184" s="415" t="s">
        <v>15</v>
      </c>
      <c r="C184" s="400">
        <f>(C182-C181)/C182</f>
        <v>3.8089201171975423E-2</v>
      </c>
      <c r="D184" s="24"/>
      <c r="E184" s="24">
        <f>(E182-E181)/E182</f>
        <v>8.6744282744282739E-2</v>
      </c>
      <c r="F184" s="24">
        <f>(F182-F181)/F182</f>
        <v>8.2802867930113308E-2</v>
      </c>
      <c r="G184" s="24">
        <f>(G182-G181)/G182</f>
        <v>0.16923078748943324</v>
      </c>
      <c r="H184" s="324"/>
      <c r="I184" s="24"/>
      <c r="J184" s="325"/>
      <c r="K184" s="426"/>
      <c r="L184" s="194"/>
      <c r="M184" s="454">
        <f>(M182-M181)/M182</f>
        <v>9.8764227642276423E-2</v>
      </c>
      <c r="N184" s="455">
        <f>(N182-N181)/N182</f>
        <v>9.0089430894308944E-2</v>
      </c>
      <c r="O184" s="438"/>
      <c r="P184" s="321"/>
      <c r="Q184" s="24"/>
      <c r="R184" s="322">
        <f>(R182-R181)/R182</f>
        <v>0.13229710144927537</v>
      </c>
      <c r="S184" s="322"/>
      <c r="T184" s="325"/>
      <c r="U184" s="321"/>
      <c r="V184" s="322"/>
      <c r="W184" s="322"/>
      <c r="X184" s="327"/>
      <c r="Y184" s="328"/>
      <c r="Z184" s="328"/>
      <c r="AA184" s="328"/>
      <c r="AB184" s="377"/>
    </row>
    <row r="185" spans="1:28" x14ac:dyDescent="0.2">
      <c r="A185" s="615"/>
      <c r="B185" s="415" t="s">
        <v>16</v>
      </c>
      <c r="C185" s="400">
        <f>(C182-C181)/C181</f>
        <v>3.9597435872830038E-2</v>
      </c>
      <c r="D185" s="24"/>
      <c r="E185" s="24">
        <f>(E182-E181)/E181</f>
        <v>9.4983563864176515E-2</v>
      </c>
      <c r="F185" s="24">
        <f>(F182-F181)/F181</f>
        <v>9.0278158353207821E-2</v>
      </c>
      <c r="G185" s="24">
        <f>(G182-G181)/G181</f>
        <v>0.20370373015873017</v>
      </c>
      <c r="H185" s="324"/>
      <c r="I185" s="24"/>
      <c r="J185" s="325"/>
      <c r="K185" s="426"/>
      <c r="L185" s="194"/>
      <c r="M185" s="454">
        <f>(M182-M181)/M181</f>
        <v>0.10958755818568902</v>
      </c>
      <c r="N185" s="455">
        <f>(N182-N181)/N181</f>
        <v>9.9009104799006431E-2</v>
      </c>
      <c r="O185" s="438"/>
      <c r="P185" s="321"/>
      <c r="Q185" s="24"/>
      <c r="R185" s="322">
        <f>(R182-R181)/R181</f>
        <v>0.15246820273418907</v>
      </c>
      <c r="S185" s="322"/>
      <c r="T185" s="325"/>
      <c r="U185" s="321"/>
      <c r="V185" s="322"/>
      <c r="W185" s="322"/>
      <c r="X185" s="315"/>
      <c r="Y185" s="315"/>
      <c r="Z185" s="315"/>
      <c r="AA185" s="315"/>
      <c r="AB185" s="352"/>
    </row>
    <row r="186" spans="1:28" ht="13.3" thickBot="1" x14ac:dyDescent="0.25">
      <c r="A186" s="620"/>
      <c r="B186" s="418" t="s">
        <v>10</v>
      </c>
      <c r="C186" s="403">
        <f>C183/C177-1</f>
        <v>4.7120418848167533E-2</v>
      </c>
      <c r="D186" s="25"/>
      <c r="E186" s="25">
        <f>E183/E177-1</f>
        <v>4.7169811320754818E-2</v>
      </c>
      <c r="F186" s="25">
        <f>F183/F177-1</f>
        <v>4.3859649122806932E-2</v>
      </c>
      <c r="G186" s="25" t="e">
        <f>G183/G177-1</f>
        <v>#DIV/0!</v>
      </c>
      <c r="H186" s="378"/>
      <c r="I186" s="25"/>
      <c r="J186" s="373"/>
      <c r="K186" s="429"/>
      <c r="L186" s="505"/>
      <c r="M186" s="458">
        <f>M183/M177-1</f>
        <v>5.1282051282051322E-2</v>
      </c>
      <c r="N186" s="79">
        <f>N183/N177-1</f>
        <v>5.1282051282051322E-2</v>
      </c>
      <c r="O186" s="441"/>
      <c r="P186" s="372"/>
      <c r="Q186" s="25"/>
      <c r="R186" s="370">
        <f>R183/R177-1</f>
        <v>4.5454545454545414E-2</v>
      </c>
      <c r="S186" s="370"/>
      <c r="T186" s="373"/>
      <c r="U186" s="372"/>
      <c r="V186" s="370"/>
      <c r="W186" s="370"/>
      <c r="X186" s="359"/>
      <c r="Y186" s="359"/>
      <c r="Z186" s="359"/>
      <c r="AA186" s="359"/>
      <c r="AB186" s="360"/>
    </row>
    <row r="187" spans="1:28" x14ac:dyDescent="0.2">
      <c r="A187" s="616">
        <v>42552</v>
      </c>
      <c r="B187" s="419" t="s">
        <v>13</v>
      </c>
      <c r="C187" s="404">
        <v>1042.07</v>
      </c>
      <c r="D187" s="365">
        <v>1083.07</v>
      </c>
      <c r="E187" s="365">
        <v>1098.19</v>
      </c>
      <c r="F187" s="365">
        <v>1182.42</v>
      </c>
      <c r="G187" s="365">
        <v>1260</v>
      </c>
      <c r="H187" s="367"/>
      <c r="I187" s="365">
        <v>874.5</v>
      </c>
      <c r="J187" s="212">
        <v>1088</v>
      </c>
      <c r="K187" s="430">
        <v>1098.98</v>
      </c>
      <c r="L187" s="506"/>
      <c r="M187" s="211">
        <v>1108.52</v>
      </c>
      <c r="N187" s="459">
        <v>1119.19</v>
      </c>
      <c r="O187" s="440"/>
      <c r="P187" s="369"/>
      <c r="Q187" s="375">
        <v>930.76</v>
      </c>
      <c r="R187" s="365">
        <v>1197.43</v>
      </c>
      <c r="S187" s="365">
        <v>1314.16</v>
      </c>
      <c r="T187" s="212">
        <v>1215.05</v>
      </c>
      <c r="U187" s="368">
        <v>1226.95</v>
      </c>
      <c r="V187" s="365"/>
      <c r="W187" s="365">
        <v>895.08</v>
      </c>
      <c r="X187" s="350"/>
      <c r="Y187" s="350"/>
      <c r="Z187" s="350"/>
      <c r="AA187" s="350"/>
      <c r="AB187" s="351"/>
    </row>
    <row r="188" spans="1:28" x14ac:dyDescent="0.2">
      <c r="A188" s="617"/>
      <c r="B188" s="415" t="s">
        <v>12</v>
      </c>
      <c r="C188" s="405">
        <v>1083.3333</v>
      </c>
      <c r="D188" s="191"/>
      <c r="E188" s="206">
        <v>1202.5</v>
      </c>
      <c r="F188" s="206">
        <v>1289.1667</v>
      </c>
      <c r="G188" s="206">
        <v>1516.6667</v>
      </c>
      <c r="H188" s="197"/>
      <c r="I188" s="191"/>
      <c r="J188" s="319"/>
      <c r="K188" s="425"/>
      <c r="L188" s="502"/>
      <c r="M188" s="460">
        <v>1230</v>
      </c>
      <c r="N188" s="461">
        <v>1230</v>
      </c>
      <c r="O188" s="437"/>
      <c r="P188" s="316"/>
      <c r="Q188" s="11"/>
      <c r="R188" s="206">
        <v>1380</v>
      </c>
      <c r="S188" s="191"/>
      <c r="T188" s="319"/>
      <c r="U188" s="316"/>
      <c r="V188" s="191"/>
      <c r="W188" s="191"/>
      <c r="X188" s="315"/>
      <c r="Y188" s="315"/>
      <c r="Z188" s="315"/>
      <c r="AA188" s="315"/>
      <c r="AB188" s="352"/>
    </row>
    <row r="189" spans="1:28" x14ac:dyDescent="0.2">
      <c r="A189" s="617"/>
      <c r="B189" s="415" t="s">
        <v>11</v>
      </c>
      <c r="C189" s="405">
        <v>1</v>
      </c>
      <c r="D189" s="191"/>
      <c r="E189" s="206">
        <v>1.1100000000000001</v>
      </c>
      <c r="F189" s="206">
        <v>1.19</v>
      </c>
      <c r="G189" s="206">
        <v>1.4</v>
      </c>
      <c r="H189" s="197"/>
      <c r="I189" s="191"/>
      <c r="J189" s="319"/>
      <c r="K189" s="425"/>
      <c r="L189" s="502"/>
      <c r="M189" s="460">
        <v>1.23</v>
      </c>
      <c r="N189" s="461">
        <v>1.23</v>
      </c>
      <c r="O189" s="437"/>
      <c r="P189" s="316"/>
      <c r="Q189" s="11"/>
      <c r="R189" s="206">
        <v>1.38</v>
      </c>
      <c r="S189" s="191"/>
      <c r="T189" s="319"/>
      <c r="U189" s="316"/>
      <c r="V189" s="191"/>
      <c r="W189" s="191"/>
      <c r="X189" s="315"/>
      <c r="Y189" s="315"/>
      <c r="Z189" s="315"/>
      <c r="AA189" s="315"/>
      <c r="AB189" s="352"/>
    </row>
    <row r="190" spans="1:28" x14ac:dyDescent="0.2">
      <c r="A190" s="617"/>
      <c r="B190" s="415" t="s">
        <v>15</v>
      </c>
      <c r="C190" s="406">
        <f>(C188-C187)/C188</f>
        <v>3.8089201171975486E-2</v>
      </c>
      <c r="D190" s="322"/>
      <c r="E190" s="322">
        <f>(E188-E187)/E188</f>
        <v>8.6744282744282697E-2</v>
      </c>
      <c r="F190" s="322">
        <f>(F188-F187)/F188</f>
        <v>8.2802867930113239E-2</v>
      </c>
      <c r="G190" s="322">
        <f>(G188-G187)/G188</f>
        <v>0.16923078748943324</v>
      </c>
      <c r="H190" s="329"/>
      <c r="I190" s="322"/>
      <c r="J190" s="325"/>
      <c r="K190" s="426"/>
      <c r="L190" s="194"/>
      <c r="M190" s="454">
        <f>(M188-M187)/M188</f>
        <v>9.8764227642276436E-2</v>
      </c>
      <c r="N190" s="455">
        <f>(N188-N187)/N188</f>
        <v>9.0089430894308903E-2</v>
      </c>
      <c r="O190" s="438"/>
      <c r="P190" s="321"/>
      <c r="Q190" s="24"/>
      <c r="R190" s="322">
        <f>(R188-R187)/R188</f>
        <v>0.13229710144927531</v>
      </c>
      <c r="S190" s="322"/>
      <c r="T190" s="325"/>
      <c r="U190" s="321"/>
      <c r="V190" s="322"/>
      <c r="W190" s="322"/>
      <c r="X190" s="315"/>
      <c r="Y190" s="315"/>
      <c r="Z190" s="315"/>
      <c r="AA190" s="315"/>
      <c r="AB190" s="352"/>
    </row>
    <row r="191" spans="1:28" x14ac:dyDescent="0.2">
      <c r="A191" s="617"/>
      <c r="B191" s="415" t="s">
        <v>16</v>
      </c>
      <c r="C191" s="406">
        <f>(C188-C187)/C187</f>
        <v>3.9597435872830114E-2</v>
      </c>
      <c r="D191" s="322"/>
      <c r="E191" s="322">
        <f>(E188-E187)/E187</f>
        <v>9.498356386417646E-2</v>
      </c>
      <c r="F191" s="322">
        <f>(F188-F187)/F187</f>
        <v>9.0278158353207752E-2</v>
      </c>
      <c r="G191" s="322">
        <f>(G188-G187)/G187</f>
        <v>0.20370373015873014</v>
      </c>
      <c r="H191" s="329"/>
      <c r="I191" s="322"/>
      <c r="J191" s="325"/>
      <c r="K191" s="426"/>
      <c r="L191" s="194"/>
      <c r="M191" s="454">
        <f>(M188-M187)/M187</f>
        <v>0.10958755818568905</v>
      </c>
      <c r="N191" s="455">
        <f>(N188-N187)/N187</f>
        <v>9.9009104799006376E-2</v>
      </c>
      <c r="O191" s="438"/>
      <c r="P191" s="321"/>
      <c r="Q191" s="24"/>
      <c r="R191" s="322">
        <f>(R188-R187)/R187</f>
        <v>0.15246820273418898</v>
      </c>
      <c r="S191" s="322"/>
      <c r="T191" s="325"/>
      <c r="U191" s="321"/>
      <c r="V191" s="322"/>
      <c r="W191" s="322"/>
      <c r="X191" s="315"/>
      <c r="Y191" s="315"/>
      <c r="Z191" s="315"/>
      <c r="AA191" s="315"/>
      <c r="AB191" s="352"/>
    </row>
    <row r="192" spans="1:28" ht="13.3" thickBot="1" x14ac:dyDescent="0.25">
      <c r="A192" s="618"/>
      <c r="B192" s="418" t="s">
        <v>10</v>
      </c>
      <c r="C192" s="407">
        <f>C189/C183-1</f>
        <v>-0.99990000000000001</v>
      </c>
      <c r="D192" s="370"/>
      <c r="E192" s="370">
        <f>E189/E183-1</f>
        <v>-0.99990000000000001</v>
      </c>
      <c r="F192" s="370">
        <f>F189/F183-1</f>
        <v>-0.99990000000000001</v>
      </c>
      <c r="G192" s="370">
        <f>G189/G183-1</f>
        <v>-0.99989230769230775</v>
      </c>
      <c r="H192" s="371"/>
      <c r="I192" s="370"/>
      <c r="J192" s="373"/>
      <c r="K192" s="429"/>
      <c r="L192" s="505"/>
      <c r="M192" s="458">
        <f>M189/M183-1</f>
        <v>-0.99990000000000001</v>
      </c>
      <c r="N192" s="79">
        <f>N189/N183-1</f>
        <v>-0.99990000000000001</v>
      </c>
      <c r="O192" s="441"/>
      <c r="P192" s="372"/>
      <c r="Q192" s="25"/>
      <c r="R192" s="370">
        <f>R189/R183-1</f>
        <v>-0.99990000000000001</v>
      </c>
      <c r="S192" s="370"/>
      <c r="T192" s="373"/>
      <c r="U192" s="372"/>
      <c r="V192" s="370"/>
      <c r="W192" s="370"/>
      <c r="X192" s="359"/>
      <c r="Y192" s="359"/>
      <c r="Z192" s="359"/>
      <c r="AA192" s="359"/>
      <c r="AB192" s="360"/>
    </row>
    <row r="193" spans="1:28" x14ac:dyDescent="0.2">
      <c r="A193" s="616">
        <v>42805</v>
      </c>
      <c r="B193" s="419" t="s">
        <v>13</v>
      </c>
      <c r="C193" s="404">
        <v>1052.21</v>
      </c>
      <c r="D193" s="366"/>
      <c r="E193" s="365">
        <v>1107.82</v>
      </c>
      <c r="F193" s="365">
        <v>1192.1199999999999</v>
      </c>
      <c r="G193" s="365">
        <v>1268.75</v>
      </c>
      <c r="H193" s="367"/>
      <c r="I193" s="366"/>
      <c r="J193" s="87"/>
      <c r="K193" s="428"/>
      <c r="L193" s="504"/>
      <c r="M193" s="211">
        <v>1117.27</v>
      </c>
      <c r="N193" s="459">
        <v>1128.03</v>
      </c>
      <c r="O193" s="440"/>
      <c r="P193" s="369"/>
      <c r="Q193" s="159"/>
      <c r="R193" s="365">
        <v>1205.8499999999999</v>
      </c>
      <c r="S193" s="365">
        <v>1324.54</v>
      </c>
      <c r="T193" s="87"/>
      <c r="U193" s="369"/>
      <c r="V193" s="366"/>
      <c r="W193" s="365">
        <v>902.28</v>
      </c>
      <c r="X193" s="350"/>
      <c r="Y193" s="350"/>
      <c r="Z193" s="350"/>
      <c r="AA193" s="350"/>
      <c r="AB193" s="351"/>
    </row>
    <row r="194" spans="1:28" x14ac:dyDescent="0.2">
      <c r="A194" s="617"/>
      <c r="B194" s="415" t="s">
        <v>12</v>
      </c>
      <c r="C194" s="405">
        <v>1092</v>
      </c>
      <c r="D194" s="191"/>
      <c r="E194" s="206">
        <v>1209</v>
      </c>
      <c r="F194" s="206">
        <v>1300</v>
      </c>
      <c r="G194" s="206">
        <v>1521</v>
      </c>
      <c r="H194" s="197"/>
      <c r="I194" s="191"/>
      <c r="J194" s="319"/>
      <c r="K194" s="425"/>
      <c r="L194" s="502"/>
      <c r="M194" s="460">
        <v>1236</v>
      </c>
      <c r="N194" s="461">
        <v>1236</v>
      </c>
      <c r="O194" s="437"/>
      <c r="P194" s="316"/>
      <c r="Q194" s="11"/>
      <c r="R194" s="206">
        <v>1392</v>
      </c>
      <c r="S194" s="191"/>
      <c r="T194" s="319"/>
      <c r="U194" s="316"/>
      <c r="V194" s="191"/>
      <c r="W194" s="191"/>
      <c r="X194" s="315"/>
      <c r="Y194" s="315"/>
      <c r="Z194" s="315"/>
      <c r="AA194" s="315"/>
      <c r="AB194" s="352"/>
    </row>
    <row r="195" spans="1:28" x14ac:dyDescent="0.2">
      <c r="A195" s="617"/>
      <c r="B195" s="415" t="s">
        <v>11</v>
      </c>
      <c r="C195" s="405">
        <v>1.01</v>
      </c>
      <c r="D195" s="191"/>
      <c r="E195" s="206">
        <v>1.1200000000000001</v>
      </c>
      <c r="F195" s="206">
        <v>1.2</v>
      </c>
      <c r="G195" s="206">
        <v>1.41</v>
      </c>
      <c r="H195" s="197"/>
      <c r="I195" s="191"/>
      <c r="J195" s="319"/>
      <c r="K195" s="425"/>
      <c r="L195" s="502"/>
      <c r="M195" s="460">
        <v>1.24</v>
      </c>
      <c r="N195" s="461">
        <v>1.24</v>
      </c>
      <c r="O195" s="437"/>
      <c r="P195" s="316"/>
      <c r="Q195" s="11"/>
      <c r="R195" s="206">
        <v>1.39</v>
      </c>
      <c r="S195" s="191"/>
      <c r="T195" s="319"/>
      <c r="U195" s="316"/>
      <c r="V195" s="191"/>
      <c r="W195" s="191"/>
      <c r="X195" s="315"/>
      <c r="Y195" s="315"/>
      <c r="Z195" s="315"/>
      <c r="AA195" s="315"/>
      <c r="AB195" s="352"/>
    </row>
    <row r="196" spans="1:28" x14ac:dyDescent="0.2">
      <c r="A196" s="617"/>
      <c r="B196" s="415" t="s">
        <v>15</v>
      </c>
      <c r="C196" s="406">
        <f>(C194-C193)/C194</f>
        <v>3.6437728937728904E-2</v>
      </c>
      <c r="D196" s="322"/>
      <c r="E196" s="322">
        <f>(E194-E193)/E194</f>
        <v>8.368899917287019E-2</v>
      </c>
      <c r="F196" s="322">
        <f>(F194-F193)/F194</f>
        <v>8.2984615384615462E-2</v>
      </c>
      <c r="G196" s="322">
        <f>(G194-G193)/G194</f>
        <v>0.16584483892176199</v>
      </c>
      <c r="H196" s="329"/>
      <c r="I196" s="322"/>
      <c r="J196" s="325"/>
      <c r="K196" s="426"/>
      <c r="L196" s="194"/>
      <c r="M196" s="454">
        <f>(M194-M193)/M194</f>
        <v>9.6059870550161824E-2</v>
      </c>
      <c r="N196" s="455">
        <f>(N194-N193)/N194</f>
        <v>8.7354368932038851E-2</v>
      </c>
      <c r="O196" s="438"/>
      <c r="P196" s="321"/>
      <c r="Q196" s="24"/>
      <c r="R196" s="322">
        <f>(R194-R193)/R194</f>
        <v>0.13372844827586214</v>
      </c>
      <c r="S196" s="322"/>
      <c r="T196" s="325"/>
      <c r="U196" s="321"/>
      <c r="V196" s="322"/>
      <c r="W196" s="322"/>
      <c r="X196" s="315"/>
      <c r="Y196" s="315"/>
      <c r="Z196" s="315"/>
      <c r="AA196" s="315"/>
      <c r="AB196" s="352"/>
    </row>
    <row r="197" spans="1:28" x14ac:dyDescent="0.2">
      <c r="A197" s="617"/>
      <c r="B197" s="415" t="s">
        <v>16</v>
      </c>
      <c r="C197" s="406">
        <f>(C194-C193)/C193</f>
        <v>3.7815645165888902E-2</v>
      </c>
      <c r="D197" s="322"/>
      <c r="E197" s="322">
        <f>(E194-E193)/E193</f>
        <v>9.1332526944810588E-2</v>
      </c>
      <c r="F197" s="322">
        <f>(F194-F193)/F193</f>
        <v>9.0494245545750529E-2</v>
      </c>
      <c r="G197" s="322">
        <f>(G194-G193)/G193</f>
        <v>0.19881773399014779</v>
      </c>
      <c r="H197" s="329"/>
      <c r="I197" s="322"/>
      <c r="J197" s="325"/>
      <c r="K197" s="426"/>
      <c r="L197" s="194"/>
      <c r="M197" s="454">
        <f>(M194-M193)/M193</f>
        <v>0.10626795671592365</v>
      </c>
      <c r="N197" s="455">
        <f>(N194-N193)/N193</f>
        <v>9.5715539480332998E-2</v>
      </c>
      <c r="O197" s="438"/>
      <c r="P197" s="321"/>
      <c r="Q197" s="24"/>
      <c r="R197" s="322">
        <f>(R194-R193)/R193</f>
        <v>0.15437243438238596</v>
      </c>
      <c r="S197" s="322"/>
      <c r="T197" s="325"/>
      <c r="U197" s="321"/>
      <c r="V197" s="322"/>
      <c r="W197" s="322"/>
      <c r="X197" s="315"/>
      <c r="Y197" s="315"/>
      <c r="Z197" s="315"/>
      <c r="AA197" s="315"/>
      <c r="AB197" s="352"/>
    </row>
    <row r="198" spans="1:28" ht="13.3" thickBot="1" x14ac:dyDescent="0.25">
      <c r="A198" s="618"/>
      <c r="B198" s="418" t="s">
        <v>10</v>
      </c>
      <c r="C198" s="407">
        <f>C195/C189-1</f>
        <v>1.0000000000000009E-2</v>
      </c>
      <c r="D198" s="370"/>
      <c r="E198" s="370">
        <f>E195/E189-1</f>
        <v>9.009009009008917E-3</v>
      </c>
      <c r="F198" s="370">
        <f>F195/F189-1</f>
        <v>8.4033613445377853E-3</v>
      </c>
      <c r="G198" s="370">
        <f>G195/G189-1</f>
        <v>7.1428571428571175E-3</v>
      </c>
      <c r="H198" s="371"/>
      <c r="I198" s="370"/>
      <c r="J198" s="373"/>
      <c r="K198" s="429"/>
      <c r="L198" s="505"/>
      <c r="M198" s="458">
        <f>M195/M189-1</f>
        <v>8.1300813008129413E-3</v>
      </c>
      <c r="N198" s="79">
        <f>N195/N189-1</f>
        <v>8.1300813008129413E-3</v>
      </c>
      <c r="O198" s="441"/>
      <c r="P198" s="372"/>
      <c r="Q198" s="25"/>
      <c r="R198" s="370">
        <f>R195/R189-1</f>
        <v>7.2463768115942351E-3</v>
      </c>
      <c r="S198" s="370"/>
      <c r="T198" s="373"/>
      <c r="U198" s="372"/>
      <c r="V198" s="370"/>
      <c r="W198" s="370"/>
      <c r="X198" s="359"/>
      <c r="Y198" s="359"/>
      <c r="Z198" s="359"/>
      <c r="AA198" s="359"/>
      <c r="AB198" s="360"/>
    </row>
    <row r="199" spans="1:28" x14ac:dyDescent="0.2">
      <c r="A199" s="612">
        <v>42812</v>
      </c>
      <c r="B199" s="420" t="s">
        <v>13</v>
      </c>
      <c r="C199" s="408">
        <v>1062.3499999999999</v>
      </c>
      <c r="D199" s="347"/>
      <c r="E199" s="346">
        <v>1117.43</v>
      </c>
      <c r="F199" s="346">
        <v>1201.78</v>
      </c>
      <c r="G199" s="346">
        <v>1277.56</v>
      </c>
      <c r="H199" s="347"/>
      <c r="I199" s="347"/>
      <c r="J199" s="290"/>
      <c r="K199" s="431"/>
      <c r="L199" s="507"/>
      <c r="M199" s="256">
        <v>1126.0899999999999</v>
      </c>
      <c r="N199" s="462">
        <v>1136.94</v>
      </c>
      <c r="O199" s="442"/>
      <c r="P199" s="348"/>
      <c r="Q199" s="349"/>
      <c r="R199" s="346">
        <v>1214.33</v>
      </c>
      <c r="S199" s="346">
        <v>1336.6</v>
      </c>
      <c r="T199" s="290"/>
      <c r="U199" s="348"/>
      <c r="V199" s="347"/>
      <c r="W199" s="346">
        <v>909.54</v>
      </c>
      <c r="X199" s="350"/>
      <c r="Y199" s="350"/>
      <c r="Z199" s="350"/>
      <c r="AA199" s="350"/>
      <c r="AB199" s="351"/>
    </row>
    <row r="200" spans="1:28" x14ac:dyDescent="0.2">
      <c r="A200" s="613"/>
      <c r="B200" s="421" t="s">
        <v>12</v>
      </c>
      <c r="C200" s="409">
        <v>1118</v>
      </c>
      <c r="D200" s="249"/>
      <c r="E200" s="250">
        <v>1222</v>
      </c>
      <c r="F200" s="250">
        <v>1313</v>
      </c>
      <c r="G200" s="250">
        <v>1534</v>
      </c>
      <c r="H200" s="249"/>
      <c r="I200" s="249"/>
      <c r="J200" s="330"/>
      <c r="K200" s="432"/>
      <c r="L200" s="508"/>
      <c r="M200" s="463">
        <v>1248</v>
      </c>
      <c r="N200" s="464">
        <v>1248</v>
      </c>
      <c r="O200" s="443"/>
      <c r="P200" s="334"/>
      <c r="Q200" s="335"/>
      <c r="R200" s="250">
        <v>1404</v>
      </c>
      <c r="S200" s="469"/>
      <c r="T200" s="333"/>
      <c r="U200" s="334"/>
      <c r="V200" s="469"/>
      <c r="W200" s="381"/>
      <c r="X200" s="315"/>
      <c r="Y200" s="315"/>
      <c r="Z200" s="315"/>
      <c r="AA200" s="315"/>
      <c r="AB200" s="352"/>
    </row>
    <row r="201" spans="1:28" x14ac:dyDescent="0.2">
      <c r="A201" s="613"/>
      <c r="B201" s="421" t="s">
        <v>11</v>
      </c>
      <c r="C201" s="409">
        <v>1.02</v>
      </c>
      <c r="D201" s="249"/>
      <c r="E201" s="250">
        <v>1.1299999999999999</v>
      </c>
      <c r="F201" s="250">
        <v>1.21</v>
      </c>
      <c r="G201" s="250">
        <v>1.42</v>
      </c>
      <c r="H201" s="249"/>
      <c r="I201" s="249"/>
      <c r="J201" s="330"/>
      <c r="K201" s="432"/>
      <c r="L201" s="508"/>
      <c r="M201" s="463">
        <v>1.25</v>
      </c>
      <c r="N201" s="464">
        <v>1.25</v>
      </c>
      <c r="O201" s="443"/>
      <c r="P201" s="334"/>
      <c r="Q201" s="335"/>
      <c r="R201" s="250">
        <v>1.4</v>
      </c>
      <c r="S201" s="469"/>
      <c r="T201" s="333"/>
      <c r="U201" s="334"/>
      <c r="V201" s="469"/>
      <c r="W201" s="381"/>
      <c r="X201" s="315"/>
      <c r="Y201" s="315"/>
      <c r="Z201" s="315"/>
      <c r="AA201" s="315"/>
      <c r="AB201" s="352"/>
    </row>
    <row r="202" spans="1:28" x14ac:dyDescent="0.2">
      <c r="A202" s="613"/>
      <c r="B202" s="421" t="s">
        <v>15</v>
      </c>
      <c r="C202" s="410">
        <f>(C200-C199)/C200</f>
        <v>4.9776386404293466E-2</v>
      </c>
      <c r="D202" s="336"/>
      <c r="E202" s="336">
        <f>(E200-E199)/E200</f>
        <v>8.5572831423895199E-2</v>
      </c>
      <c r="F202" s="336">
        <f>(F200-F199)/F200</f>
        <v>8.4706778370144731E-2</v>
      </c>
      <c r="G202" s="336">
        <f>(G200-G199)/G200</f>
        <v>0.16717079530638856</v>
      </c>
      <c r="H202" s="336"/>
      <c r="I202" s="336"/>
      <c r="J202" s="338"/>
      <c r="K202" s="433"/>
      <c r="L202" s="279"/>
      <c r="M202" s="465">
        <f>(M200-M199)/M200</f>
        <v>9.7684294871794933E-2</v>
      </c>
      <c r="N202" s="466">
        <f>(N200-N199)/N200</f>
        <v>8.8990384615384568E-2</v>
      </c>
      <c r="O202" s="444"/>
      <c r="P202" s="340"/>
      <c r="Q202" s="341"/>
      <c r="R202" s="336">
        <f>(R200-R199)/R200</f>
        <v>0.13509259259259265</v>
      </c>
      <c r="S202" s="470"/>
      <c r="T202" s="339"/>
      <c r="U202" s="340"/>
      <c r="V202" s="470"/>
      <c r="W202" s="381"/>
      <c r="X202" s="315"/>
      <c r="Y202" s="315"/>
      <c r="Z202" s="315"/>
      <c r="AA202" s="315"/>
      <c r="AB202" s="352"/>
    </row>
    <row r="203" spans="1:28" x14ac:dyDescent="0.2">
      <c r="A203" s="613"/>
      <c r="B203" s="421" t="s">
        <v>16</v>
      </c>
      <c r="C203" s="410">
        <f>(C200-C199)/C199</f>
        <v>5.2383865957547036E-2</v>
      </c>
      <c r="D203" s="336"/>
      <c r="E203" s="336">
        <f>(E200-E199)/E199</f>
        <v>9.3580805956525182E-2</v>
      </c>
      <c r="F203" s="336">
        <f>(F200-F199)/F199</f>
        <v>9.2546056682587516E-2</v>
      </c>
      <c r="G203" s="336">
        <f>(G200-G199)/G199</f>
        <v>0.20072638467077872</v>
      </c>
      <c r="H203" s="336"/>
      <c r="I203" s="336"/>
      <c r="J203" s="338"/>
      <c r="K203" s="433"/>
      <c r="L203" s="279"/>
      <c r="M203" s="465">
        <f>(M200-M199)/M199</f>
        <v>0.10825955296645924</v>
      </c>
      <c r="N203" s="466">
        <f>(N200-N199)/N199</f>
        <v>9.7683255053037044E-2</v>
      </c>
      <c r="O203" s="444"/>
      <c r="P203" s="340"/>
      <c r="Q203" s="341"/>
      <c r="R203" s="336">
        <f>(R200-R199)/R199</f>
        <v>0.15619312707418914</v>
      </c>
      <c r="S203" s="470"/>
      <c r="T203" s="339"/>
      <c r="U203" s="340"/>
      <c r="V203" s="470"/>
      <c r="W203" s="381"/>
      <c r="X203" s="315"/>
      <c r="Y203" s="315"/>
      <c r="Z203" s="315"/>
      <c r="AA203" s="315"/>
      <c r="AB203" s="352"/>
    </row>
    <row r="204" spans="1:28" ht="13.3" thickBot="1" x14ac:dyDescent="0.25">
      <c r="A204" s="614"/>
      <c r="B204" s="422" t="s">
        <v>10</v>
      </c>
      <c r="C204" s="411">
        <f>C201/C195-1</f>
        <v>9.9009900990099098E-3</v>
      </c>
      <c r="D204" s="353"/>
      <c r="E204" s="353">
        <f>E201/E195-1</f>
        <v>8.9285714285711748E-3</v>
      </c>
      <c r="F204" s="353">
        <f>F201/F195-1</f>
        <v>8.3333333333333037E-3</v>
      </c>
      <c r="G204" s="353">
        <f>G201/G195-1</f>
        <v>7.0921985815601829E-3</v>
      </c>
      <c r="H204" s="353"/>
      <c r="I204" s="353"/>
      <c r="J204" s="355"/>
      <c r="K204" s="434"/>
      <c r="L204" s="509"/>
      <c r="M204" s="467">
        <f>M201/M195-1</f>
        <v>8.0645161290322509E-3</v>
      </c>
      <c r="N204" s="292">
        <f>N201/N195-1</f>
        <v>8.0645161290322509E-3</v>
      </c>
      <c r="O204" s="445"/>
      <c r="P204" s="357"/>
      <c r="Q204" s="358"/>
      <c r="R204" s="353">
        <f>R201/R195-1</f>
        <v>7.194244604316502E-3</v>
      </c>
      <c r="S204" s="471"/>
      <c r="T204" s="356"/>
      <c r="U204" s="357"/>
      <c r="V204" s="471"/>
      <c r="W204" s="382"/>
      <c r="X204" s="359"/>
      <c r="Y204" s="359"/>
      <c r="Z204" s="359"/>
      <c r="AA204" s="359"/>
      <c r="AB204" s="360"/>
    </row>
    <row r="205" spans="1:28" x14ac:dyDescent="0.2">
      <c r="A205" s="612">
        <v>42826</v>
      </c>
      <c r="B205" s="420" t="s">
        <v>13</v>
      </c>
      <c r="C205" s="408">
        <v>1072.49</v>
      </c>
      <c r="D205" s="347"/>
      <c r="E205" s="346">
        <v>1127.07</v>
      </c>
      <c r="F205" s="346">
        <v>1211.48</v>
      </c>
      <c r="G205" s="346">
        <v>1286.3599999999999</v>
      </c>
      <c r="H205" s="347"/>
      <c r="I205" s="347"/>
      <c r="J205" s="290"/>
      <c r="K205" s="431"/>
      <c r="L205" s="507"/>
      <c r="M205" s="256">
        <v>1134.8699999999999</v>
      </c>
      <c r="N205" s="462">
        <v>1145.81</v>
      </c>
      <c r="O205" s="442"/>
      <c r="P205" s="348"/>
      <c r="Q205" s="349"/>
      <c r="R205" s="346">
        <v>1222.8</v>
      </c>
      <c r="S205" s="346">
        <v>1346.04</v>
      </c>
      <c r="T205" s="290"/>
      <c r="U205" s="348"/>
      <c r="V205" s="347"/>
      <c r="W205" s="346">
        <v>916.75</v>
      </c>
      <c r="X205" s="350"/>
      <c r="Y205" s="350"/>
      <c r="Z205" s="350"/>
      <c r="AA205" s="350"/>
      <c r="AB205" s="351"/>
    </row>
    <row r="206" spans="1:28" x14ac:dyDescent="0.2">
      <c r="A206" s="613"/>
      <c r="B206" s="421" t="s">
        <v>12</v>
      </c>
      <c r="C206" s="409">
        <v>1118</v>
      </c>
      <c r="D206" s="249"/>
      <c r="E206" s="250">
        <v>1235</v>
      </c>
      <c r="F206" s="250">
        <v>1326</v>
      </c>
      <c r="G206" s="250">
        <v>1547</v>
      </c>
      <c r="H206" s="249"/>
      <c r="I206" s="249"/>
      <c r="J206" s="330"/>
      <c r="K206" s="432"/>
      <c r="L206" s="508"/>
      <c r="M206" s="463">
        <v>1260</v>
      </c>
      <c r="N206" s="464">
        <v>1260</v>
      </c>
      <c r="O206" s="446"/>
      <c r="P206" s="331"/>
      <c r="Q206" s="332"/>
      <c r="R206" s="250">
        <v>1404</v>
      </c>
      <c r="S206" s="249"/>
      <c r="T206" s="330"/>
      <c r="U206" s="331"/>
      <c r="V206" s="249"/>
      <c r="W206" s="315"/>
      <c r="X206" s="315"/>
      <c r="Y206" s="315"/>
      <c r="Z206" s="315"/>
      <c r="AA206" s="315"/>
      <c r="AB206" s="352"/>
    </row>
    <row r="207" spans="1:28" x14ac:dyDescent="0.2">
      <c r="A207" s="613"/>
      <c r="B207" s="421" t="s">
        <v>11</v>
      </c>
      <c r="C207" s="409">
        <v>1.03</v>
      </c>
      <c r="D207" s="249"/>
      <c r="E207" s="250">
        <v>1.1399999999999999</v>
      </c>
      <c r="F207" s="250">
        <v>1.22</v>
      </c>
      <c r="G207" s="250">
        <v>1.43</v>
      </c>
      <c r="H207" s="249"/>
      <c r="I207" s="249"/>
      <c r="J207" s="330"/>
      <c r="K207" s="432"/>
      <c r="L207" s="508"/>
      <c r="M207" s="463">
        <v>1.26</v>
      </c>
      <c r="N207" s="464">
        <v>1.26</v>
      </c>
      <c r="O207" s="446"/>
      <c r="P207" s="331"/>
      <c r="Q207" s="332"/>
      <c r="R207" s="250">
        <v>1.41</v>
      </c>
      <c r="S207" s="249"/>
      <c r="T207" s="330"/>
      <c r="U207" s="331"/>
      <c r="V207" s="249"/>
      <c r="W207" s="315"/>
      <c r="X207" s="315"/>
      <c r="Y207" s="315"/>
      <c r="Z207" s="315"/>
      <c r="AA207" s="315"/>
      <c r="AB207" s="352"/>
    </row>
    <row r="208" spans="1:28" x14ac:dyDescent="0.2">
      <c r="A208" s="613"/>
      <c r="B208" s="421" t="s">
        <v>15</v>
      </c>
      <c r="C208" s="410">
        <f>(C206-C205)/C206</f>
        <v>4.0706618962432911E-2</v>
      </c>
      <c r="D208" s="336"/>
      <c r="E208" s="336">
        <f>(E206-E205)/E206</f>
        <v>8.7392712550607335E-2</v>
      </c>
      <c r="F208" s="336">
        <f>(F206-F205)/F206</f>
        <v>8.636500754147812E-2</v>
      </c>
      <c r="G208" s="336">
        <f>(G206-G205)/G206</f>
        <v>0.16848093083387208</v>
      </c>
      <c r="H208" s="336"/>
      <c r="I208" s="336"/>
      <c r="J208" s="338"/>
      <c r="K208" s="433"/>
      <c r="L208" s="279"/>
      <c r="M208" s="465">
        <f>(M206-M205)/M206</f>
        <v>9.9309523809523903E-2</v>
      </c>
      <c r="N208" s="466">
        <f>(N206-N205)/N206</f>
        <v>9.0626984126984167E-2</v>
      </c>
      <c r="O208" s="447"/>
      <c r="P208" s="337"/>
      <c r="Q208" s="342"/>
      <c r="R208" s="336">
        <f>(R206-R205)/R206</f>
        <v>0.1290598290598291</v>
      </c>
      <c r="S208" s="336"/>
      <c r="T208" s="338"/>
      <c r="U208" s="337"/>
      <c r="V208" s="336"/>
      <c r="W208" s="315"/>
      <c r="X208" s="315"/>
      <c r="Y208" s="315"/>
      <c r="Z208" s="315"/>
      <c r="AA208" s="315"/>
      <c r="AB208" s="352"/>
    </row>
    <row r="209" spans="1:28" x14ac:dyDescent="0.2">
      <c r="A209" s="613"/>
      <c r="B209" s="421" t="s">
        <v>16</v>
      </c>
      <c r="C209" s="410">
        <f>(C206-C205)/C205</f>
        <v>4.2433962088224593E-2</v>
      </c>
      <c r="D209" s="336"/>
      <c r="E209" s="336">
        <f>(E206-E205)/E205</f>
        <v>9.5761576477060045E-2</v>
      </c>
      <c r="F209" s="336">
        <f>(F206-F205)/F205</f>
        <v>9.4529005844091504E-2</v>
      </c>
      <c r="G209" s="336">
        <f>(G206-G205)/G205</f>
        <v>0.2026182406169347</v>
      </c>
      <c r="H209" s="336"/>
      <c r="I209" s="336"/>
      <c r="J209" s="338"/>
      <c r="K209" s="433"/>
      <c r="L209" s="279"/>
      <c r="M209" s="465">
        <f>(M206-M205)/M205</f>
        <v>0.11025932485659161</v>
      </c>
      <c r="N209" s="466">
        <f>(N206-N205)/N205</f>
        <v>9.9658756687408964E-2</v>
      </c>
      <c r="O209" s="447"/>
      <c r="P209" s="337"/>
      <c r="Q209" s="342"/>
      <c r="R209" s="336">
        <f>(R206-R205)/R205</f>
        <v>0.14818449460255156</v>
      </c>
      <c r="S209" s="336"/>
      <c r="T209" s="338"/>
      <c r="U209" s="337"/>
      <c r="V209" s="336"/>
      <c r="W209" s="315"/>
      <c r="X209" s="315"/>
      <c r="Y209" s="315"/>
      <c r="Z209" s="315"/>
      <c r="AA209" s="315"/>
      <c r="AB209" s="352"/>
    </row>
    <row r="210" spans="1:28" ht="13.3" thickBot="1" x14ac:dyDescent="0.25">
      <c r="A210" s="614"/>
      <c r="B210" s="422" t="s">
        <v>10</v>
      </c>
      <c r="C210" s="411">
        <f>C207/C201-1</f>
        <v>9.8039215686274161E-3</v>
      </c>
      <c r="D210" s="353"/>
      <c r="E210" s="353">
        <f>E207/E201-1</f>
        <v>8.8495575221239076E-3</v>
      </c>
      <c r="F210" s="353">
        <f>F207/F201-1</f>
        <v>8.2644628099173278E-3</v>
      </c>
      <c r="G210" s="353">
        <f>G207/G201-1</f>
        <v>7.0422535211267512E-3</v>
      </c>
      <c r="H210" s="353"/>
      <c r="I210" s="353"/>
      <c r="J210" s="355"/>
      <c r="K210" s="434"/>
      <c r="L210" s="509"/>
      <c r="M210" s="467">
        <f>M207/M201-1</f>
        <v>8.0000000000000071E-3</v>
      </c>
      <c r="N210" s="292">
        <f>N207/N201-1</f>
        <v>8.0000000000000071E-3</v>
      </c>
      <c r="O210" s="448"/>
      <c r="P210" s="354"/>
      <c r="Q210" s="361"/>
      <c r="R210" s="353">
        <f>R207/R201-1</f>
        <v>7.1428571428571175E-3</v>
      </c>
      <c r="S210" s="353"/>
      <c r="T210" s="355"/>
      <c r="U210" s="354"/>
      <c r="V210" s="353"/>
      <c r="W210" s="359"/>
      <c r="X210" s="359"/>
      <c r="Y210" s="359"/>
      <c r="Z210" s="359"/>
      <c r="AA210" s="359"/>
      <c r="AB210" s="360"/>
    </row>
    <row r="211" spans="1:28" x14ac:dyDescent="0.2">
      <c r="A211" s="612">
        <v>42833</v>
      </c>
      <c r="B211" s="420" t="s">
        <v>13</v>
      </c>
      <c r="C211" s="408">
        <v>1082.6300000000001</v>
      </c>
      <c r="D211" s="347"/>
      <c r="E211" s="346">
        <v>1136.71</v>
      </c>
      <c r="F211" s="346">
        <v>1221.18</v>
      </c>
      <c r="G211" s="346">
        <v>1295.1600000000001</v>
      </c>
      <c r="H211" s="347"/>
      <c r="I211" s="347"/>
      <c r="J211" s="290"/>
      <c r="K211" s="431"/>
      <c r="L211" s="507"/>
      <c r="M211" s="256">
        <v>1143.6500000000001</v>
      </c>
      <c r="N211" s="462">
        <v>1154.68</v>
      </c>
      <c r="O211" s="442"/>
      <c r="P211" s="348"/>
      <c r="Q211" s="349"/>
      <c r="R211" s="346">
        <v>1231.27</v>
      </c>
      <c r="S211" s="346">
        <v>1355.48</v>
      </c>
      <c r="T211" s="290"/>
      <c r="U211" s="348"/>
      <c r="V211" s="347"/>
      <c r="W211" s="346">
        <v>923.96</v>
      </c>
      <c r="X211" s="350"/>
      <c r="Y211" s="350"/>
      <c r="Z211" s="350"/>
      <c r="AA211" s="350"/>
      <c r="AB211" s="351"/>
    </row>
    <row r="212" spans="1:28" x14ac:dyDescent="0.2">
      <c r="A212" s="613"/>
      <c r="B212" s="421" t="s">
        <v>12</v>
      </c>
      <c r="C212" s="409">
        <v>1131</v>
      </c>
      <c r="D212" s="249"/>
      <c r="E212" s="250">
        <v>1248</v>
      </c>
      <c r="F212" s="250">
        <v>1326</v>
      </c>
      <c r="G212" s="250">
        <v>1560</v>
      </c>
      <c r="H212" s="249"/>
      <c r="I212" s="249"/>
      <c r="J212" s="330"/>
      <c r="K212" s="432"/>
      <c r="L212" s="508"/>
      <c r="M212" s="463">
        <v>1272</v>
      </c>
      <c r="N212" s="464">
        <v>1272</v>
      </c>
      <c r="O212" s="443"/>
      <c r="P212" s="334"/>
      <c r="Q212" s="335"/>
      <c r="R212" s="250">
        <v>1416</v>
      </c>
      <c r="S212" s="469"/>
      <c r="T212" s="333"/>
      <c r="U212" s="334"/>
      <c r="V212" s="469"/>
      <c r="W212" s="381"/>
      <c r="X212" s="315"/>
      <c r="Y212" s="315"/>
      <c r="Z212" s="315"/>
      <c r="AA212" s="315"/>
      <c r="AB212" s="352"/>
    </row>
    <row r="213" spans="1:28" x14ac:dyDescent="0.2">
      <c r="A213" s="613"/>
      <c r="B213" s="421" t="s">
        <v>11</v>
      </c>
      <c r="C213" s="409">
        <v>1.04</v>
      </c>
      <c r="D213" s="249"/>
      <c r="E213" s="250">
        <v>1.1499999999999999</v>
      </c>
      <c r="F213" s="250">
        <v>1.23</v>
      </c>
      <c r="G213" s="250">
        <v>1.44</v>
      </c>
      <c r="H213" s="249"/>
      <c r="I213" s="249"/>
      <c r="J213" s="330"/>
      <c r="K213" s="432"/>
      <c r="L213" s="508"/>
      <c r="M213" s="463">
        <v>1.27</v>
      </c>
      <c r="N213" s="464">
        <v>1.27</v>
      </c>
      <c r="O213" s="443"/>
      <c r="P213" s="334"/>
      <c r="Q213" s="335"/>
      <c r="R213" s="250">
        <v>1.42</v>
      </c>
      <c r="S213" s="469"/>
      <c r="T213" s="333"/>
      <c r="U213" s="334"/>
      <c r="V213" s="469"/>
      <c r="W213" s="381"/>
      <c r="X213" s="315"/>
      <c r="Y213" s="315"/>
      <c r="Z213" s="315"/>
      <c r="AA213" s="315"/>
      <c r="AB213" s="352"/>
    </row>
    <row r="214" spans="1:28" x14ac:dyDescent="0.2">
      <c r="A214" s="613"/>
      <c r="B214" s="421" t="s">
        <v>15</v>
      </c>
      <c r="C214" s="410">
        <f>(C212-C211)/C212</f>
        <v>4.2767462422634739E-2</v>
      </c>
      <c r="D214" s="336"/>
      <c r="E214" s="336">
        <f>(E212-E211)/E212</f>
        <v>8.9174679487179456E-2</v>
      </c>
      <c r="F214" s="336">
        <f>(F212-F211)/F212</f>
        <v>7.9049773755656055E-2</v>
      </c>
      <c r="G214" s="336">
        <f>(G212-G211)/G212</f>
        <v>0.16976923076923073</v>
      </c>
      <c r="H214" s="336"/>
      <c r="I214" s="336"/>
      <c r="J214" s="338"/>
      <c r="K214" s="433"/>
      <c r="L214" s="279"/>
      <c r="M214" s="465">
        <f>(M212-M211)/M212</f>
        <v>0.10090408805031439</v>
      </c>
      <c r="N214" s="466">
        <f>(N212-N211)/N212</f>
        <v>9.2232704402515672E-2</v>
      </c>
      <c r="O214" s="444"/>
      <c r="P214" s="340"/>
      <c r="Q214" s="341"/>
      <c r="R214" s="336">
        <f>(R212-R211)/R212</f>
        <v>0.1304590395480226</v>
      </c>
      <c r="S214" s="470"/>
      <c r="T214" s="339"/>
      <c r="U214" s="340"/>
      <c r="V214" s="470"/>
      <c r="W214" s="315"/>
      <c r="X214" s="315"/>
      <c r="Y214" s="315"/>
      <c r="Z214" s="315"/>
      <c r="AA214" s="315"/>
      <c r="AB214" s="352"/>
    </row>
    <row r="215" spans="1:28" x14ac:dyDescent="0.2">
      <c r="A215" s="613"/>
      <c r="B215" s="421" t="s">
        <v>16</v>
      </c>
      <c r="C215" s="410">
        <f>(C212-C211)/C211</f>
        <v>4.4678237255571976E-2</v>
      </c>
      <c r="D215" s="336"/>
      <c r="E215" s="336">
        <f>(E212-E211)/E211</f>
        <v>9.7905358446745402E-2</v>
      </c>
      <c r="F215" s="336">
        <f>(F212-F211)/F211</f>
        <v>8.5835012037537406E-2</v>
      </c>
      <c r="G215" s="336">
        <f>(G212-G211)/G211</f>
        <v>0.20448438802927815</v>
      </c>
      <c r="H215" s="336"/>
      <c r="I215" s="336"/>
      <c r="J215" s="338"/>
      <c r="K215" s="433"/>
      <c r="L215" s="279"/>
      <c r="M215" s="465">
        <f>(M212-M211)/M211</f>
        <v>0.11222839155335977</v>
      </c>
      <c r="N215" s="466">
        <f>(N212-N211)/N211</f>
        <v>0.10160390757612493</v>
      </c>
      <c r="O215" s="444"/>
      <c r="P215" s="340"/>
      <c r="Q215" s="341"/>
      <c r="R215" s="336">
        <f>(R212-R211)/R211</f>
        <v>0.15003208069716636</v>
      </c>
      <c r="S215" s="470"/>
      <c r="T215" s="339"/>
      <c r="U215" s="340"/>
      <c r="V215" s="470"/>
      <c r="W215" s="315"/>
      <c r="X215" s="315"/>
      <c r="Y215" s="315"/>
      <c r="Z215" s="315"/>
      <c r="AA215" s="315"/>
      <c r="AB215" s="352"/>
    </row>
    <row r="216" spans="1:28" ht="13.3" thickBot="1" x14ac:dyDescent="0.25">
      <c r="A216" s="614"/>
      <c r="B216" s="422" t="s">
        <v>10</v>
      </c>
      <c r="C216" s="411">
        <f>C213/C207-1</f>
        <v>9.7087378640776656E-3</v>
      </c>
      <c r="D216" s="353"/>
      <c r="E216" s="353">
        <f>E213/E207-1</f>
        <v>8.7719298245614308E-3</v>
      </c>
      <c r="F216" s="353">
        <f>F213/F207-1</f>
        <v>8.1967213114753079E-3</v>
      </c>
      <c r="G216" s="353">
        <f>G213/G207-1</f>
        <v>6.9930069930070893E-3</v>
      </c>
      <c r="H216" s="353"/>
      <c r="I216" s="353"/>
      <c r="J216" s="355"/>
      <c r="K216" s="434"/>
      <c r="L216" s="509"/>
      <c r="M216" s="467">
        <f>M213/M207-1</f>
        <v>7.9365079365079083E-3</v>
      </c>
      <c r="N216" s="292">
        <f>N213/N207-1</f>
        <v>7.9365079365079083E-3</v>
      </c>
      <c r="O216" s="445"/>
      <c r="P216" s="357"/>
      <c r="Q216" s="358"/>
      <c r="R216" s="353">
        <f>R213/R207-1</f>
        <v>7.0921985815601829E-3</v>
      </c>
      <c r="S216" s="471"/>
      <c r="T216" s="356"/>
      <c r="U216" s="357"/>
      <c r="V216" s="471"/>
      <c r="W216" s="359"/>
      <c r="X216" s="359"/>
      <c r="Y216" s="359"/>
      <c r="Z216" s="359"/>
      <c r="AA216" s="359"/>
      <c r="AB216" s="360"/>
    </row>
    <row r="217" spans="1:28" x14ac:dyDescent="0.2">
      <c r="A217" s="612">
        <v>42840</v>
      </c>
      <c r="B217" s="420" t="s">
        <v>13</v>
      </c>
      <c r="C217" s="408">
        <v>1092.77</v>
      </c>
      <c r="D217" s="347"/>
      <c r="E217" s="346">
        <v>1146.3499999999999</v>
      </c>
      <c r="F217" s="346">
        <v>1230.8800000000001</v>
      </c>
      <c r="G217" s="346">
        <v>1303.96</v>
      </c>
      <c r="H217" s="347"/>
      <c r="I217" s="347"/>
      <c r="J217" s="290"/>
      <c r="K217" s="431"/>
      <c r="L217" s="507"/>
      <c r="M217" s="256">
        <v>1152.43</v>
      </c>
      <c r="N217" s="462">
        <v>1163.55</v>
      </c>
      <c r="O217" s="442"/>
      <c r="P217" s="348"/>
      <c r="Q217" s="349"/>
      <c r="R217" s="346">
        <v>1239.74</v>
      </c>
      <c r="S217" s="346">
        <v>1364.92</v>
      </c>
      <c r="T217" s="290"/>
      <c r="U217" s="348"/>
      <c r="V217" s="347"/>
      <c r="W217" s="346">
        <v>931.11</v>
      </c>
      <c r="X217" s="350"/>
      <c r="Y217" s="350"/>
      <c r="Z217" s="350"/>
      <c r="AA217" s="350"/>
      <c r="AB217" s="351"/>
    </row>
    <row r="218" spans="1:28" x14ac:dyDescent="0.2">
      <c r="A218" s="613"/>
      <c r="B218" s="421" t="s">
        <v>12</v>
      </c>
      <c r="C218" s="409">
        <v>1131</v>
      </c>
      <c r="D218" s="249"/>
      <c r="E218" s="250">
        <v>1261</v>
      </c>
      <c r="F218" s="250">
        <v>1339</v>
      </c>
      <c r="G218" s="250">
        <v>1573</v>
      </c>
      <c r="H218" s="249"/>
      <c r="I218" s="249"/>
      <c r="J218" s="330"/>
      <c r="K218" s="432"/>
      <c r="L218" s="508"/>
      <c r="M218" s="463">
        <v>1284</v>
      </c>
      <c r="N218" s="464">
        <v>1284</v>
      </c>
      <c r="O218" s="446"/>
      <c r="P218" s="331"/>
      <c r="Q218" s="332"/>
      <c r="R218" s="250">
        <v>1428</v>
      </c>
      <c r="S218" s="249"/>
      <c r="T218" s="330"/>
      <c r="U218" s="334"/>
      <c r="V218" s="469"/>
      <c r="W218" s="315"/>
      <c r="X218" s="315"/>
      <c r="Y218" s="315"/>
      <c r="Z218" s="315"/>
      <c r="AA218" s="315"/>
      <c r="AB218" s="352"/>
    </row>
    <row r="219" spans="1:28" x14ac:dyDescent="0.2">
      <c r="A219" s="613"/>
      <c r="B219" s="421" t="s">
        <v>11</v>
      </c>
      <c r="C219" s="409">
        <v>1.05</v>
      </c>
      <c r="D219" s="249"/>
      <c r="E219" s="250">
        <v>1.1599999999999999</v>
      </c>
      <c r="F219" s="250">
        <v>1.24</v>
      </c>
      <c r="G219" s="250">
        <v>1.45</v>
      </c>
      <c r="H219" s="249"/>
      <c r="I219" s="249"/>
      <c r="J219" s="330"/>
      <c r="K219" s="432"/>
      <c r="L219" s="508"/>
      <c r="M219" s="463">
        <v>1.28</v>
      </c>
      <c r="N219" s="464">
        <v>1.28</v>
      </c>
      <c r="O219" s="443"/>
      <c r="P219" s="334"/>
      <c r="Q219" s="335"/>
      <c r="R219" s="250">
        <v>1.43</v>
      </c>
      <c r="S219" s="469"/>
      <c r="T219" s="333"/>
      <c r="U219" s="334"/>
      <c r="V219" s="469"/>
      <c r="W219" s="315"/>
      <c r="X219" s="315"/>
      <c r="Y219" s="315"/>
      <c r="Z219" s="315"/>
      <c r="AA219" s="315"/>
      <c r="AB219" s="352"/>
    </row>
    <row r="220" spans="1:28" x14ac:dyDescent="0.2">
      <c r="A220" s="613"/>
      <c r="B220" s="421" t="s">
        <v>15</v>
      </c>
      <c r="C220" s="410">
        <f>(C218-C217)/C218</f>
        <v>3.3801945181255545E-2</v>
      </c>
      <c r="D220" s="336"/>
      <c r="E220" s="336">
        <f>(E218-E217)/E218</f>
        <v>9.0919904837430676E-2</v>
      </c>
      <c r="F220" s="336">
        <f>(F218-F217)/F218</f>
        <v>8.0746825989544357E-2</v>
      </c>
      <c r="G220" s="336">
        <f>(G218-G217)/G218</f>
        <v>0.17103623649078192</v>
      </c>
      <c r="H220" s="336"/>
      <c r="I220" s="336"/>
      <c r="J220" s="338"/>
      <c r="K220" s="433"/>
      <c r="L220" s="279"/>
      <c r="M220" s="465">
        <f>(M218-M217)/M218</f>
        <v>0.10246884735202487</v>
      </c>
      <c r="N220" s="466">
        <f>(N218-N217)/N218</f>
        <v>9.3808411214953313E-2</v>
      </c>
      <c r="O220" s="444"/>
      <c r="P220" s="340"/>
      <c r="Q220" s="341"/>
      <c r="R220" s="336">
        <f>(R218-R217)/R218</f>
        <v>0.1318347338935574</v>
      </c>
      <c r="S220" s="470"/>
      <c r="T220" s="339"/>
      <c r="U220" s="340"/>
      <c r="V220" s="470"/>
      <c r="W220" s="315"/>
      <c r="X220" s="315"/>
      <c r="Y220" s="315"/>
      <c r="Z220" s="315"/>
      <c r="AA220" s="315"/>
      <c r="AB220" s="352"/>
    </row>
    <row r="221" spans="1:28" x14ac:dyDescent="0.2">
      <c r="A221" s="613"/>
      <c r="B221" s="421" t="s">
        <v>16</v>
      </c>
      <c r="C221" s="410">
        <f>(C218-C217)/C217</f>
        <v>3.4984488959250361E-2</v>
      </c>
      <c r="D221" s="336"/>
      <c r="E221" s="336">
        <f>(E218-E217)/E217</f>
        <v>0.10001308500894152</v>
      </c>
      <c r="F221" s="336">
        <f>(F218-F217)/F217</f>
        <v>8.783959443650062E-2</v>
      </c>
      <c r="G221" s="336">
        <f>(G218-G217)/G217</f>
        <v>0.20632534740329456</v>
      </c>
      <c r="H221" s="336"/>
      <c r="I221" s="336"/>
      <c r="J221" s="338"/>
      <c r="K221" s="433"/>
      <c r="L221" s="279"/>
      <c r="M221" s="465">
        <f>(M218-M217)/M217</f>
        <v>0.11416745485626019</v>
      </c>
      <c r="N221" s="466">
        <f>(N218-N217)/N217</f>
        <v>0.10351940183060465</v>
      </c>
      <c r="O221" s="444"/>
      <c r="P221" s="340"/>
      <c r="Q221" s="341"/>
      <c r="R221" s="336">
        <f>(R218-R217)/R217</f>
        <v>0.1518544210882927</v>
      </c>
      <c r="S221" s="470"/>
      <c r="T221" s="339"/>
      <c r="U221" s="340"/>
      <c r="V221" s="470"/>
      <c r="W221" s="315"/>
      <c r="X221" s="315"/>
      <c r="Y221" s="315"/>
      <c r="Z221" s="315"/>
      <c r="AA221" s="315"/>
      <c r="AB221" s="352"/>
    </row>
    <row r="222" spans="1:28" ht="13.3" thickBot="1" x14ac:dyDescent="0.25">
      <c r="A222" s="614"/>
      <c r="B222" s="422" t="s">
        <v>10</v>
      </c>
      <c r="C222" s="411">
        <f>C219/C213-1</f>
        <v>9.6153846153845812E-3</v>
      </c>
      <c r="D222" s="353"/>
      <c r="E222" s="353">
        <f>E219/E213-1</f>
        <v>8.6956521739129933E-3</v>
      </c>
      <c r="F222" s="353">
        <f>F219/F213-1</f>
        <v>8.1300813008129413E-3</v>
      </c>
      <c r="G222" s="353">
        <f>G219/G213-1</f>
        <v>6.9444444444444198E-3</v>
      </c>
      <c r="H222" s="353"/>
      <c r="I222" s="353"/>
      <c r="J222" s="355"/>
      <c r="K222" s="434"/>
      <c r="L222" s="509"/>
      <c r="M222" s="467">
        <f>M219/M213-1</f>
        <v>7.8740157480314821E-3</v>
      </c>
      <c r="N222" s="292">
        <f>N219/N213-1</f>
        <v>7.8740157480314821E-3</v>
      </c>
      <c r="O222" s="445"/>
      <c r="P222" s="357"/>
      <c r="Q222" s="358"/>
      <c r="R222" s="353">
        <f>R219/R213-1</f>
        <v>7.0422535211267512E-3</v>
      </c>
      <c r="S222" s="471"/>
      <c r="T222" s="356"/>
      <c r="U222" s="357"/>
      <c r="V222" s="471"/>
      <c r="W222" s="359"/>
      <c r="X222" s="359"/>
      <c r="Y222" s="359"/>
      <c r="Z222" s="359"/>
      <c r="AA222" s="359"/>
      <c r="AB222" s="360"/>
    </row>
    <row r="223" spans="1:28" x14ac:dyDescent="0.2">
      <c r="A223" s="612">
        <v>42861</v>
      </c>
      <c r="B223" s="420" t="s">
        <v>13</v>
      </c>
      <c r="C223" s="408">
        <v>1102.9100000000001</v>
      </c>
      <c r="D223" s="347"/>
      <c r="E223" s="346">
        <v>1155.99</v>
      </c>
      <c r="F223" s="346">
        <v>1240.58</v>
      </c>
      <c r="G223" s="346">
        <v>1312.76</v>
      </c>
      <c r="H223" s="347"/>
      <c r="I223" s="347"/>
      <c r="J223" s="290"/>
      <c r="K223" s="431"/>
      <c r="L223" s="507"/>
      <c r="M223" s="256">
        <v>1161.21</v>
      </c>
      <c r="N223" s="462">
        <v>1172.42</v>
      </c>
      <c r="O223" s="442"/>
      <c r="P223" s="348"/>
      <c r="Q223" s="349"/>
      <c r="R223" s="346">
        <v>1248.21</v>
      </c>
      <c r="S223" s="346">
        <v>1374.36</v>
      </c>
      <c r="T223" s="290"/>
      <c r="U223" s="348"/>
      <c r="V223" s="347"/>
      <c r="W223" s="346">
        <v>938.32</v>
      </c>
      <c r="X223" s="350"/>
      <c r="Y223" s="350"/>
      <c r="Z223" s="350"/>
      <c r="AA223" s="350"/>
      <c r="AB223" s="351"/>
    </row>
    <row r="224" spans="1:28" x14ac:dyDescent="0.2">
      <c r="A224" s="613"/>
      <c r="B224" s="421" t="s">
        <v>12</v>
      </c>
      <c r="C224" s="409">
        <v>1144</v>
      </c>
      <c r="D224" s="249"/>
      <c r="E224" s="250">
        <v>1261</v>
      </c>
      <c r="F224" s="250">
        <v>1352</v>
      </c>
      <c r="G224" s="250">
        <v>1586</v>
      </c>
      <c r="H224" s="249"/>
      <c r="I224" s="249"/>
      <c r="J224" s="330"/>
      <c r="K224" s="432"/>
      <c r="L224" s="508"/>
      <c r="M224" s="463">
        <v>1284</v>
      </c>
      <c r="N224" s="464">
        <v>1284</v>
      </c>
      <c r="O224" s="446"/>
      <c r="P224" s="331"/>
      <c r="Q224" s="332"/>
      <c r="R224" s="250">
        <v>1440</v>
      </c>
      <c r="S224" s="249"/>
      <c r="T224" s="330"/>
      <c r="U224" s="334"/>
      <c r="V224" s="469"/>
      <c r="W224" s="315"/>
      <c r="X224" s="315"/>
      <c r="Y224" s="315"/>
      <c r="Z224" s="315"/>
      <c r="AA224" s="315"/>
      <c r="AB224" s="352"/>
    </row>
    <row r="225" spans="1:28" x14ac:dyDescent="0.2">
      <c r="A225" s="613"/>
      <c r="B225" s="421" t="s">
        <v>11</v>
      </c>
      <c r="C225" s="409">
        <v>1.06</v>
      </c>
      <c r="D225" s="249"/>
      <c r="E225" s="250">
        <v>1.17</v>
      </c>
      <c r="F225" s="250">
        <v>1.25</v>
      </c>
      <c r="G225" s="250">
        <v>1.46</v>
      </c>
      <c r="H225" s="249"/>
      <c r="I225" s="249"/>
      <c r="J225" s="330"/>
      <c r="K225" s="432"/>
      <c r="L225" s="508"/>
      <c r="M225" s="463">
        <v>1.29</v>
      </c>
      <c r="N225" s="464">
        <v>1.29</v>
      </c>
      <c r="O225" s="443"/>
      <c r="P225" s="334"/>
      <c r="Q225" s="335"/>
      <c r="R225" s="250">
        <v>1.44</v>
      </c>
      <c r="S225" s="469"/>
      <c r="T225" s="333"/>
      <c r="U225" s="334"/>
      <c r="V225" s="469"/>
      <c r="W225" s="315"/>
      <c r="X225" s="315"/>
      <c r="Y225" s="315"/>
      <c r="Z225" s="315"/>
      <c r="AA225" s="315"/>
      <c r="AB225" s="352"/>
    </row>
    <row r="226" spans="1:28" x14ac:dyDescent="0.2">
      <c r="A226" s="613"/>
      <c r="B226" s="421" t="s">
        <v>15</v>
      </c>
      <c r="C226" s="410">
        <f>(C224-C223)/C224</f>
        <v>3.5917832167832099E-2</v>
      </c>
      <c r="D226" s="336"/>
      <c r="E226" s="336">
        <f>(E224-E223)/E224</f>
        <v>8.3275178429817603E-2</v>
      </c>
      <c r="F226" s="336">
        <f>(F224-F223)/F224</f>
        <v>8.2411242603550344E-2</v>
      </c>
      <c r="G226" s="336">
        <f>(G224-G223)/G224</f>
        <v>0.17228247162673394</v>
      </c>
      <c r="H226" s="336"/>
      <c r="I226" s="336"/>
      <c r="J226" s="338"/>
      <c r="K226" s="433"/>
      <c r="L226" s="279"/>
      <c r="M226" s="465">
        <f>(M224-M223)/M224</f>
        <v>9.5630841121495294E-2</v>
      </c>
      <c r="N226" s="466">
        <f>(N224-N223)/N224</f>
        <v>8.6900311526479701E-2</v>
      </c>
      <c r="O226" s="444"/>
      <c r="P226" s="340"/>
      <c r="Q226" s="341"/>
      <c r="R226" s="336">
        <f>(R224-R223)/R224</f>
        <v>0.13318749999999999</v>
      </c>
      <c r="S226" s="470"/>
      <c r="T226" s="339"/>
      <c r="U226" s="340"/>
      <c r="V226" s="470"/>
      <c r="W226" s="315"/>
      <c r="X226" s="315"/>
      <c r="Y226" s="315"/>
      <c r="Z226" s="315"/>
      <c r="AA226" s="315"/>
      <c r="AB226" s="352"/>
    </row>
    <row r="227" spans="1:28" x14ac:dyDescent="0.2">
      <c r="A227" s="613"/>
      <c r="B227" s="421" t="s">
        <v>16</v>
      </c>
      <c r="C227" s="410">
        <f>(C224-C223)/C223</f>
        <v>3.7255986435883175E-2</v>
      </c>
      <c r="D227" s="336"/>
      <c r="E227" s="336">
        <f>(E224-E223)/E223</f>
        <v>9.0839886158184752E-2</v>
      </c>
      <c r="F227" s="336">
        <f>(F224-F223)/F223</f>
        <v>8.981282948298383E-2</v>
      </c>
      <c r="G227" s="336">
        <f>(G224-G223)/G223</f>
        <v>0.20814162527804017</v>
      </c>
      <c r="H227" s="336"/>
      <c r="I227" s="336"/>
      <c r="J227" s="338"/>
      <c r="K227" s="433"/>
      <c r="L227" s="279"/>
      <c r="M227" s="465">
        <f>(M224-M223)/M223</f>
        <v>0.10574314723435034</v>
      </c>
      <c r="N227" s="466">
        <f>(N224-N223)/N223</f>
        <v>9.517067262585073E-2</v>
      </c>
      <c r="O227" s="444"/>
      <c r="P227" s="340"/>
      <c r="Q227" s="341"/>
      <c r="R227" s="336">
        <f>(R224-R223)/R223</f>
        <v>0.15365202970653974</v>
      </c>
      <c r="S227" s="470"/>
      <c r="T227" s="339"/>
      <c r="U227" s="340"/>
      <c r="V227" s="470"/>
      <c r="W227" s="315"/>
      <c r="X227" s="315"/>
      <c r="Y227" s="315"/>
      <c r="Z227" s="315"/>
      <c r="AA227" s="315"/>
      <c r="AB227" s="352"/>
    </row>
    <row r="228" spans="1:28" ht="13.3" thickBot="1" x14ac:dyDescent="0.25">
      <c r="A228" s="614"/>
      <c r="B228" s="422" t="s">
        <v>10</v>
      </c>
      <c r="C228" s="411">
        <f>C225/C219-1</f>
        <v>9.52380952380949E-3</v>
      </c>
      <c r="D228" s="353"/>
      <c r="E228" s="353">
        <f>E225/E219-1</f>
        <v>8.6206896551723755E-3</v>
      </c>
      <c r="F228" s="353">
        <f>F225/F219-1</f>
        <v>8.0645161290322509E-3</v>
      </c>
      <c r="G228" s="353">
        <f>G225/G219-1</f>
        <v>6.8965517241379448E-3</v>
      </c>
      <c r="H228" s="353"/>
      <c r="I228" s="353"/>
      <c r="J228" s="355"/>
      <c r="K228" s="434"/>
      <c r="L228" s="509"/>
      <c r="M228" s="467">
        <f>M225/M219-1</f>
        <v>7.8125E-3</v>
      </c>
      <c r="N228" s="292">
        <f>N225/N219-1</f>
        <v>7.8125E-3</v>
      </c>
      <c r="O228" s="445"/>
      <c r="P228" s="357"/>
      <c r="Q228" s="358"/>
      <c r="R228" s="353">
        <f>R225/R219-1</f>
        <v>6.9930069930070893E-3</v>
      </c>
      <c r="S228" s="471"/>
      <c r="T228" s="356"/>
      <c r="U228" s="357"/>
      <c r="V228" s="471"/>
      <c r="W228" s="359"/>
      <c r="X228" s="359"/>
      <c r="Y228" s="359"/>
      <c r="Z228" s="359"/>
      <c r="AA228" s="359"/>
      <c r="AB228" s="360"/>
    </row>
    <row r="229" spans="1:28" x14ac:dyDescent="0.2">
      <c r="A229" s="612">
        <v>43034</v>
      </c>
      <c r="B229" s="420" t="s">
        <v>13</v>
      </c>
      <c r="C229" s="408">
        <v>1123.19</v>
      </c>
      <c r="D229" s="347"/>
      <c r="E229" s="346">
        <v>1175.27</v>
      </c>
      <c r="F229" s="346">
        <v>1259.98</v>
      </c>
      <c r="G229" s="346">
        <v>1330.36</v>
      </c>
      <c r="H229" s="347"/>
      <c r="I229" s="347"/>
      <c r="J229" s="290"/>
      <c r="K229" s="431"/>
      <c r="L229" s="507"/>
      <c r="M229" s="256">
        <v>1161.21</v>
      </c>
      <c r="N229" s="462">
        <v>1172.42</v>
      </c>
      <c r="O229" s="442"/>
      <c r="P229" s="348"/>
      <c r="Q229" s="349"/>
      <c r="R229" s="346">
        <v>1248.21</v>
      </c>
      <c r="S229" s="346">
        <v>1374.36</v>
      </c>
      <c r="T229" s="290"/>
      <c r="U229" s="348"/>
      <c r="V229" s="347"/>
      <c r="W229" s="346">
        <v>938.32</v>
      </c>
      <c r="X229" s="350"/>
      <c r="Y229" s="350"/>
      <c r="Z229" s="350"/>
      <c r="AA229" s="350"/>
      <c r="AB229" s="351"/>
    </row>
    <row r="230" spans="1:28" x14ac:dyDescent="0.2">
      <c r="A230" s="613"/>
      <c r="B230" s="421" t="s">
        <v>12</v>
      </c>
      <c r="C230" s="409">
        <v>1170</v>
      </c>
      <c r="D230" s="249"/>
      <c r="E230" s="250">
        <v>1287</v>
      </c>
      <c r="F230" s="250">
        <v>1378</v>
      </c>
      <c r="G230" s="250">
        <v>1599</v>
      </c>
      <c r="H230" s="249"/>
      <c r="I230" s="249"/>
      <c r="J230" s="330"/>
      <c r="K230" s="432"/>
      <c r="L230" s="508"/>
      <c r="M230" s="463">
        <v>1284</v>
      </c>
      <c r="N230" s="464">
        <v>1284</v>
      </c>
      <c r="O230" s="446"/>
      <c r="P230" s="331"/>
      <c r="Q230" s="332"/>
      <c r="R230" s="250">
        <v>1440</v>
      </c>
      <c r="S230" s="249"/>
      <c r="T230" s="330"/>
      <c r="U230" s="334"/>
      <c r="V230" s="469"/>
      <c r="W230" s="315"/>
      <c r="X230" s="315"/>
      <c r="Y230" s="315"/>
      <c r="Z230" s="315"/>
      <c r="AA230" s="315"/>
      <c r="AB230" s="352"/>
    </row>
    <row r="231" spans="1:28" x14ac:dyDescent="0.2">
      <c r="A231" s="613"/>
      <c r="B231" s="421" t="s">
        <v>11</v>
      </c>
      <c r="C231" s="409">
        <v>1.08</v>
      </c>
      <c r="D231" s="249"/>
      <c r="E231" s="250">
        <v>1.19</v>
      </c>
      <c r="F231" s="250">
        <v>1.27</v>
      </c>
      <c r="G231" s="250">
        <v>1.48</v>
      </c>
      <c r="H231" s="249"/>
      <c r="I231" s="249"/>
      <c r="J231" s="330"/>
      <c r="K231" s="432"/>
      <c r="L231" s="508"/>
      <c r="M231" s="463">
        <v>1.29</v>
      </c>
      <c r="N231" s="464">
        <v>1.29</v>
      </c>
      <c r="O231" s="443"/>
      <c r="P231" s="334"/>
      <c r="Q231" s="335"/>
      <c r="R231" s="250">
        <v>1.44</v>
      </c>
      <c r="S231" s="469"/>
      <c r="T231" s="333"/>
      <c r="U231" s="334"/>
      <c r="V231" s="469"/>
      <c r="W231" s="315"/>
      <c r="X231" s="315"/>
      <c r="Y231" s="315"/>
      <c r="Z231" s="315"/>
      <c r="AA231" s="315"/>
      <c r="AB231" s="352"/>
    </row>
    <row r="232" spans="1:28" x14ac:dyDescent="0.2">
      <c r="A232" s="613"/>
      <c r="B232" s="421" t="s">
        <v>15</v>
      </c>
      <c r="C232" s="410">
        <f>(C230-C229)/C230</f>
        <v>4.000854700854696E-2</v>
      </c>
      <c r="D232" s="336"/>
      <c r="E232" s="336">
        <f>(E230-E229)/E230</f>
        <v>8.6814296814296824E-2</v>
      </c>
      <c r="F232" s="336">
        <f>(F230-F229)/F230</f>
        <v>8.5645863570391861E-2</v>
      </c>
      <c r="G232" s="336">
        <f>(G230-G229)/G230</f>
        <v>0.16800500312695441</v>
      </c>
      <c r="H232" s="336"/>
      <c r="I232" s="336"/>
      <c r="J232" s="338"/>
      <c r="K232" s="433"/>
      <c r="L232" s="279"/>
      <c r="M232" s="465">
        <f>(M230-M229)/M230</f>
        <v>9.5630841121495294E-2</v>
      </c>
      <c r="N232" s="466">
        <f>(N230-N229)/N230</f>
        <v>8.6900311526479701E-2</v>
      </c>
      <c r="O232" s="444"/>
      <c r="P232" s="340"/>
      <c r="Q232" s="341"/>
      <c r="R232" s="336">
        <f>(R230-R229)/R230</f>
        <v>0.13318749999999999</v>
      </c>
      <c r="S232" s="470"/>
      <c r="T232" s="339"/>
      <c r="U232" s="340"/>
      <c r="V232" s="470"/>
      <c r="W232" s="315"/>
      <c r="X232" s="315"/>
      <c r="Y232" s="315"/>
      <c r="Z232" s="315"/>
      <c r="AA232" s="315"/>
      <c r="AB232" s="352"/>
    </row>
    <row r="233" spans="1:28" x14ac:dyDescent="0.2">
      <c r="A233" s="613"/>
      <c r="B233" s="421" t="s">
        <v>16</v>
      </c>
      <c r="C233" s="410">
        <f>(C230-C229)/C229</f>
        <v>4.1675940847051653E-2</v>
      </c>
      <c r="D233" s="336"/>
      <c r="E233" s="336">
        <f>(E230-E229)/E229</f>
        <v>9.5067516400486718E-2</v>
      </c>
      <c r="F233" s="336">
        <f>(F230-F229)/F229</f>
        <v>9.3668153462753367E-2</v>
      </c>
      <c r="G233" s="336">
        <f>(G230-G229)/G229</f>
        <v>0.20193030457921174</v>
      </c>
      <c r="H233" s="336"/>
      <c r="I233" s="336"/>
      <c r="J233" s="338"/>
      <c r="K233" s="433"/>
      <c r="L233" s="279"/>
      <c r="M233" s="465">
        <f>(M230-M229)/M229</f>
        <v>0.10574314723435034</v>
      </c>
      <c r="N233" s="466">
        <f>(N230-N229)/N229</f>
        <v>9.517067262585073E-2</v>
      </c>
      <c r="O233" s="444"/>
      <c r="P233" s="340"/>
      <c r="Q233" s="341"/>
      <c r="R233" s="336">
        <f>(R230-R229)/R229</f>
        <v>0.15365202970653974</v>
      </c>
      <c r="S233" s="470"/>
      <c r="T233" s="339"/>
      <c r="U233" s="340"/>
      <c r="V233" s="470"/>
      <c r="W233" s="315"/>
      <c r="X233" s="315"/>
      <c r="Y233" s="315"/>
      <c r="Z233" s="315"/>
      <c r="AA233" s="315"/>
      <c r="AB233" s="352"/>
    </row>
    <row r="234" spans="1:28" ht="13.3" thickBot="1" x14ac:dyDescent="0.25">
      <c r="A234" s="614"/>
      <c r="B234" s="422" t="s">
        <v>10</v>
      </c>
      <c r="C234" s="411">
        <f>C231/C225-1</f>
        <v>1.8867924528301883E-2</v>
      </c>
      <c r="D234" s="353"/>
      <c r="E234" s="353">
        <f>E231/E225-1</f>
        <v>1.7094017094017033E-2</v>
      </c>
      <c r="F234" s="353">
        <f>F231/F225-1</f>
        <v>1.6000000000000014E-2</v>
      </c>
      <c r="G234" s="353">
        <f>G231/G225-1</f>
        <v>1.3698630136986356E-2</v>
      </c>
      <c r="H234" s="353"/>
      <c r="I234" s="353"/>
      <c r="J234" s="355"/>
      <c r="K234" s="434"/>
      <c r="L234" s="509"/>
      <c r="M234" s="467">
        <f>M231/M225-1</f>
        <v>0</v>
      </c>
      <c r="N234" s="292">
        <f>N231/N225-1</f>
        <v>0</v>
      </c>
      <c r="O234" s="445"/>
      <c r="P234" s="357"/>
      <c r="Q234" s="358"/>
      <c r="R234" s="353">
        <f>R231/R225-1</f>
        <v>0</v>
      </c>
      <c r="S234" s="471"/>
      <c r="T234" s="356"/>
      <c r="U234" s="357"/>
      <c r="V234" s="471"/>
      <c r="W234" s="359"/>
      <c r="X234" s="359"/>
      <c r="Y234" s="359"/>
      <c r="Z234" s="359"/>
      <c r="AA234" s="359"/>
      <c r="AB234" s="360"/>
    </row>
    <row r="235" spans="1:28" x14ac:dyDescent="0.2">
      <c r="A235" s="612">
        <v>43139</v>
      </c>
      <c r="B235" s="420" t="s">
        <v>13</v>
      </c>
      <c r="C235" s="408">
        <v>1143.47</v>
      </c>
      <c r="D235" s="347"/>
      <c r="E235" s="346">
        <v>1194.55</v>
      </c>
      <c r="F235" s="346">
        <v>1279.3800000000001</v>
      </c>
      <c r="G235" s="346">
        <v>1347.96</v>
      </c>
      <c r="H235" s="347"/>
      <c r="I235" s="347"/>
      <c r="J235" s="290"/>
      <c r="K235" s="431"/>
      <c r="L235" s="507"/>
      <c r="M235" s="256">
        <v>1178.78</v>
      </c>
      <c r="N235" s="462">
        <v>1190.1600000000001</v>
      </c>
      <c r="O235" s="442"/>
      <c r="P235" s="348"/>
      <c r="Q235" s="349"/>
      <c r="R235" s="346">
        <v>1265.1600000000001</v>
      </c>
      <c r="S235" s="346">
        <v>1393.26</v>
      </c>
      <c r="T235" s="290"/>
      <c r="U235" s="348"/>
      <c r="V235" s="347"/>
      <c r="W235" s="346">
        <v>952.61</v>
      </c>
      <c r="X235" s="350"/>
      <c r="Y235" s="350"/>
      <c r="Z235" s="350"/>
      <c r="AA235" s="350"/>
      <c r="AB235" s="351"/>
    </row>
    <row r="236" spans="1:28" x14ac:dyDescent="0.2">
      <c r="A236" s="613"/>
      <c r="B236" s="421" t="s">
        <v>12</v>
      </c>
      <c r="C236" s="409">
        <v>1196</v>
      </c>
      <c r="D236" s="249"/>
      <c r="E236" s="250">
        <v>1313</v>
      </c>
      <c r="F236" s="250">
        <v>1391</v>
      </c>
      <c r="G236" s="250">
        <v>1625</v>
      </c>
      <c r="H236" s="249"/>
      <c r="I236" s="249"/>
      <c r="J236" s="330"/>
      <c r="K236" s="432"/>
      <c r="L236" s="508"/>
      <c r="M236" s="468">
        <v>1308</v>
      </c>
      <c r="N236" s="464">
        <v>1308</v>
      </c>
      <c r="O236" s="446"/>
      <c r="P236" s="331"/>
      <c r="Q236" s="332"/>
      <c r="R236" s="250">
        <v>1464</v>
      </c>
      <c r="S236" s="249"/>
      <c r="T236" s="330"/>
      <c r="U236" s="334"/>
      <c r="V236" s="469"/>
      <c r="W236" s="315"/>
      <c r="X236" s="315"/>
      <c r="Y236" s="315"/>
      <c r="Z236" s="315"/>
      <c r="AA236" s="315"/>
      <c r="AB236" s="352"/>
    </row>
    <row r="237" spans="1:28" x14ac:dyDescent="0.2">
      <c r="A237" s="613"/>
      <c r="B237" s="421" t="s">
        <v>11</v>
      </c>
      <c r="C237" s="409">
        <v>1.1000000000000001</v>
      </c>
      <c r="D237" s="249"/>
      <c r="E237" s="250">
        <v>1.21</v>
      </c>
      <c r="F237" s="250">
        <v>1.29</v>
      </c>
      <c r="G237" s="250">
        <v>1.5</v>
      </c>
      <c r="H237" s="249"/>
      <c r="I237" s="249"/>
      <c r="J237" s="330"/>
      <c r="K237" s="432"/>
      <c r="L237" s="508"/>
      <c r="M237" s="463">
        <v>1.31</v>
      </c>
      <c r="N237" s="464">
        <v>1.31</v>
      </c>
      <c r="O237" s="443"/>
      <c r="P237" s="334"/>
      <c r="Q237" s="335"/>
      <c r="R237" s="250">
        <v>1.46</v>
      </c>
      <c r="S237" s="469"/>
      <c r="T237" s="333"/>
      <c r="U237" s="334"/>
      <c r="V237" s="469"/>
      <c r="W237" s="315"/>
      <c r="X237" s="315"/>
      <c r="Y237" s="315"/>
      <c r="Z237" s="315"/>
      <c r="AA237" s="315"/>
      <c r="AB237" s="352"/>
    </row>
    <row r="238" spans="1:28" x14ac:dyDescent="0.2">
      <c r="A238" s="613"/>
      <c r="B238" s="421" t="s">
        <v>15</v>
      </c>
      <c r="C238" s="410">
        <f>(C236-C235)/C236</f>
        <v>4.3921404682274227E-2</v>
      </c>
      <c r="D238" s="336"/>
      <c r="E238" s="336">
        <f>(E236-E235)/E236</f>
        <v>9.0213252094440241E-2</v>
      </c>
      <c r="F238" s="336">
        <f>(F236-F235)/F236</f>
        <v>8.0244428468727452E-2</v>
      </c>
      <c r="G238" s="336">
        <f>(G236-G235)/G236</f>
        <v>0.17048615384615382</v>
      </c>
      <c r="H238" s="336"/>
      <c r="I238" s="336"/>
      <c r="J238" s="338"/>
      <c r="K238" s="433"/>
      <c r="L238" s="279"/>
      <c r="M238" s="465">
        <f>(M236-M235)/M236</f>
        <v>9.8792048929663631E-2</v>
      </c>
      <c r="N238" s="466">
        <f>(N236-N235)/N236</f>
        <v>9.0091743119265988E-2</v>
      </c>
      <c r="O238" s="444"/>
      <c r="P238" s="340"/>
      <c r="Q238" s="341"/>
      <c r="R238" s="336">
        <f>(R236-R235)/R236</f>
        <v>0.13581967213114748</v>
      </c>
      <c r="S238" s="470"/>
      <c r="T238" s="339"/>
      <c r="U238" s="340"/>
      <c r="V238" s="470"/>
      <c r="W238" s="315"/>
      <c r="X238" s="315"/>
      <c r="Y238" s="315"/>
      <c r="Z238" s="315"/>
      <c r="AA238" s="315"/>
      <c r="AB238" s="352"/>
    </row>
    <row r="239" spans="1:28" x14ac:dyDescent="0.2">
      <c r="A239" s="613"/>
      <c r="B239" s="421" t="s">
        <v>16</v>
      </c>
      <c r="C239" s="410">
        <f>(C236-C235)/C235</f>
        <v>4.5939115149501053E-2</v>
      </c>
      <c r="D239" s="336"/>
      <c r="E239" s="336">
        <f>(E236-E235)/E235</f>
        <v>9.9158679000460465E-2</v>
      </c>
      <c r="F239" s="336">
        <f>(F236-F235)/F235</f>
        <v>8.7245384483108909E-2</v>
      </c>
      <c r="G239" s="336">
        <f>(G236-G235)/G235</f>
        <v>0.20552538650998542</v>
      </c>
      <c r="H239" s="336"/>
      <c r="I239" s="336"/>
      <c r="J239" s="338"/>
      <c r="K239" s="433"/>
      <c r="L239" s="279"/>
      <c r="M239" s="465">
        <f>(M236-M235)/M235</f>
        <v>0.10962181238229358</v>
      </c>
      <c r="N239" s="466">
        <f>(N236-N235)/N235</f>
        <v>9.901189755999186E-2</v>
      </c>
      <c r="O239" s="444"/>
      <c r="P239" s="340"/>
      <c r="Q239" s="341"/>
      <c r="R239" s="336">
        <f>(R236-R235)/R235</f>
        <v>0.15716589206108311</v>
      </c>
      <c r="S239" s="470"/>
      <c r="T239" s="339"/>
      <c r="U239" s="340"/>
      <c r="V239" s="470"/>
      <c r="W239" s="315"/>
      <c r="X239" s="315"/>
      <c r="Y239" s="315"/>
      <c r="Z239" s="315"/>
      <c r="AA239" s="315"/>
      <c r="AB239" s="352"/>
    </row>
    <row r="240" spans="1:28" ht="13.3" thickBot="1" x14ac:dyDescent="0.25">
      <c r="A240" s="614"/>
      <c r="B240" s="422" t="s">
        <v>10</v>
      </c>
      <c r="C240" s="411">
        <f>C237/C231-1</f>
        <v>1.8518518518518601E-2</v>
      </c>
      <c r="D240" s="353"/>
      <c r="E240" s="353">
        <f>E237/E231-1</f>
        <v>1.6806722689075571E-2</v>
      </c>
      <c r="F240" s="353">
        <f>F237/F231-1</f>
        <v>1.5748031496062964E-2</v>
      </c>
      <c r="G240" s="353">
        <f>G237/G231-1</f>
        <v>1.3513513513513598E-2</v>
      </c>
      <c r="H240" s="353"/>
      <c r="I240" s="353"/>
      <c r="J240" s="355"/>
      <c r="K240" s="434"/>
      <c r="L240" s="509"/>
      <c r="M240" s="467">
        <f>M237/M231-1</f>
        <v>1.5503875968992276E-2</v>
      </c>
      <c r="N240" s="292">
        <f>N237/N231-1</f>
        <v>1.5503875968992276E-2</v>
      </c>
      <c r="O240" s="445"/>
      <c r="P240" s="357"/>
      <c r="Q240" s="358"/>
      <c r="R240" s="353">
        <f>R237/R231-1</f>
        <v>1.388888888888884E-2</v>
      </c>
      <c r="S240" s="471"/>
      <c r="T240" s="356"/>
      <c r="U240" s="357"/>
      <c r="V240" s="471"/>
      <c r="W240" s="359"/>
      <c r="X240" s="359"/>
      <c r="Y240" s="359"/>
      <c r="Z240" s="359"/>
      <c r="AA240" s="359"/>
      <c r="AB240" s="360"/>
    </row>
    <row r="241" spans="1:28" x14ac:dyDescent="0.2">
      <c r="A241" s="612">
        <v>43170</v>
      </c>
      <c r="B241" s="420" t="s">
        <v>13</v>
      </c>
      <c r="C241" s="408">
        <v>1153.6099999999999</v>
      </c>
      <c r="D241" s="347"/>
      <c r="E241" s="346">
        <v>1204.19</v>
      </c>
      <c r="F241" s="346">
        <v>1289.19</v>
      </c>
      <c r="G241" s="346">
        <v>1356.76</v>
      </c>
      <c r="H241" s="347"/>
      <c r="I241" s="347"/>
      <c r="J241" s="290"/>
      <c r="K241" s="431"/>
      <c r="L241" s="507"/>
      <c r="M241" s="256">
        <v>1196.3499999999999</v>
      </c>
      <c r="N241" s="462">
        <v>1207.9000000000001</v>
      </c>
      <c r="O241" s="442"/>
      <c r="P241" s="348"/>
      <c r="Q241" s="349"/>
      <c r="R241" s="346">
        <v>1282.1099999999999</v>
      </c>
      <c r="S241" s="346">
        <v>1412.15</v>
      </c>
      <c r="T241" s="290"/>
      <c r="U241" s="348"/>
      <c r="V241" s="347"/>
      <c r="W241" s="346">
        <v>961.95</v>
      </c>
      <c r="X241" s="350"/>
      <c r="Y241" s="350"/>
      <c r="Z241" s="350"/>
      <c r="AA241" s="350"/>
      <c r="AB241" s="351"/>
    </row>
    <row r="242" spans="1:28" x14ac:dyDescent="0.2">
      <c r="A242" s="613"/>
      <c r="B242" s="421" t="s">
        <v>12</v>
      </c>
      <c r="C242" s="409">
        <v>1196</v>
      </c>
      <c r="D242" s="249"/>
      <c r="E242" s="250">
        <v>1326</v>
      </c>
      <c r="F242" s="250">
        <v>1404</v>
      </c>
      <c r="G242" s="250">
        <v>1638</v>
      </c>
      <c r="H242" s="249"/>
      <c r="I242" s="249"/>
      <c r="J242" s="330"/>
      <c r="K242" s="432"/>
      <c r="L242" s="508"/>
      <c r="M242" s="468">
        <v>1332</v>
      </c>
      <c r="N242" s="464">
        <v>1332</v>
      </c>
      <c r="O242" s="446"/>
      <c r="P242" s="331"/>
      <c r="Q242" s="332"/>
      <c r="R242" s="250">
        <v>1476</v>
      </c>
      <c r="S242" s="249"/>
      <c r="T242" s="330"/>
      <c r="U242" s="334"/>
      <c r="V242" s="469"/>
      <c r="W242" s="315"/>
      <c r="X242" s="315"/>
      <c r="Y242" s="315"/>
      <c r="Z242" s="315"/>
      <c r="AA242" s="315"/>
      <c r="AB242" s="352"/>
    </row>
    <row r="243" spans="1:28" x14ac:dyDescent="0.2">
      <c r="A243" s="613"/>
      <c r="B243" s="421" t="s">
        <v>11</v>
      </c>
      <c r="C243" s="409">
        <v>1.1100000000000001</v>
      </c>
      <c r="D243" s="249"/>
      <c r="E243" s="250">
        <v>1.22</v>
      </c>
      <c r="F243" s="250">
        <v>1.3</v>
      </c>
      <c r="G243" s="250">
        <v>1.51</v>
      </c>
      <c r="H243" s="249"/>
      <c r="I243" s="249"/>
      <c r="J243" s="330"/>
      <c r="K243" s="432"/>
      <c r="L243" s="508"/>
      <c r="M243" s="463">
        <v>1.33</v>
      </c>
      <c r="N243" s="464">
        <v>1.33</v>
      </c>
      <c r="O243" s="443"/>
      <c r="P243" s="334"/>
      <c r="Q243" s="335"/>
      <c r="R243" s="250">
        <v>1.48</v>
      </c>
      <c r="S243" s="469"/>
      <c r="T243" s="333"/>
      <c r="U243" s="334"/>
      <c r="V243" s="469"/>
      <c r="W243" s="315"/>
      <c r="X243" s="315"/>
      <c r="Y243" s="315"/>
      <c r="Z243" s="315"/>
      <c r="AA243" s="315"/>
      <c r="AB243" s="352"/>
    </row>
    <row r="244" spans="1:28" x14ac:dyDescent="0.2">
      <c r="A244" s="613"/>
      <c r="B244" s="421" t="s">
        <v>15</v>
      </c>
      <c r="C244" s="410">
        <f>(C242-C241)/C242</f>
        <v>3.5443143812709112E-2</v>
      </c>
      <c r="D244" s="336"/>
      <c r="E244" s="336">
        <f>(E242-E241)/E242</f>
        <v>9.186274509803917E-2</v>
      </c>
      <c r="F244" s="336">
        <f>(F242-F241)/F242</f>
        <v>8.177350427350423E-2</v>
      </c>
      <c r="G244" s="336">
        <f>(G242-G241)/G242</f>
        <v>0.17169719169719169</v>
      </c>
      <c r="H244" s="336"/>
      <c r="I244" s="336"/>
      <c r="J244" s="338"/>
      <c r="K244" s="433"/>
      <c r="L244" s="279"/>
      <c r="M244" s="465">
        <f>(M242-M241)/M242</f>
        <v>0.1018393393393394</v>
      </c>
      <c r="N244" s="466">
        <f>(N242-N241)/N242</f>
        <v>9.31681681681681E-2</v>
      </c>
      <c r="O244" s="444"/>
      <c r="P244" s="340"/>
      <c r="Q244" s="341"/>
      <c r="R244" s="336">
        <f>(R242-R241)/R242</f>
        <v>0.13136178861788625</v>
      </c>
      <c r="S244" s="470"/>
      <c r="T244" s="339"/>
      <c r="U244" s="340"/>
      <c r="V244" s="470"/>
      <c r="W244" s="315"/>
      <c r="X244" s="315"/>
      <c r="Y244" s="315"/>
      <c r="Z244" s="315"/>
      <c r="AA244" s="315"/>
      <c r="AB244" s="352"/>
    </row>
    <row r="245" spans="1:28" x14ac:dyDescent="0.2">
      <c r="A245" s="613"/>
      <c r="B245" s="421" t="s">
        <v>16</v>
      </c>
      <c r="C245" s="410">
        <f>(C242-C241)/C241</f>
        <v>3.6745520583212787E-2</v>
      </c>
      <c r="D245" s="336"/>
      <c r="E245" s="336">
        <f>(E242-E241)/E241</f>
        <v>0.1011551333261362</v>
      </c>
      <c r="F245" s="336">
        <f>(F242-F241)/F241</f>
        <v>8.9055918832755404E-2</v>
      </c>
      <c r="G245" s="336">
        <f>(G242-G241)/G241</f>
        <v>0.20728795070609393</v>
      </c>
      <c r="H245" s="336"/>
      <c r="I245" s="336"/>
      <c r="J245" s="338"/>
      <c r="K245" s="433"/>
      <c r="L245" s="279"/>
      <c r="M245" s="465">
        <f>(M242-M241)/M241</f>
        <v>0.11338655075855736</v>
      </c>
      <c r="N245" s="466">
        <f>(N242-N241)/N241</f>
        <v>0.10274029307061834</v>
      </c>
      <c r="O245" s="444"/>
      <c r="P245" s="340"/>
      <c r="Q245" s="341"/>
      <c r="R245" s="336">
        <f>(R242-R241)/R241</f>
        <v>0.15122727379086046</v>
      </c>
      <c r="S245" s="470"/>
      <c r="T245" s="339"/>
      <c r="U245" s="340"/>
      <c r="V245" s="470"/>
      <c r="W245" s="315"/>
      <c r="X245" s="315"/>
      <c r="Y245" s="315"/>
      <c r="Z245" s="315"/>
      <c r="AA245" s="315"/>
      <c r="AB245" s="352"/>
    </row>
    <row r="246" spans="1:28" ht="13.3" thickBot="1" x14ac:dyDescent="0.25">
      <c r="A246" s="614"/>
      <c r="B246" s="422" t="s">
        <v>10</v>
      </c>
      <c r="C246" s="411">
        <f>C243/C237-1</f>
        <v>9.0909090909090384E-3</v>
      </c>
      <c r="D246" s="353"/>
      <c r="E246" s="353">
        <f>E243/E237-1</f>
        <v>8.2644628099173278E-3</v>
      </c>
      <c r="F246" s="353">
        <f>F243/F237-1</f>
        <v>7.7519379844961378E-3</v>
      </c>
      <c r="G246" s="353">
        <f>G243/G237-1</f>
        <v>6.6666666666665986E-3</v>
      </c>
      <c r="H246" s="353"/>
      <c r="I246" s="353"/>
      <c r="J246" s="355"/>
      <c r="K246" s="434"/>
      <c r="L246" s="509"/>
      <c r="M246" s="467">
        <f>M243/M237-1</f>
        <v>1.5267175572519109E-2</v>
      </c>
      <c r="N246" s="292">
        <f>N243/N237-1</f>
        <v>1.5267175572519109E-2</v>
      </c>
      <c r="O246" s="445"/>
      <c r="P246" s="357"/>
      <c r="Q246" s="358"/>
      <c r="R246" s="353">
        <f>R243/R237-1</f>
        <v>1.3698630136986356E-2</v>
      </c>
      <c r="S246" s="471"/>
      <c r="T246" s="356"/>
      <c r="U246" s="357"/>
      <c r="V246" s="471"/>
      <c r="W246" s="359"/>
      <c r="X246" s="359"/>
      <c r="Y246" s="359"/>
      <c r="Z246" s="359"/>
      <c r="AA246" s="359"/>
      <c r="AB246" s="360"/>
    </row>
    <row r="247" spans="1:28" x14ac:dyDescent="0.2">
      <c r="A247" s="612">
        <v>43174</v>
      </c>
      <c r="B247" s="420" t="s">
        <v>13</v>
      </c>
      <c r="C247" s="408">
        <v>1163.75</v>
      </c>
      <c r="D247" s="347"/>
      <c r="E247" s="346">
        <v>1213.83</v>
      </c>
      <c r="F247" s="346">
        <v>1298.78</v>
      </c>
      <c r="G247" s="346">
        <v>1365.56</v>
      </c>
      <c r="H247" s="347"/>
      <c r="I247" s="347"/>
      <c r="J247" s="290"/>
      <c r="K247" s="431"/>
      <c r="L247" s="507"/>
      <c r="M247" s="256">
        <v>1205.1300000000001</v>
      </c>
      <c r="N247" s="462">
        <v>1216.77</v>
      </c>
      <c r="O247" s="442"/>
      <c r="P247" s="348"/>
      <c r="Q247" s="349"/>
      <c r="R247" s="346">
        <v>1290.58</v>
      </c>
      <c r="S247" s="346">
        <v>1421.59</v>
      </c>
      <c r="T247" s="290"/>
      <c r="U247" s="348"/>
      <c r="V247" s="347"/>
      <c r="W247" s="346">
        <v>969.05</v>
      </c>
      <c r="X247" s="350"/>
      <c r="Y247" s="350"/>
      <c r="Z247" s="350"/>
      <c r="AA247" s="350"/>
      <c r="AB247" s="351"/>
    </row>
    <row r="248" spans="1:28" x14ac:dyDescent="0.2">
      <c r="A248" s="613"/>
      <c r="B248" s="421" t="s">
        <v>12</v>
      </c>
      <c r="C248" s="409">
        <v>1209</v>
      </c>
      <c r="D248" s="249"/>
      <c r="E248" s="250">
        <v>1326</v>
      </c>
      <c r="F248" s="250">
        <v>1417</v>
      </c>
      <c r="G248" s="250">
        <v>1651</v>
      </c>
      <c r="H248" s="249"/>
      <c r="I248" s="249"/>
      <c r="J248" s="330"/>
      <c r="K248" s="432"/>
      <c r="L248" s="508"/>
      <c r="M248" s="468">
        <v>1344</v>
      </c>
      <c r="N248" s="464">
        <v>1344</v>
      </c>
      <c r="O248" s="446"/>
      <c r="P248" s="331"/>
      <c r="Q248" s="332"/>
      <c r="R248" s="250">
        <v>1488</v>
      </c>
      <c r="S248" s="249"/>
      <c r="T248" s="330"/>
      <c r="U248" s="334"/>
      <c r="V248" s="469"/>
      <c r="W248" s="315"/>
      <c r="X248" s="315"/>
      <c r="Y248" s="315"/>
      <c r="Z248" s="315"/>
      <c r="AA248" s="315"/>
      <c r="AB248" s="352"/>
    </row>
    <row r="249" spans="1:28" x14ac:dyDescent="0.2">
      <c r="A249" s="613"/>
      <c r="B249" s="421" t="s">
        <v>11</v>
      </c>
      <c r="C249" s="409">
        <v>1.1200000000000001</v>
      </c>
      <c r="D249" s="249"/>
      <c r="E249" s="250">
        <v>1.23</v>
      </c>
      <c r="F249" s="250">
        <v>1.31</v>
      </c>
      <c r="G249" s="250">
        <v>1.52</v>
      </c>
      <c r="H249" s="249"/>
      <c r="I249" s="249"/>
      <c r="J249" s="330"/>
      <c r="K249" s="432"/>
      <c r="L249" s="508"/>
      <c r="M249" s="463">
        <v>1.34</v>
      </c>
      <c r="N249" s="464">
        <v>1.34</v>
      </c>
      <c r="O249" s="443"/>
      <c r="P249" s="334"/>
      <c r="Q249" s="335"/>
      <c r="R249" s="250">
        <v>1.49</v>
      </c>
      <c r="S249" s="469"/>
      <c r="T249" s="333"/>
      <c r="U249" s="334"/>
      <c r="V249" s="469"/>
      <c r="W249" s="315"/>
      <c r="X249" s="315"/>
      <c r="Y249" s="315"/>
      <c r="Z249" s="315"/>
      <c r="AA249" s="315"/>
      <c r="AB249" s="352"/>
    </row>
    <row r="250" spans="1:28" x14ac:dyDescent="0.2">
      <c r="A250" s="613"/>
      <c r="B250" s="421" t="s">
        <v>15</v>
      </c>
      <c r="C250" s="410">
        <f>(C248-C247)/C248</f>
        <v>3.7427626137303556E-2</v>
      </c>
      <c r="D250" s="336"/>
      <c r="E250" s="336">
        <f>(E248-E247)/E248</f>
        <v>8.4592760180995527E-2</v>
      </c>
      <c r="F250" s="336">
        <f>(F248-F247)/F248</f>
        <v>8.3429781227946379E-2</v>
      </c>
      <c r="G250" s="336">
        <f>(G248-G247)/G248</f>
        <v>0.17288915808600852</v>
      </c>
      <c r="H250" s="336"/>
      <c r="I250" s="336"/>
      <c r="J250" s="338"/>
      <c r="K250" s="433"/>
      <c r="L250" s="279"/>
      <c r="M250" s="465">
        <f>(M248-M247)/M248</f>
        <v>0.10332589285714278</v>
      </c>
      <c r="N250" s="466">
        <f>(N248-N247)/N248</f>
        <v>9.4665178571428588E-2</v>
      </c>
      <c r="O250" s="444"/>
      <c r="P250" s="340"/>
      <c r="Q250" s="341"/>
      <c r="R250" s="336">
        <f>(R248-R247)/R248</f>
        <v>0.13267473118279574</v>
      </c>
      <c r="S250" s="470"/>
      <c r="T250" s="339"/>
      <c r="U250" s="340"/>
      <c r="V250" s="470"/>
      <c r="W250" s="315"/>
      <c r="X250" s="315"/>
      <c r="Y250" s="315"/>
      <c r="Z250" s="315"/>
      <c r="AA250" s="315"/>
      <c r="AB250" s="352"/>
    </row>
    <row r="251" spans="1:28" x14ac:dyDescent="0.2">
      <c r="A251" s="613"/>
      <c r="B251" s="421" t="s">
        <v>16</v>
      </c>
      <c r="C251" s="410">
        <f>(C248-C247)/C247</f>
        <v>3.8882921589688507E-2</v>
      </c>
      <c r="D251" s="336"/>
      <c r="E251" s="336">
        <f>(E248-E247)/E247</f>
        <v>9.2409975037690675E-2</v>
      </c>
      <c r="F251" s="336">
        <f>(F248-F247)/F247</f>
        <v>9.1023883952632487E-2</v>
      </c>
      <c r="G251" s="336">
        <f>(G248-G247)/G247</f>
        <v>0.20902779811945288</v>
      </c>
      <c r="H251" s="336"/>
      <c r="I251" s="336"/>
      <c r="J251" s="338"/>
      <c r="K251" s="433"/>
      <c r="L251" s="279"/>
      <c r="M251" s="465">
        <f>(M248-M247)/M247</f>
        <v>0.11523238156879331</v>
      </c>
      <c r="N251" s="466">
        <f>(N248-N247)/N247</f>
        <v>0.10456372198525607</v>
      </c>
      <c r="O251" s="444"/>
      <c r="P251" s="340"/>
      <c r="Q251" s="341"/>
      <c r="R251" s="336">
        <f>(R248-R247)/R247</f>
        <v>0.15296998248849361</v>
      </c>
      <c r="S251" s="470"/>
      <c r="T251" s="339"/>
      <c r="U251" s="340"/>
      <c r="V251" s="470"/>
      <c r="W251" s="315"/>
      <c r="X251" s="315"/>
      <c r="Y251" s="315"/>
      <c r="Z251" s="315"/>
      <c r="AA251" s="315"/>
      <c r="AB251" s="352"/>
    </row>
    <row r="252" spans="1:28" ht="13.3" thickBot="1" x14ac:dyDescent="0.25">
      <c r="A252" s="614"/>
      <c r="B252" s="422" t="s">
        <v>10</v>
      </c>
      <c r="C252" s="411">
        <f>C249/C243-1</f>
        <v>9.009009009008917E-3</v>
      </c>
      <c r="D252" s="353"/>
      <c r="E252" s="353">
        <f>E249/E243-1</f>
        <v>8.1967213114753079E-3</v>
      </c>
      <c r="F252" s="353">
        <f>F249/F243-1</f>
        <v>7.692307692307665E-3</v>
      </c>
      <c r="G252" s="353">
        <f>G249/G243-1</f>
        <v>6.6225165562914245E-3</v>
      </c>
      <c r="H252" s="353"/>
      <c r="I252" s="353"/>
      <c r="J252" s="355"/>
      <c r="K252" s="434"/>
      <c r="L252" s="509"/>
      <c r="M252" s="467">
        <f>M249/M243-1</f>
        <v>7.5187969924812581E-3</v>
      </c>
      <c r="N252" s="292">
        <f>N249/N243-1</f>
        <v>7.5187969924812581E-3</v>
      </c>
      <c r="O252" s="445"/>
      <c r="P252" s="357"/>
      <c r="Q252" s="358"/>
      <c r="R252" s="353">
        <f>R249/R243-1</f>
        <v>6.7567567567567988E-3</v>
      </c>
      <c r="S252" s="471"/>
      <c r="T252" s="356"/>
      <c r="U252" s="357"/>
      <c r="V252" s="471"/>
      <c r="W252" s="359"/>
      <c r="X252" s="359"/>
      <c r="Y252" s="359"/>
      <c r="Z252" s="359"/>
      <c r="AA252" s="359"/>
      <c r="AB252" s="360"/>
    </row>
    <row r="253" spans="1:28" x14ac:dyDescent="0.2">
      <c r="A253" s="612">
        <v>43183</v>
      </c>
      <c r="B253" s="419" t="s">
        <v>53</v>
      </c>
      <c r="C253" s="408">
        <v>1173.8900000000001</v>
      </c>
      <c r="D253" s="347"/>
      <c r="E253" s="346">
        <v>1223.47</v>
      </c>
      <c r="F253" s="346">
        <v>1308.48</v>
      </c>
      <c r="G253" s="346">
        <v>1374.36</v>
      </c>
      <c r="H253" s="347"/>
      <c r="I253" s="347"/>
      <c r="J253" s="290"/>
      <c r="K253" s="431"/>
      <c r="L253" s="507"/>
      <c r="M253" s="256">
        <v>1213.9100000000001</v>
      </c>
      <c r="N253" s="462">
        <v>1225.6400000000001</v>
      </c>
      <c r="O253" s="442"/>
      <c r="P253" s="348"/>
      <c r="Q253" s="349"/>
      <c r="R253" s="346">
        <v>1299.05</v>
      </c>
      <c r="S253" s="346"/>
      <c r="T253" s="290"/>
      <c r="U253" s="348"/>
      <c r="V253" s="347"/>
      <c r="W253" s="346">
        <v>976.2</v>
      </c>
    </row>
    <row r="254" spans="1:28" x14ac:dyDescent="0.2">
      <c r="A254" s="613"/>
      <c r="B254" s="415" t="s">
        <v>54</v>
      </c>
      <c r="C254" s="409">
        <v>1222</v>
      </c>
      <c r="D254" s="249"/>
      <c r="E254" s="250">
        <v>1339</v>
      </c>
      <c r="F254" s="250">
        <v>1430</v>
      </c>
      <c r="G254" s="250">
        <v>1651</v>
      </c>
      <c r="H254" s="249"/>
      <c r="I254" s="249"/>
      <c r="J254" s="330"/>
      <c r="K254" s="432"/>
      <c r="L254" s="508"/>
      <c r="M254" s="468">
        <v>1344</v>
      </c>
      <c r="N254" s="464">
        <v>1344</v>
      </c>
      <c r="O254" s="446"/>
      <c r="P254" s="331"/>
      <c r="Q254" s="332"/>
      <c r="R254" s="250">
        <v>1500</v>
      </c>
      <c r="S254" s="249"/>
      <c r="T254" s="330"/>
      <c r="U254" s="334"/>
      <c r="V254" s="469"/>
      <c r="W254" s="315"/>
    </row>
    <row r="255" spans="1:28" x14ac:dyDescent="0.2">
      <c r="A255" s="613"/>
      <c r="B255" s="415" t="s">
        <v>55</v>
      </c>
      <c r="C255" s="409">
        <v>1.1299999999999999</v>
      </c>
      <c r="D255" s="249"/>
      <c r="E255" s="250">
        <v>1.24</v>
      </c>
      <c r="F255" s="250">
        <v>1.32</v>
      </c>
      <c r="G255" s="250">
        <v>1.53</v>
      </c>
      <c r="H255" s="249"/>
      <c r="I255" s="249"/>
      <c r="J255" s="330"/>
      <c r="K255" s="432"/>
      <c r="L255" s="508"/>
      <c r="M255" s="463">
        <v>1.35</v>
      </c>
      <c r="N255" s="464">
        <v>1.35</v>
      </c>
      <c r="O255" s="443"/>
      <c r="P255" s="334"/>
      <c r="Q255" s="335"/>
      <c r="R255" s="250">
        <v>1.5</v>
      </c>
      <c r="S255" s="469"/>
      <c r="T255" s="333"/>
      <c r="U255" s="334"/>
      <c r="V255" s="469"/>
      <c r="W255" s="315"/>
    </row>
    <row r="256" spans="1:28" x14ac:dyDescent="0.2">
      <c r="A256" s="613"/>
      <c r="B256" s="415" t="s">
        <v>56</v>
      </c>
      <c r="C256" s="410">
        <f>(C254-C253)/C254</f>
        <v>3.936988543371514E-2</v>
      </c>
      <c r="D256" s="336"/>
      <c r="E256" s="336">
        <f>(E254-E253)/E254</f>
        <v>8.6280806572068686E-2</v>
      </c>
      <c r="F256" s="336">
        <f>(F254-F253)/F254</f>
        <v>8.4979020979020964E-2</v>
      </c>
      <c r="G256" s="336">
        <f>(G254-G253)/G254</f>
        <v>0.16755905511811028</v>
      </c>
      <c r="H256" s="336"/>
      <c r="I256" s="336"/>
      <c r="J256" s="338"/>
      <c r="K256" s="433"/>
      <c r="L256" s="279"/>
      <c r="M256" s="465">
        <f>(M254-M253)/M254</f>
        <v>9.6793154761904698E-2</v>
      </c>
      <c r="N256" s="466">
        <f>(N254-N253)/N254</f>
        <v>8.8065476190476111E-2</v>
      </c>
      <c r="O256" s="444"/>
      <c r="P256" s="340"/>
      <c r="Q256" s="341"/>
      <c r="R256" s="336">
        <f>(R254-R253)/R254</f>
        <v>0.13396666666666671</v>
      </c>
      <c r="S256" s="470"/>
      <c r="T256" s="339"/>
      <c r="U256" s="340"/>
      <c r="V256" s="470"/>
      <c r="W256" s="315"/>
    </row>
    <row r="257" spans="1:23" x14ac:dyDescent="0.2">
      <c r="A257" s="613"/>
      <c r="B257" s="415" t="s">
        <v>57</v>
      </c>
      <c r="C257" s="410">
        <f>(C254-C253)/C253</f>
        <v>4.0983397081498181E-2</v>
      </c>
      <c r="D257" s="336"/>
      <c r="E257" s="336">
        <f>(E254-E253)/E253</f>
        <v>9.4428142905016041E-2</v>
      </c>
      <c r="F257" s="336">
        <f>(F254-F253)/F253</f>
        <v>9.2871117632673014E-2</v>
      </c>
      <c r="G257" s="336">
        <f>(G254-G253)/G253</f>
        <v>0.2012864169504352</v>
      </c>
      <c r="H257" s="336"/>
      <c r="I257" s="336"/>
      <c r="J257" s="338"/>
      <c r="K257" s="433"/>
      <c r="L257" s="279"/>
      <c r="M257" s="465">
        <f>(M254-M253)/M253</f>
        <v>0.1071660996284732</v>
      </c>
      <c r="N257" s="466">
        <f>(N254-N253)/N253</f>
        <v>9.6569955288665424E-2</v>
      </c>
      <c r="O257" s="444"/>
      <c r="P257" s="340"/>
      <c r="Q257" s="341"/>
      <c r="R257" s="336">
        <f>(R254-R253)/R253</f>
        <v>0.15468996574419772</v>
      </c>
      <c r="S257" s="470"/>
      <c r="T257" s="339"/>
      <c r="U257" s="340"/>
      <c r="V257" s="470"/>
      <c r="W257" s="315"/>
    </row>
    <row r="258" spans="1:23" ht="13.3" thickBot="1" x14ac:dyDescent="0.25">
      <c r="A258" s="614"/>
      <c r="B258" s="418" t="s">
        <v>58</v>
      </c>
      <c r="C258" s="411">
        <f>C255/C249-1</f>
        <v>8.9285714285711748E-3</v>
      </c>
      <c r="D258" s="353"/>
      <c r="E258" s="353">
        <f>E255/E249-1</f>
        <v>8.1300813008129413E-3</v>
      </c>
      <c r="F258" s="353">
        <f>F255/F249-1</f>
        <v>7.6335877862594437E-3</v>
      </c>
      <c r="G258" s="353">
        <f>G255/G249-1</f>
        <v>6.5789473684210176E-3</v>
      </c>
      <c r="H258" s="353"/>
      <c r="I258" s="353"/>
      <c r="J258" s="355"/>
      <c r="K258" s="434"/>
      <c r="L258" s="509"/>
      <c r="M258" s="467">
        <f>M255/M249-1</f>
        <v>7.4626865671640896E-3</v>
      </c>
      <c r="N258" s="292">
        <f>N255/N249-1</f>
        <v>7.4626865671640896E-3</v>
      </c>
      <c r="O258" s="445"/>
      <c r="P258" s="357"/>
      <c r="Q258" s="358"/>
      <c r="R258" s="353">
        <f>R255/R249-1</f>
        <v>6.7114093959732557E-3</v>
      </c>
      <c r="S258" s="471"/>
      <c r="T258" s="356"/>
      <c r="U258" s="357"/>
      <c r="V258" s="471"/>
      <c r="W258" s="359"/>
    </row>
    <row r="259" spans="1:23" x14ac:dyDescent="0.2">
      <c r="A259" s="612">
        <v>43189</v>
      </c>
      <c r="B259" s="419" t="s">
        <v>53</v>
      </c>
      <c r="C259" s="408">
        <v>1187.03</v>
      </c>
      <c r="D259" s="347"/>
      <c r="E259" s="346">
        <v>1236.1099999999999</v>
      </c>
      <c r="F259" s="346">
        <v>1321.18</v>
      </c>
      <c r="G259" s="346">
        <v>1386.16</v>
      </c>
      <c r="H259" s="347"/>
      <c r="I259" s="347"/>
      <c r="J259" s="290"/>
      <c r="K259" s="431"/>
      <c r="L259" s="507"/>
      <c r="M259" s="256">
        <v>1225.69</v>
      </c>
      <c r="N259" s="462">
        <v>1237.51</v>
      </c>
      <c r="O259" s="442"/>
      <c r="P259" s="348"/>
      <c r="Q259" s="349"/>
      <c r="R259" s="346">
        <v>1310.52</v>
      </c>
      <c r="S259" s="346"/>
      <c r="T259" s="290"/>
      <c r="U259" s="348"/>
      <c r="V259" s="347"/>
      <c r="W259" s="346">
        <v>986.31</v>
      </c>
    </row>
    <row r="260" spans="1:23" x14ac:dyDescent="0.2">
      <c r="A260" s="613"/>
      <c r="B260" s="415" t="s">
        <v>54</v>
      </c>
      <c r="C260" s="409">
        <v>1235</v>
      </c>
      <c r="D260" s="249"/>
      <c r="E260" s="250">
        <v>1352</v>
      </c>
      <c r="F260" s="250">
        <v>1443</v>
      </c>
      <c r="G260" s="250">
        <v>1664</v>
      </c>
      <c r="H260" s="249"/>
      <c r="I260" s="249"/>
      <c r="J260" s="330"/>
      <c r="K260" s="432"/>
      <c r="L260" s="508"/>
      <c r="M260" s="468">
        <v>1356</v>
      </c>
      <c r="N260" s="464">
        <v>1356</v>
      </c>
      <c r="O260" s="446"/>
      <c r="P260" s="331"/>
      <c r="Q260" s="332"/>
      <c r="R260" s="250">
        <v>1512</v>
      </c>
      <c r="S260" s="249"/>
      <c r="T260" s="330"/>
      <c r="U260" s="334"/>
      <c r="V260" s="469"/>
      <c r="W260" s="315"/>
    </row>
    <row r="261" spans="1:23" x14ac:dyDescent="0.2">
      <c r="A261" s="613"/>
      <c r="B261" s="415" t="s">
        <v>55</v>
      </c>
      <c r="C261" s="409">
        <v>1.1399999999999999</v>
      </c>
      <c r="D261" s="249"/>
      <c r="E261" s="250">
        <v>1.25</v>
      </c>
      <c r="F261" s="250">
        <v>1.33</v>
      </c>
      <c r="G261" s="250">
        <v>1.54</v>
      </c>
      <c r="H261" s="249"/>
      <c r="I261" s="249"/>
      <c r="J261" s="330"/>
      <c r="K261" s="432"/>
      <c r="L261" s="508"/>
      <c r="M261" s="463">
        <v>1.36</v>
      </c>
      <c r="N261" s="464">
        <v>1.36</v>
      </c>
      <c r="O261" s="443"/>
      <c r="P261" s="334"/>
      <c r="Q261" s="335"/>
      <c r="R261" s="250">
        <v>1.51</v>
      </c>
      <c r="S261" s="469"/>
      <c r="T261" s="333"/>
      <c r="U261" s="334"/>
      <c r="V261" s="469"/>
      <c r="W261" s="315"/>
    </row>
    <row r="262" spans="1:23" x14ac:dyDescent="0.2">
      <c r="A262" s="613"/>
      <c r="B262" s="415" t="s">
        <v>56</v>
      </c>
      <c r="C262" s="410">
        <f>(C260-C259)/C260</f>
        <v>3.8842105263157914E-2</v>
      </c>
      <c r="D262" s="336"/>
      <c r="E262" s="336">
        <f>(E260-E259)/E260</f>
        <v>8.5717455621301855E-2</v>
      </c>
      <c r="F262" s="336">
        <f>(F260-F259)/F260</f>
        <v>8.4421344421344371E-2</v>
      </c>
      <c r="G262" s="336">
        <f>(G260-G259)/G260</f>
        <v>0.1669711538461538</v>
      </c>
      <c r="H262" s="336"/>
      <c r="I262" s="336"/>
      <c r="J262" s="338"/>
      <c r="K262" s="433"/>
      <c r="L262" s="279"/>
      <c r="M262" s="465">
        <f>(M260-M259)/M260</f>
        <v>9.6098820058997003E-2</v>
      </c>
      <c r="N262" s="466">
        <f>(N260-N259)/N260</f>
        <v>8.7382005899705018E-2</v>
      </c>
      <c r="O262" s="444"/>
      <c r="P262" s="340"/>
      <c r="Q262" s="341"/>
      <c r="R262" s="336">
        <f>(R260-R259)/R260</f>
        <v>0.13325396825396826</v>
      </c>
      <c r="S262" s="470"/>
      <c r="T262" s="339"/>
      <c r="U262" s="340"/>
      <c r="V262" s="470"/>
      <c r="W262" s="315"/>
    </row>
    <row r="263" spans="1:23" x14ac:dyDescent="0.2">
      <c r="A263" s="613"/>
      <c r="B263" s="415" t="s">
        <v>57</v>
      </c>
      <c r="C263" s="410">
        <f>(C260-C259)/C259</f>
        <v>4.0411784032417061E-2</v>
      </c>
      <c r="D263" s="336"/>
      <c r="E263" s="336">
        <f>(E260-E259)/E259</f>
        <v>9.3753792138240213E-2</v>
      </c>
      <c r="F263" s="336">
        <f>(F260-F259)/F259</f>
        <v>9.2205452701372967E-2</v>
      </c>
      <c r="G263" s="336">
        <f>(G260-G259)/G259</f>
        <v>0.20043862180412067</v>
      </c>
      <c r="H263" s="336"/>
      <c r="I263" s="336"/>
      <c r="J263" s="338"/>
      <c r="K263" s="433"/>
      <c r="L263" s="279"/>
      <c r="M263" s="465">
        <f>(M260-M259)/M259</f>
        <v>0.10631562630028796</v>
      </c>
      <c r="N263" s="466">
        <f>(N260-N259)/N259</f>
        <v>9.5748721222454772E-2</v>
      </c>
      <c r="O263" s="444"/>
      <c r="P263" s="340"/>
      <c r="Q263" s="341"/>
      <c r="R263" s="336">
        <f>(R260-R259)/R259</f>
        <v>0.15374049995421665</v>
      </c>
      <c r="S263" s="470"/>
      <c r="T263" s="339"/>
      <c r="U263" s="340"/>
      <c r="V263" s="470"/>
      <c r="W263" s="315"/>
    </row>
    <row r="264" spans="1:23" ht="13.3" thickBot="1" x14ac:dyDescent="0.25">
      <c r="A264" s="614"/>
      <c r="B264" s="418" t="s">
        <v>58</v>
      </c>
      <c r="C264" s="411">
        <f>C261/C255-1</f>
        <v>8.8495575221239076E-3</v>
      </c>
      <c r="D264" s="353"/>
      <c r="E264" s="353">
        <f>E261/E255-1</f>
        <v>8.0645161290322509E-3</v>
      </c>
      <c r="F264" s="353">
        <f>F261/F255-1</f>
        <v>7.575757575757569E-3</v>
      </c>
      <c r="G264" s="353">
        <f>G261/G255-1</f>
        <v>6.5359477124182774E-3</v>
      </c>
      <c r="H264" s="353"/>
      <c r="I264" s="353"/>
      <c r="J264" s="355"/>
      <c r="K264" s="434"/>
      <c r="L264" s="509"/>
      <c r="M264" s="467">
        <f>M261/M255-1</f>
        <v>7.4074074074073071E-3</v>
      </c>
      <c r="N264" s="292">
        <f>N261/N255-1</f>
        <v>7.4074074074073071E-3</v>
      </c>
      <c r="O264" s="445"/>
      <c r="P264" s="357"/>
      <c r="Q264" s="358"/>
      <c r="R264" s="353">
        <f>R261/R255-1</f>
        <v>6.6666666666665986E-3</v>
      </c>
      <c r="S264" s="471"/>
      <c r="T264" s="356"/>
      <c r="U264" s="357"/>
      <c r="V264" s="471"/>
      <c r="W264" s="359"/>
    </row>
    <row r="265" spans="1:23" x14ac:dyDescent="0.2">
      <c r="A265" s="612">
        <v>43193</v>
      </c>
      <c r="B265" s="419" t="s">
        <v>53</v>
      </c>
      <c r="C265" s="408">
        <v>1197.17</v>
      </c>
      <c r="D265" s="347"/>
      <c r="E265" s="346">
        <v>1245.75</v>
      </c>
      <c r="F265" s="346">
        <v>1330.88</v>
      </c>
      <c r="G265" s="346">
        <v>1394.96</v>
      </c>
      <c r="H265" s="347"/>
      <c r="I265" s="347"/>
      <c r="J265" s="290"/>
      <c r="K265" s="431"/>
      <c r="L265" s="507"/>
      <c r="M265" s="256">
        <v>1234.47</v>
      </c>
      <c r="N265" s="462">
        <v>1246.3800000000001</v>
      </c>
      <c r="O265" s="442"/>
      <c r="P265" s="348"/>
      <c r="Q265" s="349"/>
      <c r="R265" s="346">
        <v>1318.99</v>
      </c>
      <c r="S265" s="346"/>
      <c r="T265" s="290"/>
      <c r="U265" s="348"/>
      <c r="V265" s="347"/>
      <c r="W265" s="346">
        <v>993.47</v>
      </c>
    </row>
    <row r="266" spans="1:23" x14ac:dyDescent="0.2">
      <c r="A266" s="613"/>
      <c r="B266" s="415" t="s">
        <v>54</v>
      </c>
      <c r="C266" s="409">
        <v>1248</v>
      </c>
      <c r="D266" s="249"/>
      <c r="E266" s="250">
        <v>1365</v>
      </c>
      <c r="F266" s="250">
        <v>1456</v>
      </c>
      <c r="G266" s="250">
        <v>1677</v>
      </c>
      <c r="H266" s="249"/>
      <c r="I266" s="249"/>
      <c r="J266" s="330"/>
      <c r="K266" s="432"/>
      <c r="L266" s="508"/>
      <c r="M266" s="468">
        <v>1368</v>
      </c>
      <c r="N266" s="464">
        <v>1368</v>
      </c>
      <c r="O266" s="446"/>
      <c r="P266" s="331"/>
      <c r="Q266" s="332"/>
      <c r="R266" s="250">
        <v>1524</v>
      </c>
      <c r="S266" s="249"/>
      <c r="T266" s="330"/>
      <c r="U266" s="334"/>
      <c r="V266" s="469"/>
      <c r="W266" s="315"/>
    </row>
    <row r="267" spans="1:23" x14ac:dyDescent="0.2">
      <c r="A267" s="613"/>
      <c r="B267" s="415" t="s">
        <v>55</v>
      </c>
      <c r="C267" s="409">
        <v>1.1499999999999999</v>
      </c>
      <c r="D267" s="249"/>
      <c r="E267" s="250">
        <v>1.26</v>
      </c>
      <c r="F267" s="250">
        <v>1.34</v>
      </c>
      <c r="G267" s="250">
        <v>1.55</v>
      </c>
      <c r="H267" s="249"/>
      <c r="I267" s="249"/>
      <c r="J267" s="330"/>
      <c r="K267" s="432"/>
      <c r="L267" s="508"/>
      <c r="M267" s="463">
        <v>1.37</v>
      </c>
      <c r="N267" s="464">
        <v>1.37</v>
      </c>
      <c r="O267" s="443"/>
      <c r="P267" s="334"/>
      <c r="Q267" s="335"/>
      <c r="R267" s="250">
        <v>1.52</v>
      </c>
      <c r="S267" s="469"/>
      <c r="T267" s="333"/>
      <c r="U267" s="334"/>
      <c r="V267" s="469"/>
      <c r="W267" s="315"/>
    </row>
    <row r="268" spans="1:23" x14ac:dyDescent="0.2">
      <c r="A268" s="613"/>
      <c r="B268" s="415" t="s">
        <v>56</v>
      </c>
      <c r="C268" s="410">
        <f>(C266-C265)/C266</f>
        <v>4.0729166666666608E-2</v>
      </c>
      <c r="D268" s="336"/>
      <c r="E268" s="336">
        <f>(E266-E265)/E266</f>
        <v>8.7362637362637358E-2</v>
      </c>
      <c r="F268" s="336">
        <f>(F266-F265)/F266</f>
        <v>8.5934065934065856E-2</v>
      </c>
      <c r="G268" s="336">
        <f>(G266-G265)/G266</f>
        <v>0.16818127608825281</v>
      </c>
      <c r="H268" s="336"/>
      <c r="I268" s="336"/>
      <c r="J268" s="338"/>
      <c r="K268" s="433"/>
      <c r="L268" s="279"/>
      <c r="M268" s="465">
        <f>(M266-M265)/M266</f>
        <v>9.7609649122806993E-2</v>
      </c>
      <c r="N268" s="466">
        <f>(N266-N265)/N266</f>
        <v>8.8903508771929748E-2</v>
      </c>
      <c r="O268" s="444"/>
      <c r="P268" s="340"/>
      <c r="Q268" s="341"/>
      <c r="R268" s="336">
        <f>(R266-R265)/R266</f>
        <v>0.13452099737532808</v>
      </c>
      <c r="S268" s="470"/>
      <c r="T268" s="339"/>
      <c r="U268" s="340"/>
      <c r="V268" s="470"/>
      <c r="W268" s="315"/>
    </row>
    <row r="269" spans="1:23" x14ac:dyDescent="0.2">
      <c r="A269" s="613"/>
      <c r="B269" s="415" t="s">
        <v>57</v>
      </c>
      <c r="C269" s="410">
        <f>(C266-C265)/C265</f>
        <v>4.2458464545553201E-2</v>
      </c>
      <c r="D269" s="336"/>
      <c r="E269" s="336">
        <f>(E266-E265)/E265</f>
        <v>9.5725466586393734E-2</v>
      </c>
      <c r="F269" s="336">
        <f>(F266-F265)/F265</f>
        <v>9.401298389035817E-2</v>
      </c>
      <c r="G269" s="336">
        <f>(G266-G265)/G265</f>
        <v>0.20218500888914373</v>
      </c>
      <c r="H269" s="336"/>
      <c r="I269" s="336"/>
      <c r="J269" s="338"/>
      <c r="K269" s="433"/>
      <c r="L269" s="279"/>
      <c r="M269" s="465">
        <f>(M266-M265)/M265</f>
        <v>0.10816787771270259</v>
      </c>
      <c r="N269" s="466">
        <f>(N266-N265)/N265</f>
        <v>9.7578587589659552E-2</v>
      </c>
      <c r="O269" s="444"/>
      <c r="P269" s="340"/>
      <c r="Q269" s="341"/>
      <c r="R269" s="336">
        <f>(R266-R265)/R265</f>
        <v>0.15542953320343594</v>
      </c>
      <c r="S269" s="470"/>
      <c r="T269" s="339"/>
      <c r="U269" s="340"/>
      <c r="V269" s="470"/>
      <c r="W269" s="315"/>
    </row>
    <row r="270" spans="1:23" ht="13.3" thickBot="1" x14ac:dyDescent="0.25">
      <c r="A270" s="614"/>
      <c r="B270" s="418" t="s">
        <v>58</v>
      </c>
      <c r="C270" s="411">
        <f>C267/C261-1</f>
        <v>8.7719298245614308E-3</v>
      </c>
      <c r="D270" s="353"/>
      <c r="E270" s="353">
        <f>E267/E261-1</f>
        <v>8.0000000000000071E-3</v>
      </c>
      <c r="F270" s="353">
        <f>F267/F261-1</f>
        <v>7.5187969924812581E-3</v>
      </c>
      <c r="G270" s="353">
        <f>G267/G261-1</f>
        <v>6.4935064935065512E-3</v>
      </c>
      <c r="H270" s="353"/>
      <c r="I270" s="353"/>
      <c r="J270" s="355"/>
      <c r="K270" s="434"/>
      <c r="L270" s="509"/>
      <c r="M270" s="467">
        <f>M267/M261-1</f>
        <v>7.3529411764705621E-3</v>
      </c>
      <c r="N270" s="292">
        <f>N267/N261-1</f>
        <v>7.3529411764705621E-3</v>
      </c>
      <c r="O270" s="445"/>
      <c r="P270" s="357"/>
      <c r="Q270" s="358"/>
      <c r="R270" s="353">
        <f>R267/R261-1</f>
        <v>6.6225165562914245E-3</v>
      </c>
      <c r="S270" s="471"/>
      <c r="T270" s="356"/>
      <c r="U270" s="357"/>
      <c r="V270" s="471"/>
      <c r="W270" s="359"/>
    </row>
    <row r="271" spans="1:23" x14ac:dyDescent="0.2">
      <c r="A271" s="612">
        <v>43204</v>
      </c>
      <c r="B271" s="419" t="s">
        <v>53</v>
      </c>
      <c r="C271" s="408">
        <v>1207.31</v>
      </c>
      <c r="D271" s="347"/>
      <c r="E271" s="346">
        <v>1255.3900000000001</v>
      </c>
      <c r="F271" s="346">
        <v>1340.58</v>
      </c>
      <c r="G271" s="346">
        <v>1403.76</v>
      </c>
      <c r="H271" s="347"/>
      <c r="I271" s="347"/>
      <c r="J271" s="290"/>
      <c r="K271" s="431"/>
      <c r="L271" s="507"/>
      <c r="M271" s="256">
        <v>1225.69</v>
      </c>
      <c r="N271" s="462">
        <v>1237.51</v>
      </c>
      <c r="O271" s="442"/>
      <c r="P271" s="348"/>
      <c r="Q271" s="349"/>
      <c r="R271" s="346">
        <v>1310.52</v>
      </c>
      <c r="S271" s="346"/>
      <c r="T271" s="290"/>
      <c r="U271" s="348"/>
      <c r="V271" s="347"/>
      <c r="W271" s="346">
        <v>1000.78</v>
      </c>
    </row>
    <row r="272" spans="1:23" x14ac:dyDescent="0.2">
      <c r="A272" s="613"/>
      <c r="B272" s="415" t="s">
        <v>54</v>
      </c>
      <c r="C272" s="409">
        <v>1261</v>
      </c>
      <c r="D272" s="249"/>
      <c r="E272" s="250">
        <v>1378</v>
      </c>
      <c r="F272" s="250">
        <v>1456</v>
      </c>
      <c r="G272" s="250">
        <v>1690</v>
      </c>
      <c r="H272" s="249"/>
      <c r="I272" s="249"/>
      <c r="J272" s="330"/>
      <c r="K272" s="432"/>
      <c r="L272" s="508"/>
      <c r="M272" s="468">
        <v>1356</v>
      </c>
      <c r="N272" s="464">
        <v>1356</v>
      </c>
      <c r="O272" s="446"/>
      <c r="P272" s="331"/>
      <c r="Q272" s="332"/>
      <c r="R272" s="250">
        <v>1512</v>
      </c>
      <c r="S272" s="249"/>
      <c r="T272" s="330"/>
      <c r="U272" s="334"/>
      <c r="V272" s="469"/>
      <c r="W272" s="315"/>
    </row>
    <row r="273" spans="1:23" x14ac:dyDescent="0.2">
      <c r="A273" s="613"/>
      <c r="B273" s="415" t="s">
        <v>55</v>
      </c>
      <c r="C273" s="409">
        <v>1.1599999999999999</v>
      </c>
      <c r="D273" s="249"/>
      <c r="E273" s="250">
        <v>1.27</v>
      </c>
      <c r="F273" s="250">
        <v>1.35</v>
      </c>
      <c r="G273" s="250">
        <v>1.56</v>
      </c>
      <c r="H273" s="249"/>
      <c r="I273" s="249"/>
      <c r="J273" s="330"/>
      <c r="K273" s="432"/>
      <c r="L273" s="508"/>
      <c r="M273" s="463">
        <v>1.36</v>
      </c>
      <c r="N273" s="464">
        <v>1.36</v>
      </c>
      <c r="O273" s="443"/>
      <c r="P273" s="334"/>
      <c r="Q273" s="335"/>
      <c r="R273" s="250">
        <v>1.51</v>
      </c>
      <c r="S273" s="469"/>
      <c r="T273" s="333"/>
      <c r="U273" s="334"/>
      <c r="V273" s="469"/>
      <c r="W273" s="315"/>
    </row>
    <row r="274" spans="1:23" x14ac:dyDescent="0.2">
      <c r="A274" s="613"/>
      <c r="B274" s="415" t="s">
        <v>56</v>
      </c>
      <c r="C274" s="410">
        <f>(C272-C271)/C272</f>
        <v>4.2577319587628906E-2</v>
      </c>
      <c r="D274" s="336"/>
      <c r="E274" s="336">
        <f>(E272-E271)/E272</f>
        <v>8.8976777939042018E-2</v>
      </c>
      <c r="F274" s="336">
        <f>(F272-F271)/F272</f>
        <v>7.9271978021978065E-2</v>
      </c>
      <c r="G274" s="336">
        <f>(G272-G271)/G272</f>
        <v>0.16937278106508877</v>
      </c>
      <c r="H274" s="336"/>
      <c r="I274" s="336"/>
      <c r="J274" s="338"/>
      <c r="K274" s="433"/>
      <c r="L274" s="279"/>
      <c r="M274" s="465">
        <f>(M272-M271)/M272</f>
        <v>9.6098820058997003E-2</v>
      </c>
      <c r="N274" s="466">
        <f>(N272-N271)/N272</f>
        <v>8.7382005899705018E-2</v>
      </c>
      <c r="O274" s="444"/>
      <c r="P274" s="340"/>
      <c r="Q274" s="341"/>
      <c r="R274" s="336">
        <f>(R272-R271)/R272</f>
        <v>0.13325396825396826</v>
      </c>
      <c r="S274" s="470"/>
      <c r="T274" s="339"/>
      <c r="U274" s="340"/>
      <c r="V274" s="470"/>
      <c r="W274" s="315"/>
    </row>
    <row r="275" spans="1:23" x14ac:dyDescent="0.2">
      <c r="A275" s="613"/>
      <c r="B275" s="415" t="s">
        <v>57</v>
      </c>
      <c r="C275" s="410">
        <f>(C272-C271)/C271</f>
        <v>4.447076558630348E-2</v>
      </c>
      <c r="D275" s="336"/>
      <c r="E275" s="336">
        <f>(E272-E271)/E271</f>
        <v>9.7666860497534549E-2</v>
      </c>
      <c r="F275" s="336">
        <f>(F272-F271)/F271</f>
        <v>8.6097062465500071E-2</v>
      </c>
      <c r="G275" s="336">
        <f>(G272-G271)/G271</f>
        <v>0.2039095001994643</v>
      </c>
      <c r="H275" s="336"/>
      <c r="I275" s="336"/>
      <c r="J275" s="338"/>
      <c r="K275" s="433"/>
      <c r="L275" s="279"/>
      <c r="M275" s="465">
        <f>(M272-M271)/M271</f>
        <v>0.10631562630028796</v>
      </c>
      <c r="N275" s="466">
        <f>(N272-N271)/N271</f>
        <v>9.5748721222454772E-2</v>
      </c>
      <c r="O275" s="444"/>
      <c r="P275" s="340"/>
      <c r="Q275" s="341"/>
      <c r="R275" s="336">
        <f>(R272-R271)/R271</f>
        <v>0.15374049995421665</v>
      </c>
      <c r="S275" s="470"/>
      <c r="T275" s="339"/>
      <c r="U275" s="340"/>
      <c r="V275" s="470"/>
      <c r="W275" s="315"/>
    </row>
    <row r="276" spans="1:23" ht="13.3" thickBot="1" x14ac:dyDescent="0.25">
      <c r="A276" s="614"/>
      <c r="B276" s="418" t="s">
        <v>58</v>
      </c>
      <c r="C276" s="411">
        <f>C273/C267-1</f>
        <v>8.6956521739129933E-3</v>
      </c>
      <c r="D276" s="353"/>
      <c r="E276" s="353">
        <f>E273/E267-1</f>
        <v>7.9365079365079083E-3</v>
      </c>
      <c r="F276" s="353">
        <f>F273/F267-1</f>
        <v>7.4626865671640896E-3</v>
      </c>
      <c r="G276" s="353">
        <f>G273/G267-1</f>
        <v>6.4516129032257119E-3</v>
      </c>
      <c r="H276" s="353"/>
      <c r="I276" s="353"/>
      <c r="J276" s="355"/>
      <c r="K276" s="434"/>
      <c r="L276" s="509"/>
      <c r="M276" s="467">
        <f>M273/M267-1</f>
        <v>-7.2992700729926918E-3</v>
      </c>
      <c r="N276" s="292">
        <f>N273/N267-1</f>
        <v>-7.2992700729926918E-3</v>
      </c>
      <c r="O276" s="445"/>
      <c r="P276" s="357"/>
      <c r="Q276" s="358"/>
      <c r="R276" s="353">
        <f>R273/R267-1</f>
        <v>-6.5789473684210176E-3</v>
      </c>
      <c r="S276" s="471"/>
      <c r="T276" s="356"/>
      <c r="U276" s="357"/>
      <c r="V276" s="471"/>
      <c r="W276" s="359"/>
    </row>
    <row r="277" spans="1:23" x14ac:dyDescent="0.2">
      <c r="A277" s="612">
        <v>43217</v>
      </c>
      <c r="B277" s="419" t="s">
        <v>53</v>
      </c>
      <c r="C277" s="408">
        <v>1207.31</v>
      </c>
      <c r="D277" s="347"/>
      <c r="E277" s="346">
        <v>1255.3900000000001</v>
      </c>
      <c r="F277" s="346">
        <v>1340.58</v>
      </c>
      <c r="G277" s="346">
        <v>1403.76</v>
      </c>
      <c r="H277" s="347"/>
      <c r="I277" s="347"/>
      <c r="J277" s="290"/>
      <c r="K277" s="431"/>
      <c r="L277" s="507"/>
      <c r="M277" s="256">
        <v>1225.69</v>
      </c>
      <c r="N277" s="462">
        <v>1237.51</v>
      </c>
      <c r="O277" s="442"/>
      <c r="P277" s="348"/>
      <c r="Q277" s="349"/>
      <c r="R277" s="346">
        <v>1310.52</v>
      </c>
      <c r="S277" s="346"/>
      <c r="T277" s="290"/>
      <c r="U277" s="348"/>
      <c r="V277" s="347"/>
      <c r="W277" s="346">
        <v>1000.78</v>
      </c>
    </row>
    <row r="278" spans="1:23" x14ac:dyDescent="0.2">
      <c r="A278" s="613"/>
      <c r="B278" s="415" t="s">
        <v>54</v>
      </c>
      <c r="C278" s="409">
        <v>1261</v>
      </c>
      <c r="D278" s="249"/>
      <c r="E278" s="250">
        <v>1378</v>
      </c>
      <c r="F278" s="250">
        <v>1456</v>
      </c>
      <c r="G278" s="250">
        <v>1690</v>
      </c>
      <c r="H278" s="249"/>
      <c r="I278" s="249"/>
      <c r="J278" s="330"/>
      <c r="K278" s="432"/>
      <c r="L278" s="508"/>
      <c r="M278" s="468">
        <v>1344</v>
      </c>
      <c r="N278" s="464">
        <v>1344</v>
      </c>
      <c r="O278" s="446"/>
      <c r="P278" s="331"/>
      <c r="Q278" s="332"/>
      <c r="R278" s="250">
        <v>1500</v>
      </c>
      <c r="S278" s="249"/>
      <c r="T278" s="330"/>
      <c r="U278" s="334"/>
      <c r="V278" s="469"/>
      <c r="W278" s="315"/>
    </row>
    <row r="279" spans="1:23" x14ac:dyDescent="0.2">
      <c r="A279" s="613"/>
      <c r="B279" s="415" t="s">
        <v>55</v>
      </c>
      <c r="C279" s="409">
        <v>1.1599999999999999</v>
      </c>
      <c r="D279" s="249"/>
      <c r="E279" s="250">
        <v>1.27</v>
      </c>
      <c r="F279" s="250">
        <v>1.35</v>
      </c>
      <c r="G279" s="250">
        <v>1.56</v>
      </c>
      <c r="H279" s="249"/>
      <c r="I279" s="249"/>
      <c r="J279" s="330"/>
      <c r="K279" s="432"/>
      <c r="L279" s="508"/>
      <c r="M279" s="463">
        <v>1.35</v>
      </c>
      <c r="N279" s="464">
        <v>1.35</v>
      </c>
      <c r="O279" s="443"/>
      <c r="P279" s="334"/>
      <c r="Q279" s="335"/>
      <c r="R279" s="250">
        <v>1.5</v>
      </c>
      <c r="S279" s="469"/>
      <c r="T279" s="333"/>
      <c r="U279" s="334"/>
      <c r="V279" s="469"/>
      <c r="W279" s="315"/>
    </row>
    <row r="280" spans="1:23" x14ac:dyDescent="0.2">
      <c r="A280" s="613"/>
      <c r="B280" s="415" t="s">
        <v>56</v>
      </c>
      <c r="C280" s="410">
        <f>(C278-C277)/C278</f>
        <v>4.2577319587628906E-2</v>
      </c>
      <c r="D280" s="336"/>
      <c r="E280" s="336">
        <f>(E278-E277)/E278</f>
        <v>8.8976777939042018E-2</v>
      </c>
      <c r="F280" s="336">
        <f>(F278-F277)/F278</f>
        <v>7.9271978021978065E-2</v>
      </c>
      <c r="G280" s="336">
        <f>(G278-G277)/G278</f>
        <v>0.16937278106508877</v>
      </c>
      <c r="H280" s="336"/>
      <c r="I280" s="336"/>
      <c r="J280" s="338"/>
      <c r="K280" s="433"/>
      <c r="L280" s="279"/>
      <c r="M280" s="465">
        <f>(M278-M277)/M278</f>
        <v>8.8028273809523772E-2</v>
      </c>
      <c r="N280" s="466">
        <f>(N278-N277)/N278</f>
        <v>7.9233630952380965E-2</v>
      </c>
      <c r="O280" s="444"/>
      <c r="P280" s="340"/>
      <c r="Q280" s="341"/>
      <c r="R280" s="336">
        <f>(R278-R277)/R278</f>
        <v>0.12632000000000002</v>
      </c>
      <c r="S280" s="470"/>
      <c r="T280" s="339"/>
      <c r="U280" s="340"/>
      <c r="V280" s="470"/>
      <c r="W280" s="315"/>
    </row>
    <row r="281" spans="1:23" x14ac:dyDescent="0.2">
      <c r="A281" s="613"/>
      <c r="B281" s="415" t="s">
        <v>57</v>
      </c>
      <c r="C281" s="410">
        <f>(C278-C277)/C277</f>
        <v>4.447076558630348E-2</v>
      </c>
      <c r="D281" s="336"/>
      <c r="E281" s="336">
        <f>(E278-E277)/E277</f>
        <v>9.7666860497534549E-2</v>
      </c>
      <c r="F281" s="336">
        <f>(F278-F277)/F277</f>
        <v>8.6097062465500071E-2</v>
      </c>
      <c r="G281" s="336">
        <f>(G278-G277)/G277</f>
        <v>0.2039095001994643</v>
      </c>
      <c r="H281" s="336"/>
      <c r="I281" s="336"/>
      <c r="J281" s="338"/>
      <c r="K281" s="433"/>
      <c r="L281" s="279"/>
      <c r="M281" s="465">
        <f>(M278-M277)/M277</f>
        <v>9.6525222527719029E-2</v>
      </c>
      <c r="N281" s="466">
        <f>(N278-N277)/N277</f>
        <v>8.6051829884202957E-2</v>
      </c>
      <c r="O281" s="444"/>
      <c r="P281" s="340"/>
      <c r="Q281" s="341"/>
      <c r="R281" s="336">
        <f>(R278-R277)/R277</f>
        <v>0.14458382931965938</v>
      </c>
      <c r="S281" s="470"/>
      <c r="T281" s="339"/>
      <c r="U281" s="340"/>
      <c r="V281" s="470"/>
      <c r="W281" s="315"/>
    </row>
    <row r="282" spans="1:23" ht="13.3" thickBot="1" x14ac:dyDescent="0.25">
      <c r="A282" s="614"/>
      <c r="B282" s="418" t="s">
        <v>58</v>
      </c>
      <c r="C282" s="411">
        <f>C279/C273-1</f>
        <v>0</v>
      </c>
      <c r="D282" s="353"/>
      <c r="E282" s="353">
        <f>E279/E273-1</f>
        <v>0</v>
      </c>
      <c r="F282" s="353">
        <f>F279/F273-1</f>
        <v>0</v>
      </c>
      <c r="G282" s="353">
        <f>G279/G273-1</f>
        <v>0</v>
      </c>
      <c r="H282" s="353"/>
      <c r="I282" s="353"/>
      <c r="J282" s="355"/>
      <c r="K282" s="434"/>
      <c r="L282" s="509"/>
      <c r="M282" s="467">
        <f>M279/M273-1</f>
        <v>-7.3529411764705621E-3</v>
      </c>
      <c r="N282" s="292">
        <f>N279/N273-1</f>
        <v>-7.3529411764705621E-3</v>
      </c>
      <c r="O282" s="445"/>
      <c r="P282" s="357"/>
      <c r="Q282" s="358"/>
      <c r="R282" s="353">
        <f>R279/R273-1</f>
        <v>-6.6225165562914245E-3</v>
      </c>
      <c r="S282" s="471"/>
      <c r="T282" s="356"/>
      <c r="U282" s="357"/>
      <c r="V282" s="471"/>
      <c r="W282" s="359"/>
    </row>
    <row r="283" spans="1:23" x14ac:dyDescent="0.2">
      <c r="A283" s="612">
        <v>43232</v>
      </c>
      <c r="B283" s="419" t="s">
        <v>53</v>
      </c>
      <c r="C283" s="408">
        <v>1217.45</v>
      </c>
      <c r="D283" s="347"/>
      <c r="E283" s="346">
        <v>1255.3900000000001</v>
      </c>
      <c r="F283" s="346">
        <v>1350.28</v>
      </c>
      <c r="G283" s="346">
        <v>1412.56</v>
      </c>
      <c r="H283" s="347"/>
      <c r="I283" s="347"/>
      <c r="J283" s="290"/>
      <c r="K283" s="431"/>
      <c r="L283" s="507"/>
      <c r="M283" s="256">
        <v>1234.54</v>
      </c>
      <c r="N283" s="462">
        <v>1246.45</v>
      </c>
      <c r="O283" s="442"/>
      <c r="P283" s="348"/>
      <c r="Q283" s="349"/>
      <c r="R283" s="346">
        <v>1319.05</v>
      </c>
      <c r="S283" s="346"/>
      <c r="T283" s="290"/>
      <c r="U283" s="348"/>
      <c r="V283" s="347"/>
      <c r="W283" s="346">
        <v>1007.96</v>
      </c>
    </row>
    <row r="284" spans="1:23" x14ac:dyDescent="0.2">
      <c r="A284" s="613"/>
      <c r="B284" s="415" t="s">
        <v>54</v>
      </c>
      <c r="C284" s="409">
        <v>1261</v>
      </c>
      <c r="D284" s="249"/>
      <c r="E284" s="250">
        <v>1391</v>
      </c>
      <c r="F284" s="250">
        <v>1469</v>
      </c>
      <c r="G284" s="250">
        <v>1703</v>
      </c>
      <c r="H284" s="249"/>
      <c r="I284" s="249"/>
      <c r="J284" s="330"/>
      <c r="K284" s="432"/>
      <c r="L284" s="508"/>
      <c r="M284" s="468">
        <v>1356</v>
      </c>
      <c r="N284" s="464">
        <v>1356</v>
      </c>
      <c r="O284" s="446"/>
      <c r="P284" s="331"/>
      <c r="Q284" s="332"/>
      <c r="R284" s="250">
        <v>1512</v>
      </c>
      <c r="S284" s="249"/>
      <c r="T284" s="330"/>
      <c r="U284" s="334"/>
      <c r="V284" s="469"/>
      <c r="W284" s="315"/>
    </row>
    <row r="285" spans="1:23" x14ac:dyDescent="0.2">
      <c r="A285" s="613"/>
      <c r="B285" s="415" t="s">
        <v>55</v>
      </c>
      <c r="C285" s="409">
        <v>1.17</v>
      </c>
      <c r="D285" s="249"/>
      <c r="E285" s="250">
        <v>1.27</v>
      </c>
      <c r="F285" s="250">
        <v>1.35</v>
      </c>
      <c r="G285" s="250">
        <v>1.56</v>
      </c>
      <c r="H285" s="249"/>
      <c r="I285" s="249"/>
      <c r="J285" s="330"/>
      <c r="K285" s="432"/>
      <c r="L285" s="508"/>
      <c r="M285" s="463">
        <v>1.35</v>
      </c>
      <c r="N285" s="464">
        <v>1.35</v>
      </c>
      <c r="O285" s="443"/>
      <c r="P285" s="334"/>
      <c r="Q285" s="335"/>
      <c r="R285" s="250">
        <v>1.5</v>
      </c>
      <c r="S285" s="469"/>
      <c r="T285" s="333"/>
      <c r="U285" s="334"/>
      <c r="V285" s="469"/>
      <c r="W285" s="315"/>
    </row>
    <row r="286" spans="1:23" x14ac:dyDescent="0.2">
      <c r="A286" s="613"/>
      <c r="B286" s="415" t="s">
        <v>56</v>
      </c>
      <c r="C286" s="410">
        <f>(C284-C283)/C284</f>
        <v>3.4536082474226765E-2</v>
      </c>
      <c r="D286" s="336"/>
      <c r="E286" s="336">
        <f>(E284-E283)/E284</f>
        <v>9.7491013659237888E-2</v>
      </c>
      <c r="F286" s="336">
        <f>(F284-F283)/F284</f>
        <v>8.0816882232811457E-2</v>
      </c>
      <c r="G286" s="336">
        <f>(G284-G283)/G284</f>
        <v>0.17054609512624783</v>
      </c>
      <c r="H286" s="336"/>
      <c r="I286" s="336"/>
      <c r="J286" s="338"/>
      <c r="K286" s="433"/>
      <c r="L286" s="279"/>
      <c r="M286" s="465">
        <f>(M284-M283)/M284</f>
        <v>8.9572271386430702E-2</v>
      </c>
      <c r="N286" s="466">
        <f>(N284-N283)/N284</f>
        <v>8.0789085545722686E-2</v>
      </c>
      <c r="O286" s="444"/>
      <c r="P286" s="340"/>
      <c r="Q286" s="341"/>
      <c r="R286" s="336">
        <f>(R284-R283)/R284</f>
        <v>0.1276124338624339</v>
      </c>
      <c r="S286" s="470"/>
      <c r="T286" s="339"/>
      <c r="U286" s="340"/>
      <c r="V286" s="470"/>
      <c r="W286" s="315"/>
    </row>
    <row r="287" spans="1:23" x14ac:dyDescent="0.2">
      <c r="A287" s="613"/>
      <c r="B287" s="415" t="s">
        <v>57</v>
      </c>
      <c r="C287" s="410">
        <f>(C284-C283)/C283</f>
        <v>3.5771489588894784E-2</v>
      </c>
      <c r="D287" s="336"/>
      <c r="E287" s="336">
        <f>(E284-E283)/E283</f>
        <v>0.10802220823807732</v>
      </c>
      <c r="F287" s="336">
        <f>(F284-F283)/F283</f>
        <v>8.7922504961933837E-2</v>
      </c>
      <c r="G287" s="336">
        <f>(G284-G283)/G283</f>
        <v>0.20561250495554176</v>
      </c>
      <c r="H287" s="336"/>
      <c r="I287" s="336"/>
      <c r="J287" s="338"/>
      <c r="K287" s="433"/>
      <c r="L287" s="279"/>
      <c r="M287" s="465">
        <f>(M284-M283)/M283</f>
        <v>9.8384823497011067E-2</v>
      </c>
      <c r="N287" s="466">
        <f>(N284-N283)/N283</f>
        <v>8.788960648241001E-2</v>
      </c>
      <c r="O287" s="444"/>
      <c r="P287" s="340"/>
      <c r="Q287" s="341"/>
      <c r="R287" s="336">
        <f>(R284-R283)/R283</f>
        <v>0.14627951935104813</v>
      </c>
      <c r="S287" s="470"/>
      <c r="T287" s="339"/>
      <c r="U287" s="340"/>
      <c r="V287" s="470"/>
      <c r="W287" s="315"/>
    </row>
    <row r="288" spans="1:23" ht="13.3" thickBot="1" x14ac:dyDescent="0.25">
      <c r="A288" s="614"/>
      <c r="B288" s="418" t="s">
        <v>58</v>
      </c>
      <c r="C288" s="411">
        <f>C285/C279-1</f>
        <v>8.6206896551723755E-3</v>
      </c>
      <c r="D288" s="353"/>
      <c r="E288" s="353">
        <f>E285/E279-1</f>
        <v>0</v>
      </c>
      <c r="F288" s="353">
        <f>F285/F279-1</f>
        <v>0</v>
      </c>
      <c r="G288" s="353">
        <f>G285/G279-1</f>
        <v>0</v>
      </c>
      <c r="H288" s="353"/>
      <c r="I288" s="353"/>
      <c r="J288" s="355"/>
      <c r="K288" s="434"/>
      <c r="L288" s="509"/>
      <c r="M288" s="467">
        <f>M285/M279-1</f>
        <v>0</v>
      </c>
      <c r="N288" s="292">
        <f>N285/N279-1</f>
        <v>0</v>
      </c>
      <c r="O288" s="445"/>
      <c r="P288" s="357"/>
      <c r="Q288" s="358"/>
      <c r="R288" s="353">
        <f>R285/R279-1</f>
        <v>0</v>
      </c>
      <c r="S288" s="471"/>
      <c r="T288" s="356"/>
      <c r="U288" s="357"/>
      <c r="V288" s="471"/>
      <c r="W288" s="359"/>
    </row>
    <row r="289" spans="1:23" x14ac:dyDescent="0.2">
      <c r="A289" s="612">
        <v>43235</v>
      </c>
      <c r="B289" s="419" t="s">
        <v>53</v>
      </c>
      <c r="C289" s="408">
        <v>1227.5899999999999</v>
      </c>
      <c r="D289" s="347"/>
      <c r="E289" s="346">
        <v>1257.06</v>
      </c>
      <c r="F289" s="346">
        <v>1359.98</v>
      </c>
      <c r="G289" s="346">
        <v>1421.36</v>
      </c>
      <c r="H289" s="347"/>
      <c r="I289" s="347"/>
      <c r="J289" s="290"/>
      <c r="K289" s="431"/>
      <c r="L289" s="507"/>
      <c r="M289" s="256">
        <v>1243.3900000000001</v>
      </c>
      <c r="N289" s="462">
        <v>1255.3900000000001</v>
      </c>
      <c r="O289" s="442"/>
      <c r="P289" s="348"/>
      <c r="Q289" s="349"/>
      <c r="R289" s="346">
        <v>1327.58</v>
      </c>
      <c r="S289" s="346"/>
      <c r="T289" s="290"/>
      <c r="U289" s="348"/>
      <c r="V289" s="347"/>
      <c r="W289" s="346">
        <v>1015.06</v>
      </c>
    </row>
    <row r="290" spans="1:23" x14ac:dyDescent="0.2">
      <c r="A290" s="613"/>
      <c r="B290" s="415" t="s">
        <v>54</v>
      </c>
      <c r="C290" s="409">
        <v>1274</v>
      </c>
      <c r="D290" s="249"/>
      <c r="E290" s="250">
        <v>1391</v>
      </c>
      <c r="F290" s="250">
        <v>1482</v>
      </c>
      <c r="G290" s="250">
        <v>1716</v>
      </c>
      <c r="H290" s="249"/>
      <c r="I290" s="249"/>
      <c r="J290" s="330"/>
      <c r="K290" s="432"/>
      <c r="L290" s="508"/>
      <c r="M290" s="468">
        <v>1368</v>
      </c>
      <c r="N290" s="464">
        <v>1368</v>
      </c>
      <c r="O290" s="446"/>
      <c r="P290" s="331"/>
      <c r="Q290" s="332"/>
      <c r="R290" s="250">
        <v>1524</v>
      </c>
      <c r="S290" s="249"/>
      <c r="T290" s="330"/>
      <c r="U290" s="334"/>
      <c r="V290" s="469"/>
      <c r="W290" s="315"/>
    </row>
    <row r="291" spans="1:23" x14ac:dyDescent="0.2">
      <c r="A291" s="613"/>
      <c r="B291" s="415" t="s">
        <v>55</v>
      </c>
      <c r="C291" s="409">
        <v>1.18</v>
      </c>
      <c r="D291" s="249"/>
      <c r="E291" s="250">
        <v>1.29</v>
      </c>
      <c r="F291" s="250">
        <v>1.37</v>
      </c>
      <c r="G291" s="250">
        <v>1.58</v>
      </c>
      <c r="H291" s="249"/>
      <c r="I291" s="249"/>
      <c r="J291" s="330"/>
      <c r="K291" s="432"/>
      <c r="L291" s="508"/>
      <c r="M291" s="463">
        <v>1.37</v>
      </c>
      <c r="N291" s="464">
        <v>1.37</v>
      </c>
      <c r="O291" s="443"/>
      <c r="P291" s="334"/>
      <c r="Q291" s="335"/>
      <c r="R291" s="250">
        <v>1.52</v>
      </c>
      <c r="S291" s="469"/>
      <c r="T291" s="333"/>
      <c r="U291" s="334"/>
      <c r="V291" s="469"/>
      <c r="W291" s="315"/>
    </row>
    <row r="292" spans="1:23" x14ac:dyDescent="0.2">
      <c r="A292" s="613"/>
      <c r="B292" s="415" t="s">
        <v>56</v>
      </c>
      <c r="C292" s="410">
        <f>(C290-C289)/C290</f>
        <v>3.6428571428571491E-2</v>
      </c>
      <c r="D292" s="336"/>
      <c r="E292" s="336">
        <f>(E290-E289)/E290</f>
        <v>9.6290438533429223E-2</v>
      </c>
      <c r="F292" s="336">
        <f>(F290-F289)/F290</f>
        <v>8.233468286099864E-2</v>
      </c>
      <c r="G292" s="336">
        <f>(G290-G289)/G290</f>
        <v>0.17170163170163175</v>
      </c>
      <c r="H292" s="336"/>
      <c r="I292" s="336"/>
      <c r="J292" s="338"/>
      <c r="K292" s="433"/>
      <c r="L292" s="279"/>
      <c r="M292" s="465">
        <f>(M290-M289)/M290</f>
        <v>9.1089181286549636E-2</v>
      </c>
      <c r="N292" s="466">
        <f>(N290-N289)/N290</f>
        <v>8.2317251461988233E-2</v>
      </c>
      <c r="O292" s="444"/>
      <c r="P292" s="340"/>
      <c r="Q292" s="341"/>
      <c r="R292" s="336">
        <f>(R290-R289)/R290</f>
        <v>0.1288845144356956</v>
      </c>
      <c r="S292" s="470"/>
      <c r="T292" s="339"/>
      <c r="U292" s="340"/>
      <c r="V292" s="470"/>
      <c r="W292" s="315"/>
    </row>
    <row r="293" spans="1:23" x14ac:dyDescent="0.2">
      <c r="A293" s="613"/>
      <c r="B293" s="415" t="s">
        <v>57</v>
      </c>
      <c r="C293" s="410">
        <f>(C290-C289)/C289</f>
        <v>3.7805782060785838E-2</v>
      </c>
      <c r="D293" s="336"/>
      <c r="E293" s="336">
        <f>(E290-E289)/E289</f>
        <v>0.10655020444529303</v>
      </c>
      <c r="F293" s="336">
        <f>(F290-F289)/F289</f>
        <v>8.9721907675112858E-2</v>
      </c>
      <c r="G293" s="336">
        <f>(G290-G289)/G289</f>
        <v>0.20729442224348521</v>
      </c>
      <c r="H293" s="336"/>
      <c r="I293" s="336"/>
      <c r="J293" s="338"/>
      <c r="K293" s="433"/>
      <c r="L293" s="279"/>
      <c r="M293" s="465">
        <f>(M290-M289)/M289</f>
        <v>0.10021795253299438</v>
      </c>
      <c r="N293" s="466">
        <f>(N290-N289)/N289</f>
        <v>8.9701208389424719E-2</v>
      </c>
      <c r="O293" s="444"/>
      <c r="P293" s="340"/>
      <c r="Q293" s="341"/>
      <c r="R293" s="336">
        <f>(R290-R289)/R289</f>
        <v>0.14795341900299799</v>
      </c>
      <c r="S293" s="470"/>
      <c r="T293" s="339"/>
      <c r="U293" s="340"/>
      <c r="V293" s="470"/>
      <c r="W293" s="315"/>
    </row>
    <row r="294" spans="1:23" ht="13.3" thickBot="1" x14ac:dyDescent="0.25">
      <c r="A294" s="614"/>
      <c r="B294" s="418" t="s">
        <v>58</v>
      </c>
      <c r="C294" s="411">
        <f>C291/C285-1</f>
        <v>8.5470085470085166E-3</v>
      </c>
      <c r="D294" s="353"/>
      <c r="E294" s="353">
        <f>E291/E285-1</f>
        <v>1.5748031496062964E-2</v>
      </c>
      <c r="F294" s="353">
        <f>F291/F285-1</f>
        <v>1.4814814814814836E-2</v>
      </c>
      <c r="G294" s="353">
        <f>G291/G285-1</f>
        <v>1.2820512820512775E-2</v>
      </c>
      <c r="H294" s="353"/>
      <c r="I294" s="353"/>
      <c r="J294" s="355"/>
      <c r="K294" s="434"/>
      <c r="L294" s="509"/>
      <c r="M294" s="467">
        <f>M291/M285-1</f>
        <v>1.4814814814814836E-2</v>
      </c>
      <c r="N294" s="292">
        <f>N291/N285-1</f>
        <v>1.4814814814814836E-2</v>
      </c>
      <c r="O294" s="445"/>
      <c r="P294" s="357"/>
      <c r="Q294" s="358"/>
      <c r="R294" s="353">
        <f>R291/R285-1</f>
        <v>1.3333333333333419E-2</v>
      </c>
      <c r="S294" s="471"/>
      <c r="T294" s="356"/>
      <c r="U294" s="357"/>
      <c r="V294" s="471"/>
      <c r="W294" s="359"/>
    </row>
    <row r="295" spans="1:23" x14ac:dyDescent="0.2">
      <c r="A295" s="612">
        <v>43324</v>
      </c>
      <c r="B295" s="419" t="s">
        <v>53</v>
      </c>
      <c r="C295" s="408">
        <v>1237.73</v>
      </c>
      <c r="D295" s="347"/>
      <c r="E295" s="346">
        <v>1284.31</v>
      </c>
      <c r="F295" s="346">
        <v>1369.68</v>
      </c>
      <c r="G295" s="346">
        <v>1430.16</v>
      </c>
      <c r="H295" s="347"/>
      <c r="I295" s="347"/>
      <c r="J295" s="290"/>
      <c r="K295" s="431"/>
      <c r="L295" s="507"/>
      <c r="M295" s="256">
        <v>1252.24</v>
      </c>
      <c r="N295" s="462">
        <v>1264.33</v>
      </c>
      <c r="O295" s="442"/>
      <c r="P295" s="348"/>
      <c r="Q295" s="349"/>
      <c r="R295" s="346">
        <v>1336.11</v>
      </c>
      <c r="S295" s="346"/>
      <c r="T295" s="290"/>
      <c r="U295" s="348"/>
      <c r="V295" s="347"/>
      <c r="W295" s="346">
        <v>1022.27</v>
      </c>
    </row>
    <row r="296" spans="1:23" x14ac:dyDescent="0.2">
      <c r="A296" s="613"/>
      <c r="B296" s="415" t="s">
        <v>54</v>
      </c>
      <c r="C296" s="409">
        <v>1287</v>
      </c>
      <c r="D296" s="249"/>
      <c r="E296" s="250">
        <v>1404</v>
      </c>
      <c r="F296" s="250">
        <v>1495</v>
      </c>
      <c r="G296" s="250">
        <v>1716</v>
      </c>
      <c r="H296" s="249"/>
      <c r="I296" s="249"/>
      <c r="J296" s="330"/>
      <c r="K296" s="432"/>
      <c r="L296" s="508"/>
      <c r="M296" s="468">
        <v>1380</v>
      </c>
      <c r="N296" s="464">
        <v>1380</v>
      </c>
      <c r="O296" s="446"/>
      <c r="P296" s="331"/>
      <c r="Q296" s="332"/>
      <c r="R296" s="250">
        <v>1524</v>
      </c>
      <c r="S296" s="249"/>
      <c r="T296" s="330"/>
      <c r="U296" s="334"/>
      <c r="V296" s="469"/>
      <c r="W296" s="315"/>
    </row>
    <row r="297" spans="1:23" x14ac:dyDescent="0.2">
      <c r="A297" s="613"/>
      <c r="B297" s="415" t="s">
        <v>55</v>
      </c>
      <c r="C297" s="409">
        <v>1.19</v>
      </c>
      <c r="D297" s="249"/>
      <c r="E297" s="250">
        <v>1.3</v>
      </c>
      <c r="F297" s="250">
        <v>1.38</v>
      </c>
      <c r="G297" s="250">
        <v>1.59</v>
      </c>
      <c r="H297" s="249"/>
      <c r="I297" s="249"/>
      <c r="J297" s="330"/>
      <c r="K297" s="432"/>
      <c r="L297" s="508"/>
      <c r="M297" s="463">
        <v>1.38</v>
      </c>
      <c r="N297" s="464">
        <v>1.38</v>
      </c>
      <c r="O297" s="443"/>
      <c r="P297" s="334"/>
      <c r="Q297" s="335"/>
      <c r="R297" s="250">
        <v>1.53</v>
      </c>
      <c r="S297" s="469"/>
      <c r="T297" s="333"/>
      <c r="U297" s="334"/>
      <c r="V297" s="469"/>
      <c r="W297" s="315"/>
    </row>
    <row r="298" spans="1:23" x14ac:dyDescent="0.2">
      <c r="A298" s="613"/>
      <c r="B298" s="415" t="s">
        <v>56</v>
      </c>
      <c r="C298" s="410">
        <f>(C296-C295)/C296</f>
        <v>3.8282828282828266E-2</v>
      </c>
      <c r="D298" s="336"/>
      <c r="E298" s="336">
        <f>(E296-E295)/E296</f>
        <v>8.5249287749287792E-2</v>
      </c>
      <c r="F298" s="336">
        <f>(F296-F295)/F296</f>
        <v>8.3826086956521703E-2</v>
      </c>
      <c r="G298" s="336">
        <f>(G296-G295)/G296</f>
        <v>0.16657342657342653</v>
      </c>
      <c r="H298" s="336"/>
      <c r="I298" s="336"/>
      <c r="J298" s="338"/>
      <c r="K298" s="433"/>
      <c r="L298" s="279"/>
      <c r="M298" s="465">
        <f>(M296-M295)/M296</f>
        <v>9.2579710144927524E-2</v>
      </c>
      <c r="N298" s="466">
        <f>(N296-N295)/N296</f>
        <v>8.3818840579710202E-2</v>
      </c>
      <c r="O298" s="444"/>
      <c r="P298" s="340"/>
      <c r="Q298" s="341"/>
      <c r="R298" s="336">
        <f>(R296-R295)/R296</f>
        <v>0.12328740157480321</v>
      </c>
      <c r="S298" s="470"/>
      <c r="T298" s="339"/>
      <c r="U298" s="340"/>
      <c r="V298" s="470"/>
      <c r="W298" s="315"/>
    </row>
    <row r="299" spans="1:23" x14ac:dyDescent="0.2">
      <c r="A299" s="613"/>
      <c r="B299" s="415" t="s">
        <v>57</v>
      </c>
      <c r="C299" s="410">
        <f>(C296-C295)/C295</f>
        <v>3.9806742989181791E-2</v>
      </c>
      <c r="D299" s="336"/>
      <c r="E299" s="336">
        <f>(E296-E295)/E295</f>
        <v>9.3194010791787074E-2</v>
      </c>
      <c r="F299" s="336">
        <f>(F296-F295)/F295</f>
        <v>9.1495823842065255E-2</v>
      </c>
      <c r="G299" s="336">
        <f>(G296-G295)/G295</f>
        <v>0.19986574928679302</v>
      </c>
      <c r="H299" s="336"/>
      <c r="I299" s="336"/>
      <c r="J299" s="338"/>
      <c r="K299" s="433"/>
      <c r="L299" s="279"/>
      <c r="M299" s="465">
        <f>(M296-M295)/M295</f>
        <v>0.10202517089375837</v>
      </c>
      <c r="N299" s="466">
        <f>(N296-N295)/N295</f>
        <v>9.1487190844162583E-2</v>
      </c>
      <c r="O299" s="444"/>
      <c r="P299" s="340"/>
      <c r="Q299" s="341"/>
      <c r="R299" s="336">
        <f>(R296-R295)/R295</f>
        <v>0.14062464916810749</v>
      </c>
      <c r="S299" s="470"/>
      <c r="T299" s="339"/>
      <c r="U299" s="340"/>
      <c r="V299" s="470"/>
      <c r="W299" s="315"/>
    </row>
    <row r="300" spans="1:23" ht="13.3" thickBot="1" x14ac:dyDescent="0.25">
      <c r="A300" s="614"/>
      <c r="B300" s="418" t="s">
        <v>58</v>
      </c>
      <c r="C300" s="411">
        <f>C297/C291-1</f>
        <v>8.4745762711864181E-3</v>
      </c>
      <c r="D300" s="353"/>
      <c r="E300" s="353">
        <f>E297/E291-1</f>
        <v>7.7519379844961378E-3</v>
      </c>
      <c r="F300" s="353">
        <f>F297/F291-1</f>
        <v>7.2992700729925808E-3</v>
      </c>
      <c r="G300" s="353">
        <f>G297/G291-1</f>
        <v>6.3291139240506666E-3</v>
      </c>
      <c r="H300" s="353"/>
      <c r="I300" s="353"/>
      <c r="J300" s="355"/>
      <c r="K300" s="434"/>
      <c r="L300" s="509"/>
      <c r="M300" s="467">
        <f>M297/M291-1</f>
        <v>7.2992700729925808E-3</v>
      </c>
      <c r="N300" s="292">
        <f>N297/N291-1</f>
        <v>7.2992700729925808E-3</v>
      </c>
      <c r="O300" s="445"/>
      <c r="P300" s="357"/>
      <c r="Q300" s="358"/>
      <c r="R300" s="353">
        <f>R297/R291-1</f>
        <v>6.5789473684210176E-3</v>
      </c>
      <c r="S300" s="471"/>
      <c r="T300" s="356"/>
      <c r="U300" s="357"/>
      <c r="V300" s="471"/>
      <c r="W300" s="359"/>
    </row>
    <row r="301" spans="1:23" x14ac:dyDescent="0.2">
      <c r="A301" s="611">
        <v>43330</v>
      </c>
      <c r="B301" s="419" t="s">
        <v>53</v>
      </c>
      <c r="C301" s="408">
        <v>1250.24</v>
      </c>
      <c r="D301" s="347"/>
      <c r="E301" s="346">
        <v>1296.19</v>
      </c>
      <c r="F301" s="346">
        <v>1381.58</v>
      </c>
      <c r="G301" s="346">
        <v>1440.95</v>
      </c>
      <c r="H301" s="347"/>
      <c r="I301" s="347"/>
      <c r="J301" s="290"/>
      <c r="K301" s="431"/>
      <c r="L301" s="507"/>
      <c r="M301" s="256">
        <v>1263.1600000000001</v>
      </c>
      <c r="N301" s="462">
        <v>1275.3599999999999</v>
      </c>
      <c r="O301" s="442"/>
      <c r="P301" s="348"/>
      <c r="Q301" s="349"/>
      <c r="R301" s="346">
        <v>1346.66</v>
      </c>
      <c r="S301" s="346"/>
      <c r="T301" s="290"/>
      <c r="U301" s="348"/>
      <c r="V301" s="347"/>
      <c r="W301" s="346">
        <v>1029.4100000000001</v>
      </c>
    </row>
    <row r="302" spans="1:23" x14ac:dyDescent="0.2">
      <c r="A302" s="611"/>
      <c r="B302" s="415" t="s">
        <v>54</v>
      </c>
      <c r="C302" s="409">
        <v>1300</v>
      </c>
      <c r="D302" s="249"/>
      <c r="E302" s="250">
        <v>1417</v>
      </c>
      <c r="F302" s="250">
        <v>1508</v>
      </c>
      <c r="G302" s="250">
        <v>1729</v>
      </c>
      <c r="H302" s="249"/>
      <c r="I302" s="249"/>
      <c r="J302" s="330"/>
      <c r="K302" s="432"/>
      <c r="L302" s="508"/>
      <c r="M302" s="468">
        <v>1392</v>
      </c>
      <c r="N302" s="464">
        <v>1392</v>
      </c>
      <c r="O302" s="446"/>
      <c r="P302" s="331"/>
      <c r="Q302" s="332"/>
      <c r="R302" s="250">
        <v>1536</v>
      </c>
      <c r="S302" s="249"/>
      <c r="T302" s="330"/>
      <c r="U302" s="334"/>
      <c r="V302" s="469"/>
      <c r="W302" s="315"/>
    </row>
    <row r="303" spans="1:23" x14ac:dyDescent="0.2">
      <c r="A303" s="611"/>
      <c r="B303" s="415" t="s">
        <v>55</v>
      </c>
      <c r="C303" s="409">
        <v>1.2</v>
      </c>
      <c r="D303" s="249"/>
      <c r="E303" s="250">
        <v>1.31</v>
      </c>
      <c r="F303" s="250">
        <v>1.39</v>
      </c>
      <c r="G303" s="250">
        <v>1.6</v>
      </c>
      <c r="H303" s="249"/>
      <c r="I303" s="249"/>
      <c r="J303" s="330"/>
      <c r="K303" s="432"/>
      <c r="L303" s="508"/>
      <c r="M303" s="463">
        <v>1.39</v>
      </c>
      <c r="N303" s="464">
        <v>1.39</v>
      </c>
      <c r="O303" s="443"/>
      <c r="P303" s="334"/>
      <c r="Q303" s="335"/>
      <c r="R303" s="250">
        <v>1.54</v>
      </c>
      <c r="S303" s="469"/>
      <c r="T303" s="333"/>
      <c r="U303" s="334"/>
      <c r="V303" s="469"/>
      <c r="W303" s="315"/>
    </row>
    <row r="304" spans="1:23" x14ac:dyDescent="0.2">
      <c r="A304" s="611"/>
      <c r="B304" s="415" t="s">
        <v>56</v>
      </c>
      <c r="C304" s="410">
        <f>(C302-C301)/C302</f>
        <v>3.8276923076923069E-2</v>
      </c>
      <c r="D304" s="336"/>
      <c r="E304" s="336">
        <f>(E302-E301)/E302</f>
        <v>8.5257586450246961E-2</v>
      </c>
      <c r="F304" s="336">
        <f>(F302-F301)/F302</f>
        <v>8.3832891246684402E-2</v>
      </c>
      <c r="G304" s="336">
        <f>(G302-G301)/G302</f>
        <v>0.16659919028340078</v>
      </c>
      <c r="H304" s="336"/>
      <c r="I304" s="336"/>
      <c r="J304" s="338"/>
      <c r="K304" s="433"/>
      <c r="L304" s="279"/>
      <c r="M304" s="465">
        <f>(M302-M301)/M302</f>
        <v>9.2557471264367752E-2</v>
      </c>
      <c r="N304" s="466">
        <f>(N302-N301)/N302</f>
        <v>8.3793103448275938E-2</v>
      </c>
      <c r="O304" s="444"/>
      <c r="P304" s="340"/>
      <c r="Q304" s="341"/>
      <c r="R304" s="336">
        <f>(R302-R301)/R302</f>
        <v>0.12326822916666662</v>
      </c>
      <c r="S304" s="470"/>
      <c r="T304" s="339"/>
      <c r="U304" s="340"/>
      <c r="V304" s="470"/>
      <c r="W304" s="315"/>
    </row>
    <row r="305" spans="1:23" x14ac:dyDescent="0.2">
      <c r="A305" s="611"/>
      <c r="B305" s="415" t="s">
        <v>57</v>
      </c>
      <c r="C305" s="410">
        <f>(C302-C301)/C301</f>
        <v>3.9800358331200401E-2</v>
      </c>
      <c r="D305" s="336"/>
      <c r="E305" s="336">
        <f>(E302-E301)/E301</f>
        <v>9.3203928436417449E-2</v>
      </c>
      <c r="F305" s="336">
        <f>(F302-F301)/F301</f>
        <v>9.1503930282719845E-2</v>
      </c>
      <c r="G305" s="336">
        <f>(G302-G301)/G301</f>
        <v>0.19990284187515178</v>
      </c>
      <c r="H305" s="336"/>
      <c r="I305" s="336"/>
      <c r="J305" s="338"/>
      <c r="K305" s="433"/>
      <c r="L305" s="279"/>
      <c r="M305" s="465">
        <f>(M302-M301)/M301</f>
        <v>0.10199816333639437</v>
      </c>
      <c r="N305" s="466">
        <f>(N302-N301)/N301</f>
        <v>9.1456529920963578E-2</v>
      </c>
      <c r="O305" s="444"/>
      <c r="P305" s="340"/>
      <c r="Q305" s="341"/>
      <c r="R305" s="336">
        <f>(R302-R301)/R301</f>
        <v>0.14059970593913823</v>
      </c>
      <c r="S305" s="470"/>
      <c r="T305" s="339"/>
      <c r="U305" s="340"/>
      <c r="V305" s="470"/>
      <c r="W305" s="315"/>
    </row>
    <row r="306" spans="1:23" ht="13.3" thickBot="1" x14ac:dyDescent="0.25">
      <c r="A306" s="611"/>
      <c r="B306" s="418" t="s">
        <v>58</v>
      </c>
      <c r="C306" s="411">
        <f>C303/C297-1</f>
        <v>8.4033613445377853E-3</v>
      </c>
      <c r="D306" s="353"/>
      <c r="E306" s="353">
        <f>E303/E297-1</f>
        <v>7.692307692307665E-3</v>
      </c>
      <c r="F306" s="353">
        <f>F303/F297-1</f>
        <v>7.2463768115942351E-3</v>
      </c>
      <c r="G306" s="353">
        <f>G303/G297-1</f>
        <v>6.2893081761006275E-3</v>
      </c>
      <c r="H306" s="353"/>
      <c r="I306" s="353"/>
      <c r="J306" s="355"/>
      <c r="K306" s="434"/>
      <c r="L306" s="509"/>
      <c r="M306" s="467">
        <f>M303/M297-1</f>
        <v>7.2463768115942351E-3</v>
      </c>
      <c r="N306" s="292">
        <f>N303/N297-1</f>
        <v>7.2463768115942351E-3</v>
      </c>
      <c r="O306" s="445"/>
      <c r="P306" s="357"/>
      <c r="Q306" s="358"/>
      <c r="R306" s="353">
        <f>R303/R297-1</f>
        <v>6.5359477124182774E-3</v>
      </c>
      <c r="S306" s="471"/>
      <c r="T306" s="356"/>
      <c r="U306" s="357"/>
      <c r="V306" s="471"/>
      <c r="W306" s="359"/>
    </row>
    <row r="307" spans="1:23" x14ac:dyDescent="0.2">
      <c r="A307" s="611">
        <v>43338</v>
      </c>
      <c r="B307" s="419" t="s">
        <v>53</v>
      </c>
      <c r="C307" s="408">
        <v>1262.74</v>
      </c>
      <c r="D307" s="347"/>
      <c r="E307" s="346">
        <v>1308.0899999999999</v>
      </c>
      <c r="F307" s="346">
        <v>1393.49</v>
      </c>
      <c r="G307" s="346">
        <v>1451.79</v>
      </c>
      <c r="H307" s="347"/>
      <c r="I307" s="347"/>
      <c r="J307" s="290"/>
      <c r="K307" s="431"/>
      <c r="L307" s="507"/>
      <c r="M307" s="256">
        <v>1274.05</v>
      </c>
      <c r="N307" s="462">
        <v>1286.3499999999999</v>
      </c>
      <c r="O307" s="442"/>
      <c r="P307" s="348"/>
      <c r="Q307" s="349"/>
      <c r="R307" s="346">
        <v>1357.18</v>
      </c>
      <c r="S307" s="346"/>
      <c r="T307" s="290"/>
      <c r="U307" s="348"/>
      <c r="V307" s="347"/>
      <c r="W307" s="346">
        <v>1036.5999999999999</v>
      </c>
    </row>
    <row r="308" spans="1:23" x14ac:dyDescent="0.2">
      <c r="A308" s="611"/>
      <c r="B308" s="415" t="s">
        <v>54</v>
      </c>
      <c r="C308" s="409">
        <v>1313</v>
      </c>
      <c r="D308" s="249"/>
      <c r="E308" s="250">
        <v>1430</v>
      </c>
      <c r="F308" s="250">
        <v>1521</v>
      </c>
      <c r="G308" s="250">
        <v>1742</v>
      </c>
      <c r="H308" s="249"/>
      <c r="I308" s="249"/>
      <c r="J308" s="330"/>
      <c r="K308" s="432"/>
      <c r="L308" s="508"/>
      <c r="M308" s="468">
        <v>1404</v>
      </c>
      <c r="N308" s="464">
        <v>1404</v>
      </c>
      <c r="O308" s="446"/>
      <c r="P308" s="331"/>
      <c r="Q308" s="332"/>
      <c r="R308" s="250">
        <v>1548</v>
      </c>
      <c r="S308" s="249"/>
      <c r="T308" s="330"/>
      <c r="U308" s="334"/>
      <c r="V308" s="469"/>
      <c r="W308" s="315"/>
    </row>
    <row r="309" spans="1:23" x14ac:dyDescent="0.2">
      <c r="A309" s="611"/>
      <c r="B309" s="415" t="s">
        <v>55</v>
      </c>
      <c r="C309" s="409">
        <v>1.21</v>
      </c>
      <c r="D309" s="249"/>
      <c r="E309" s="250">
        <v>1.32</v>
      </c>
      <c r="F309" s="250">
        <v>1.4</v>
      </c>
      <c r="G309" s="250">
        <v>1.61</v>
      </c>
      <c r="H309" s="249"/>
      <c r="I309" s="249"/>
      <c r="J309" s="330"/>
      <c r="K309" s="432"/>
      <c r="L309" s="508"/>
      <c r="M309" s="463">
        <v>1.4</v>
      </c>
      <c r="N309" s="464">
        <v>1.4</v>
      </c>
      <c r="O309" s="443"/>
      <c r="P309" s="334"/>
      <c r="Q309" s="335"/>
      <c r="R309" s="250">
        <v>1.55</v>
      </c>
      <c r="S309" s="469"/>
      <c r="T309" s="333"/>
      <c r="U309" s="334"/>
      <c r="V309" s="469"/>
      <c r="W309" s="315"/>
    </row>
    <row r="310" spans="1:23" x14ac:dyDescent="0.2">
      <c r="A310" s="611"/>
      <c r="B310" s="415" t="s">
        <v>56</v>
      </c>
      <c r="C310" s="410">
        <f>(C308-C307)/C308</f>
        <v>3.827875095201827E-2</v>
      </c>
      <c r="D310" s="336"/>
      <c r="E310" s="336">
        <f>(E308-E307)/E308</f>
        <v>8.5251748251748305E-2</v>
      </c>
      <c r="F310" s="336">
        <f>(F308-F307)/F308</f>
        <v>8.3833004602235361E-2</v>
      </c>
      <c r="G310" s="336">
        <f>(G308-G307)/G308</f>
        <v>0.16659586681974745</v>
      </c>
      <c r="H310" s="336"/>
      <c r="I310" s="336"/>
      <c r="J310" s="338"/>
      <c r="K310" s="433"/>
      <c r="L310" s="279"/>
      <c r="M310" s="465">
        <f>(M308-M307)/M308</f>
        <v>9.2556980056980084E-2</v>
      </c>
      <c r="N310" s="466">
        <f>(N308-N307)/N308</f>
        <v>8.3796296296296355E-2</v>
      </c>
      <c r="O310" s="444"/>
      <c r="P310" s="340"/>
      <c r="Q310" s="341"/>
      <c r="R310" s="336">
        <f>(R308-R307)/R308</f>
        <v>0.12326873385012915</v>
      </c>
      <c r="S310" s="470"/>
      <c r="T310" s="339"/>
      <c r="U310" s="340"/>
      <c r="V310" s="470"/>
      <c r="W310" s="315"/>
    </row>
    <row r="311" spans="1:23" x14ac:dyDescent="0.2">
      <c r="A311" s="611"/>
      <c r="B311" s="415" t="s">
        <v>57</v>
      </c>
      <c r="C311" s="410">
        <f>(C308-C307)/C307</f>
        <v>3.9802334605698708E-2</v>
      </c>
      <c r="D311" s="336"/>
      <c r="E311" s="336">
        <f>(E308-E307)/E307</f>
        <v>9.3196951280110768E-2</v>
      </c>
      <c r="F311" s="336">
        <f>(F308-F307)/F307</f>
        <v>9.1504065332366921E-2</v>
      </c>
      <c r="G311" s="336">
        <f>(G308-G307)/G307</f>
        <v>0.19989805688150494</v>
      </c>
      <c r="H311" s="336"/>
      <c r="I311" s="336"/>
      <c r="J311" s="338"/>
      <c r="K311" s="433"/>
      <c r="L311" s="279"/>
      <c r="M311" s="465">
        <f>(M308-M307)/M307</f>
        <v>0.10199756681448927</v>
      </c>
      <c r="N311" s="466">
        <f>(N308-N307)/N307</f>
        <v>9.1460333501768645E-2</v>
      </c>
      <c r="O311" s="444"/>
      <c r="P311" s="340"/>
      <c r="Q311" s="341"/>
      <c r="R311" s="336">
        <f>(R308-R307)/R307</f>
        <v>0.14060036251639424</v>
      </c>
      <c r="S311" s="470"/>
      <c r="T311" s="339"/>
      <c r="U311" s="340"/>
      <c r="V311" s="470"/>
      <c r="W311" s="315"/>
    </row>
    <row r="312" spans="1:23" ht="13.3" thickBot="1" x14ac:dyDescent="0.25">
      <c r="A312" s="611"/>
      <c r="B312" s="418" t="s">
        <v>58</v>
      </c>
      <c r="C312" s="411">
        <f>C309/C303-1</f>
        <v>8.3333333333333037E-3</v>
      </c>
      <c r="D312" s="353"/>
      <c r="E312" s="353">
        <f>E309/E303-1</f>
        <v>7.6335877862594437E-3</v>
      </c>
      <c r="F312" s="353">
        <f>F309/F303-1</f>
        <v>7.194244604316502E-3</v>
      </c>
      <c r="G312" s="353">
        <f>G309/G303-1</f>
        <v>6.2500000000000888E-3</v>
      </c>
      <c r="H312" s="353"/>
      <c r="I312" s="353"/>
      <c r="J312" s="355"/>
      <c r="K312" s="434"/>
      <c r="L312" s="509"/>
      <c r="M312" s="467">
        <f>M309/M303-1</f>
        <v>7.194244604316502E-3</v>
      </c>
      <c r="N312" s="292">
        <f>N309/N303-1</f>
        <v>7.194244604316502E-3</v>
      </c>
      <c r="O312" s="445"/>
      <c r="P312" s="357"/>
      <c r="Q312" s="358"/>
      <c r="R312" s="353">
        <f>R309/R303-1</f>
        <v>6.4935064935065512E-3</v>
      </c>
      <c r="S312" s="471"/>
      <c r="T312" s="356"/>
      <c r="U312" s="357"/>
      <c r="V312" s="471"/>
      <c r="W312" s="359"/>
    </row>
    <row r="313" spans="1:23" x14ac:dyDescent="0.2">
      <c r="A313" s="611">
        <v>43345</v>
      </c>
      <c r="B313" s="419" t="s">
        <v>53</v>
      </c>
      <c r="C313" s="408">
        <v>1275.27</v>
      </c>
      <c r="D313" s="347"/>
      <c r="E313" s="346">
        <v>1320.01</v>
      </c>
      <c r="F313" s="346">
        <v>1403.16</v>
      </c>
      <c r="G313" s="346">
        <v>1462.6</v>
      </c>
      <c r="H313" s="347"/>
      <c r="I313" s="347"/>
      <c r="J313" s="290"/>
      <c r="K313" s="431"/>
      <c r="L313" s="507"/>
      <c r="M313" s="256">
        <v>1282.8800000000001</v>
      </c>
      <c r="N313" s="462">
        <v>1295.26</v>
      </c>
      <c r="O313" s="442"/>
      <c r="P313" s="348"/>
      <c r="Q313" s="349"/>
      <c r="R313" s="346">
        <v>1367.7</v>
      </c>
      <c r="S313" s="346"/>
      <c r="T313" s="290"/>
      <c r="U313" s="348"/>
      <c r="V313" s="347"/>
      <c r="W313" s="346">
        <v>1043.74</v>
      </c>
    </row>
    <row r="314" spans="1:23" x14ac:dyDescent="0.2">
      <c r="A314" s="611"/>
      <c r="B314" s="415" t="s">
        <v>54</v>
      </c>
      <c r="C314" s="409">
        <v>1326</v>
      </c>
      <c r="D314" s="249"/>
      <c r="E314" s="250">
        <v>1443</v>
      </c>
      <c r="F314" s="250">
        <v>1530</v>
      </c>
      <c r="G314" s="250">
        <v>1755</v>
      </c>
      <c r="H314" s="249"/>
      <c r="I314" s="249"/>
      <c r="J314" s="330"/>
      <c r="K314" s="432"/>
      <c r="L314" s="508"/>
      <c r="M314" s="463">
        <v>1412</v>
      </c>
      <c r="N314" s="464">
        <v>1412</v>
      </c>
      <c r="O314" s="446"/>
      <c r="P314" s="331"/>
      <c r="Q314" s="332"/>
      <c r="R314" s="250">
        <v>1560</v>
      </c>
      <c r="S314" s="496"/>
      <c r="T314" s="330"/>
      <c r="U314" s="334"/>
      <c r="V314" s="469"/>
      <c r="W314" s="315"/>
    </row>
    <row r="315" spans="1:23" x14ac:dyDescent="0.2">
      <c r="A315" s="611"/>
      <c r="B315" s="415" t="s">
        <v>55</v>
      </c>
      <c r="C315" s="409">
        <v>1.22</v>
      </c>
      <c r="D315" s="249"/>
      <c r="E315" s="250">
        <v>1.33</v>
      </c>
      <c r="F315" s="250">
        <v>1.41</v>
      </c>
      <c r="G315" s="250">
        <v>1.62</v>
      </c>
      <c r="H315" s="249"/>
      <c r="I315" s="249"/>
      <c r="J315" s="330"/>
      <c r="K315" s="432"/>
      <c r="L315" s="508"/>
      <c r="M315" s="463">
        <v>1.41</v>
      </c>
      <c r="N315" s="464">
        <v>1.41</v>
      </c>
      <c r="O315" s="443"/>
      <c r="P315" s="334"/>
      <c r="Q315" s="335"/>
      <c r="R315" s="250">
        <v>1.56</v>
      </c>
      <c r="S315" s="469"/>
      <c r="T315" s="333"/>
      <c r="U315" s="334"/>
      <c r="V315" s="497"/>
      <c r="W315" s="315"/>
    </row>
    <row r="316" spans="1:23" x14ac:dyDescent="0.2">
      <c r="A316" s="611"/>
      <c r="B316" s="415" t="s">
        <v>56</v>
      </c>
      <c r="C316" s="410">
        <f>(C314-C313)/C314</f>
        <v>3.825791855203621E-2</v>
      </c>
      <c r="D316" s="336"/>
      <c r="E316" s="336">
        <f>(E314-E313)/E314</f>
        <v>8.5232155232155243E-2</v>
      </c>
      <c r="F316" s="336">
        <f>(F314-F313)/F314</f>
        <v>8.2901960784313666E-2</v>
      </c>
      <c r="G316" s="336">
        <f>(G314-G313)/G314</f>
        <v>0.16660968660968667</v>
      </c>
      <c r="H316" s="336"/>
      <c r="I316" s="336"/>
      <c r="J316" s="338"/>
      <c r="K316" s="433"/>
      <c r="L316" s="279"/>
      <c r="M316" s="465">
        <f>(M314-M313)/M314</f>
        <v>9.1444759206798787E-2</v>
      </c>
      <c r="N316" s="466">
        <f>(N314-N313)/N314</f>
        <v>8.2677053824362606E-2</v>
      </c>
      <c r="O316" s="444"/>
      <c r="P316" s="340"/>
      <c r="Q316" s="341"/>
      <c r="R316" s="336">
        <f>(R314-R313)/R314</f>
        <v>0.12326923076923074</v>
      </c>
      <c r="S316" s="470"/>
      <c r="T316" s="339"/>
      <c r="U316" s="340"/>
      <c r="V316" s="470"/>
      <c r="W316" s="315"/>
    </row>
    <row r="317" spans="1:23" x14ac:dyDescent="0.2">
      <c r="A317" s="611"/>
      <c r="B317" s="415" t="s">
        <v>57</v>
      </c>
      <c r="C317" s="410">
        <f>(C314-C313)/C313</f>
        <v>3.977981133407045E-2</v>
      </c>
      <c r="D317" s="336"/>
      <c r="E317" s="336">
        <f>(E314-E313)/E313</f>
        <v>9.3173536564116949E-2</v>
      </c>
      <c r="F317" s="336">
        <f>(F314-F313)/F313</f>
        <v>9.0395963396904061E-2</v>
      </c>
      <c r="G317" s="336">
        <f>(G314-G313)/G313</f>
        <v>0.19991795432790926</v>
      </c>
      <c r="H317" s="336"/>
      <c r="I317" s="336"/>
      <c r="J317" s="338"/>
      <c r="K317" s="433"/>
      <c r="L317" s="279"/>
      <c r="M317" s="465">
        <f>(M314-M313)/M313</f>
        <v>0.10064854078323762</v>
      </c>
      <c r="N317" s="466">
        <f>(N314-N313)/N313</f>
        <v>9.0128622824761057E-2</v>
      </c>
      <c r="O317" s="444"/>
      <c r="P317" s="340"/>
      <c r="Q317" s="341"/>
      <c r="R317" s="336">
        <f>(R314-R313)/R313</f>
        <v>0.14060100899320022</v>
      </c>
      <c r="S317" s="470"/>
      <c r="T317" s="339"/>
      <c r="U317" s="340"/>
      <c r="V317" s="470"/>
      <c r="W317" s="315"/>
    </row>
    <row r="318" spans="1:23" ht="13.3" thickBot="1" x14ac:dyDescent="0.25">
      <c r="A318" s="611"/>
      <c r="B318" s="418" t="s">
        <v>58</v>
      </c>
      <c r="C318" s="411">
        <f>C315/C309-1</f>
        <v>8.2644628099173278E-3</v>
      </c>
      <c r="D318" s="353"/>
      <c r="E318" s="353">
        <f>E315/E309-1</f>
        <v>7.575757575757569E-3</v>
      </c>
      <c r="F318" s="353">
        <f>F315/F309-1</f>
        <v>7.1428571428571175E-3</v>
      </c>
      <c r="G318" s="353">
        <f>G315/G309-1</f>
        <v>6.2111801242235032E-3</v>
      </c>
      <c r="H318" s="353"/>
      <c r="I318" s="353"/>
      <c r="J318" s="355"/>
      <c r="K318" s="434"/>
      <c r="L318" s="509"/>
      <c r="M318" s="467">
        <f>M315/M309-1</f>
        <v>7.1428571428571175E-3</v>
      </c>
      <c r="N318" s="292">
        <f>N315/N309-1</f>
        <v>7.1428571428571175E-3</v>
      </c>
      <c r="O318" s="445"/>
      <c r="P318" s="357"/>
      <c r="Q318" s="358"/>
      <c r="R318" s="353">
        <f>R315/R309-1</f>
        <v>6.4516129032257119E-3</v>
      </c>
      <c r="S318" s="471"/>
      <c r="T318" s="356"/>
      <c r="U318" s="357"/>
      <c r="V318" s="471"/>
      <c r="W318" s="359"/>
    </row>
    <row r="319" spans="1:23" x14ac:dyDescent="0.2">
      <c r="A319" s="611">
        <v>43352</v>
      </c>
      <c r="B319" s="419" t="s">
        <v>53</v>
      </c>
      <c r="C319" s="408">
        <v>1275.27</v>
      </c>
      <c r="D319" s="347"/>
      <c r="E319" s="346">
        <v>1329.7</v>
      </c>
      <c r="F319" s="346">
        <v>1412.89</v>
      </c>
      <c r="G319" s="346">
        <v>1471.44</v>
      </c>
      <c r="H319" s="347"/>
      <c r="I319" s="347"/>
      <c r="J319" s="290"/>
      <c r="K319" s="431"/>
      <c r="L319" s="507"/>
      <c r="M319" s="256">
        <v>1291.76</v>
      </c>
      <c r="N319" s="462">
        <v>1304.23</v>
      </c>
      <c r="O319" s="442"/>
      <c r="P319" s="348"/>
      <c r="Q319" s="349"/>
      <c r="R319" s="346">
        <v>1376.27</v>
      </c>
      <c r="S319" s="346"/>
      <c r="T319" s="290"/>
      <c r="U319" s="348"/>
      <c r="V319" s="347"/>
      <c r="W319" s="346">
        <v>1050.93</v>
      </c>
    </row>
    <row r="320" spans="1:23" x14ac:dyDescent="0.2">
      <c r="A320" s="611"/>
      <c r="B320" s="415" t="s">
        <v>54</v>
      </c>
      <c r="C320" s="409">
        <v>1326</v>
      </c>
      <c r="D320" s="249"/>
      <c r="E320" s="250">
        <v>1456</v>
      </c>
      <c r="F320" s="250">
        <v>1534</v>
      </c>
      <c r="G320" s="250">
        <v>1768</v>
      </c>
      <c r="H320" s="249"/>
      <c r="I320" s="249"/>
      <c r="J320" s="330"/>
      <c r="K320" s="432"/>
      <c r="L320" s="508"/>
      <c r="M320" s="463">
        <v>1416</v>
      </c>
      <c r="N320" s="464">
        <v>1416</v>
      </c>
      <c r="O320" s="446"/>
      <c r="P320" s="331"/>
      <c r="Q320" s="332"/>
      <c r="R320" s="250">
        <v>1572</v>
      </c>
      <c r="S320" s="496"/>
      <c r="T320" s="330"/>
      <c r="U320" s="334"/>
      <c r="V320" s="469"/>
      <c r="W320" s="315"/>
    </row>
    <row r="321" spans="1:23" x14ac:dyDescent="0.2">
      <c r="A321" s="611"/>
      <c r="B321" s="415" t="s">
        <v>55</v>
      </c>
      <c r="C321" s="409">
        <v>1.23</v>
      </c>
      <c r="D321" s="249"/>
      <c r="E321" s="250">
        <v>1.34</v>
      </c>
      <c r="F321" s="250">
        <v>1.42</v>
      </c>
      <c r="G321" s="250">
        <v>1.63</v>
      </c>
      <c r="H321" s="249"/>
      <c r="I321" s="249"/>
      <c r="J321" s="330"/>
      <c r="K321" s="432"/>
      <c r="L321" s="508"/>
      <c r="M321" s="463">
        <v>1.42</v>
      </c>
      <c r="N321" s="464">
        <v>1.42</v>
      </c>
      <c r="O321" s="443"/>
      <c r="P321" s="334"/>
      <c r="Q321" s="335"/>
      <c r="R321" s="250">
        <v>1.57</v>
      </c>
      <c r="S321" s="469"/>
      <c r="T321" s="333"/>
      <c r="U321" s="334"/>
      <c r="V321" s="497"/>
      <c r="W321" s="315"/>
    </row>
    <row r="322" spans="1:23" x14ac:dyDescent="0.2">
      <c r="A322" s="611"/>
      <c r="B322" s="415" t="s">
        <v>56</v>
      </c>
      <c r="C322" s="410">
        <f>(C320-C319)/C320</f>
        <v>3.825791855203621E-2</v>
      </c>
      <c r="D322" s="336"/>
      <c r="E322" s="336">
        <f>(E320-E319)/E320</f>
        <v>8.6744505494505464E-2</v>
      </c>
      <c r="F322" s="336">
        <f>(F320-F319)/F320</f>
        <v>7.8950456323337609E-2</v>
      </c>
      <c r="G322" s="336">
        <f>(G320-G319)/G320</f>
        <v>0.16773755656108594</v>
      </c>
      <c r="H322" s="336"/>
      <c r="I322" s="336"/>
      <c r="J322" s="338"/>
      <c r="K322" s="433"/>
      <c r="L322" s="279"/>
      <c r="M322" s="465">
        <f>(M320-M319)/M320</f>
        <v>8.7740112994350292E-2</v>
      </c>
      <c r="N322" s="466">
        <f>(N320-N319)/N320</f>
        <v>7.8933615819209033E-2</v>
      </c>
      <c r="O322" s="444"/>
      <c r="P322" s="340"/>
      <c r="Q322" s="341"/>
      <c r="R322" s="336">
        <f>(R320-R319)/R320</f>
        <v>0.12451017811704836</v>
      </c>
      <c r="S322" s="470"/>
      <c r="T322" s="339"/>
      <c r="U322" s="340"/>
      <c r="V322" s="470"/>
      <c r="W322" s="315"/>
    </row>
    <row r="323" spans="1:23" x14ac:dyDescent="0.2">
      <c r="A323" s="611"/>
      <c r="B323" s="415" t="s">
        <v>57</v>
      </c>
      <c r="C323" s="410">
        <f>(C320-C319)/C319</f>
        <v>3.977981133407045E-2</v>
      </c>
      <c r="D323" s="336"/>
      <c r="E323" s="336">
        <f>(E320-E319)/E319</f>
        <v>9.498383093930958E-2</v>
      </c>
      <c r="F323" s="336">
        <f>(F320-F319)/F319</f>
        <v>8.5717925670080394E-2</v>
      </c>
      <c r="G323" s="336">
        <f>(G320-G319)/G319</f>
        <v>0.20154406567715974</v>
      </c>
      <c r="H323" s="336"/>
      <c r="I323" s="336"/>
      <c r="J323" s="338"/>
      <c r="K323" s="433"/>
      <c r="L323" s="279"/>
      <c r="M323" s="465">
        <f>(M320-M319)/M319</f>
        <v>9.6178856753576528E-2</v>
      </c>
      <c r="N323" s="466">
        <f>(N320-N319)/N319</f>
        <v>8.5698074726083581E-2</v>
      </c>
      <c r="O323" s="444"/>
      <c r="P323" s="340"/>
      <c r="Q323" s="341"/>
      <c r="R323" s="336">
        <f>(R320-R319)/R319</f>
        <v>0.14221773343893279</v>
      </c>
      <c r="S323" s="470"/>
      <c r="T323" s="339"/>
      <c r="U323" s="340"/>
      <c r="V323" s="470"/>
      <c r="W323" s="315"/>
    </row>
    <row r="324" spans="1:23" ht="13.3" thickBot="1" x14ac:dyDescent="0.25">
      <c r="A324" s="611"/>
      <c r="B324" s="418" t="s">
        <v>58</v>
      </c>
      <c r="C324" s="411">
        <f>C321/C315-1</f>
        <v>8.1967213114753079E-3</v>
      </c>
      <c r="D324" s="353"/>
      <c r="E324" s="353">
        <f>E321/E315-1</f>
        <v>7.5187969924812581E-3</v>
      </c>
      <c r="F324" s="353">
        <f>F321/F315-1</f>
        <v>7.0921985815601829E-3</v>
      </c>
      <c r="G324" s="353">
        <f>G321/G315-1</f>
        <v>6.1728395061726449E-3</v>
      </c>
      <c r="H324" s="353"/>
      <c r="I324" s="353"/>
      <c r="J324" s="355"/>
      <c r="K324" s="434"/>
      <c r="L324" s="509"/>
      <c r="M324" s="467">
        <f>M321/M315-1</f>
        <v>7.0921985815601829E-3</v>
      </c>
      <c r="N324" s="292">
        <f>N321/N315-1</f>
        <v>7.0921985815601829E-3</v>
      </c>
      <c r="O324" s="445"/>
      <c r="P324" s="357"/>
      <c r="Q324" s="358"/>
      <c r="R324" s="353">
        <f>R321/R315-1</f>
        <v>6.4102564102563875E-3</v>
      </c>
      <c r="S324" s="471"/>
      <c r="T324" s="356"/>
      <c r="U324" s="357"/>
      <c r="V324" s="471"/>
      <c r="W324" s="359"/>
    </row>
    <row r="325" spans="1:23" x14ac:dyDescent="0.2">
      <c r="A325" s="611">
        <v>43359</v>
      </c>
      <c r="B325" s="419" t="s">
        <v>53</v>
      </c>
      <c r="C325" s="408">
        <v>1285.3900000000001</v>
      </c>
      <c r="D325" s="347"/>
      <c r="E325" s="346">
        <v>1339.39</v>
      </c>
      <c r="F325" s="346">
        <v>1422.62</v>
      </c>
      <c r="G325" s="346">
        <v>1480.28</v>
      </c>
      <c r="H325" s="347"/>
      <c r="I325" s="347"/>
      <c r="J325" s="290"/>
      <c r="K325" s="431"/>
      <c r="L325" s="507"/>
      <c r="M325" s="256">
        <v>1300.6400000000001</v>
      </c>
      <c r="N325" s="462">
        <v>1313.2</v>
      </c>
      <c r="O325" s="442"/>
      <c r="P325" s="348"/>
      <c r="Q325" s="349"/>
      <c r="R325" s="346">
        <v>1384.84</v>
      </c>
      <c r="S325" s="346"/>
      <c r="T325" s="290"/>
      <c r="U325" s="348"/>
      <c r="V325" s="347"/>
      <c r="W325" s="346">
        <v>1058.07</v>
      </c>
    </row>
    <row r="326" spans="1:23" x14ac:dyDescent="0.2">
      <c r="A326" s="611"/>
      <c r="B326" s="415" t="s">
        <v>54</v>
      </c>
      <c r="C326" s="409">
        <v>1339</v>
      </c>
      <c r="D326" s="249"/>
      <c r="E326" s="250">
        <f>1456+13</f>
        <v>1469</v>
      </c>
      <c r="F326" s="250">
        <v>1547</v>
      </c>
      <c r="G326" s="250">
        <v>1781</v>
      </c>
      <c r="H326" s="249"/>
      <c r="I326" s="249"/>
      <c r="J326" s="330"/>
      <c r="K326" s="432"/>
      <c r="L326" s="508"/>
      <c r="M326" s="463">
        <v>1428</v>
      </c>
      <c r="N326" s="464">
        <v>1428</v>
      </c>
      <c r="O326" s="446"/>
      <c r="P326" s="331"/>
      <c r="Q326" s="332"/>
      <c r="R326" s="250">
        <v>1584</v>
      </c>
      <c r="S326" s="496"/>
      <c r="T326" s="330"/>
      <c r="U326" s="334"/>
      <c r="V326" s="469"/>
      <c r="W326" s="315"/>
    </row>
    <row r="327" spans="1:23" x14ac:dyDescent="0.2">
      <c r="A327" s="611"/>
      <c r="B327" s="415" t="s">
        <v>55</v>
      </c>
      <c r="C327" s="409">
        <v>1.24</v>
      </c>
      <c r="D327" s="249"/>
      <c r="E327" s="250">
        <v>1.35</v>
      </c>
      <c r="F327" s="250">
        <v>1.43</v>
      </c>
      <c r="G327" s="250">
        <v>1.64</v>
      </c>
      <c r="H327" s="249"/>
      <c r="I327" s="249"/>
      <c r="J327" s="330"/>
      <c r="K327" s="432"/>
      <c r="L327" s="508"/>
      <c r="M327" s="463">
        <v>1.43</v>
      </c>
      <c r="N327" s="464">
        <v>1.43</v>
      </c>
      <c r="O327" s="443"/>
      <c r="P327" s="334"/>
      <c r="Q327" s="335"/>
      <c r="R327" s="250">
        <v>1.58</v>
      </c>
      <c r="S327" s="469"/>
      <c r="T327" s="333"/>
      <c r="U327" s="334"/>
      <c r="V327" s="497"/>
      <c r="W327" s="315"/>
    </row>
    <row r="328" spans="1:23" x14ac:dyDescent="0.2">
      <c r="A328" s="611"/>
      <c r="B328" s="415" t="s">
        <v>56</v>
      </c>
      <c r="C328" s="410">
        <f>(C326-C325)/C326</f>
        <v>4.0037341299477149E-2</v>
      </c>
      <c r="D328" s="336"/>
      <c r="E328" s="336">
        <f>(E326-E325)/E326</f>
        <v>8.8230088495575149E-2</v>
      </c>
      <c r="F328" s="336">
        <f>(F326-F325)/F326</f>
        <v>8.0400775694893414E-2</v>
      </c>
      <c r="G328" s="336">
        <f>(G326-G325)/G326</f>
        <v>0.16884896125772039</v>
      </c>
      <c r="H328" s="336"/>
      <c r="I328" s="336"/>
      <c r="J328" s="338"/>
      <c r="K328" s="433"/>
      <c r="L328" s="279"/>
      <c r="M328" s="465">
        <f>(M326-M325)/M326</f>
        <v>8.9187675070027936E-2</v>
      </c>
      <c r="N328" s="466">
        <f>(N326-N325)/N326</f>
        <v>8.0392156862745062E-2</v>
      </c>
      <c r="O328" s="444"/>
      <c r="P328" s="340"/>
      <c r="Q328" s="341"/>
      <c r="R328" s="336">
        <f>(R326-R325)/R326</f>
        <v>0.12573232323232328</v>
      </c>
      <c r="S328" s="470"/>
      <c r="T328" s="339"/>
      <c r="U328" s="340"/>
      <c r="V328" s="470"/>
      <c r="W328" s="315"/>
    </row>
    <row r="329" spans="1:23" x14ac:dyDescent="0.2">
      <c r="A329" s="611"/>
      <c r="B329" s="415" t="s">
        <v>57</v>
      </c>
      <c r="C329" s="410">
        <f>(C326-C325)/C325</f>
        <v>4.1707186145838925E-2</v>
      </c>
      <c r="D329" s="336"/>
      <c r="E329" s="336">
        <f>(E326-E325)/E325</f>
        <v>9.6767931670387178E-2</v>
      </c>
      <c r="F329" s="336">
        <f>(F326-F325)/F325</f>
        <v>8.7430234356328546E-2</v>
      </c>
      <c r="G329" s="336">
        <f>(G326-G325)/G325</f>
        <v>0.20315075526251791</v>
      </c>
      <c r="H329" s="336"/>
      <c r="I329" s="336"/>
      <c r="J329" s="338"/>
      <c r="K329" s="433"/>
      <c r="L329" s="279"/>
      <c r="M329" s="465">
        <f>(M326-M325)/M325</f>
        <v>9.7921023496124901E-2</v>
      </c>
      <c r="N329" s="466">
        <f>(N326-N325)/N325</f>
        <v>8.742004264392321E-2</v>
      </c>
      <c r="O329" s="444"/>
      <c r="P329" s="340"/>
      <c r="Q329" s="341"/>
      <c r="R329" s="336">
        <f>(R326-R325)/R325</f>
        <v>0.14381444787845535</v>
      </c>
      <c r="S329" s="470"/>
      <c r="T329" s="339"/>
      <c r="U329" s="340"/>
      <c r="V329" s="470"/>
      <c r="W329" s="315"/>
    </row>
    <row r="330" spans="1:23" ht="13.3" thickBot="1" x14ac:dyDescent="0.25">
      <c r="A330" s="611"/>
      <c r="B330" s="418" t="s">
        <v>58</v>
      </c>
      <c r="C330" s="411">
        <f>C327/C321-1</f>
        <v>8.1300813008129413E-3</v>
      </c>
      <c r="D330" s="353"/>
      <c r="E330" s="353">
        <f>E327/E321-1</f>
        <v>7.4626865671640896E-3</v>
      </c>
      <c r="F330" s="353">
        <f>F327/F321-1</f>
        <v>7.0422535211267512E-3</v>
      </c>
      <c r="G330" s="353">
        <f>G327/G321-1</f>
        <v>6.1349693251533388E-3</v>
      </c>
      <c r="H330" s="353"/>
      <c r="I330" s="353"/>
      <c r="J330" s="355"/>
      <c r="K330" s="434"/>
      <c r="L330" s="509"/>
      <c r="M330" s="467">
        <f>M327/M321-1</f>
        <v>7.0422535211267512E-3</v>
      </c>
      <c r="N330" s="292">
        <f>N327/N321-1</f>
        <v>7.0422535211267512E-3</v>
      </c>
      <c r="O330" s="445"/>
      <c r="P330" s="357"/>
      <c r="Q330" s="358"/>
      <c r="R330" s="353">
        <f>R327/R321-1</f>
        <v>6.3694267515923553E-3</v>
      </c>
      <c r="S330" s="471"/>
      <c r="T330" s="356"/>
      <c r="U330" s="357"/>
      <c r="V330" s="471"/>
      <c r="W330" s="359"/>
    </row>
    <row r="331" spans="1:23" x14ac:dyDescent="0.2">
      <c r="A331" s="611">
        <v>43366</v>
      </c>
      <c r="B331" s="419" t="s">
        <v>53</v>
      </c>
      <c r="C331" s="408">
        <v>1295.51</v>
      </c>
      <c r="D331" s="347"/>
      <c r="E331" s="346">
        <v>1349.08</v>
      </c>
      <c r="F331" s="346">
        <v>1432.35</v>
      </c>
      <c r="G331" s="346">
        <v>1489.12</v>
      </c>
      <c r="H331" s="347"/>
      <c r="I331" s="347"/>
      <c r="J331" s="290"/>
      <c r="K331" s="431"/>
      <c r="L331" s="507"/>
      <c r="M331" s="256">
        <v>1309.52</v>
      </c>
      <c r="N331" s="462">
        <v>1322.17</v>
      </c>
      <c r="O331" s="442"/>
      <c r="P331" s="348"/>
      <c r="Q331" s="349"/>
      <c r="R331" s="346">
        <v>1393.41</v>
      </c>
      <c r="S331" s="346"/>
      <c r="T331" s="290"/>
      <c r="U331" s="348"/>
      <c r="V331" s="347"/>
      <c r="W331" s="346">
        <v>1065.26</v>
      </c>
    </row>
    <row r="332" spans="1:23" x14ac:dyDescent="0.2">
      <c r="A332" s="611"/>
      <c r="B332" s="415" t="s">
        <v>54</v>
      </c>
      <c r="C332" s="409">
        <v>1352</v>
      </c>
      <c r="D332" s="249"/>
      <c r="E332" s="250">
        <f>1469+13</f>
        <v>1482</v>
      </c>
      <c r="F332" s="250">
        <v>1560</v>
      </c>
      <c r="G332" s="250">
        <f>1781+13</f>
        <v>1794</v>
      </c>
      <c r="H332" s="249"/>
      <c r="I332" s="249"/>
      <c r="J332" s="330"/>
      <c r="K332" s="432"/>
      <c r="L332" s="508"/>
      <c r="M332" s="463">
        <v>1440</v>
      </c>
      <c r="N332" s="464">
        <v>1440</v>
      </c>
      <c r="O332" s="446"/>
      <c r="P332" s="331"/>
      <c r="Q332" s="332"/>
      <c r="R332" s="250">
        <f>1584+12</f>
        <v>1596</v>
      </c>
      <c r="S332" s="496"/>
      <c r="T332" s="330"/>
      <c r="U332" s="334"/>
      <c r="V332" s="469"/>
      <c r="W332" s="315"/>
    </row>
    <row r="333" spans="1:23" x14ac:dyDescent="0.2">
      <c r="A333" s="611"/>
      <c r="B333" s="415" t="s">
        <v>55</v>
      </c>
      <c r="C333" s="409">
        <v>1.25</v>
      </c>
      <c r="D333" s="249"/>
      <c r="E333" s="250">
        <v>1.36</v>
      </c>
      <c r="F333" s="250">
        <v>1.44</v>
      </c>
      <c r="G333" s="250">
        <v>1.65</v>
      </c>
      <c r="H333" s="249"/>
      <c r="I333" s="249"/>
      <c r="J333" s="330"/>
      <c r="K333" s="432"/>
      <c r="L333" s="508"/>
      <c r="M333" s="463">
        <v>1.44</v>
      </c>
      <c r="N333" s="464">
        <v>1.44</v>
      </c>
      <c r="O333" s="443"/>
      <c r="P333" s="334"/>
      <c r="Q333" s="335"/>
      <c r="R333" s="250">
        <v>1.59</v>
      </c>
      <c r="S333" s="469"/>
      <c r="T333" s="333"/>
      <c r="U333" s="334"/>
      <c r="V333" s="497"/>
      <c r="W333" s="315"/>
    </row>
    <row r="334" spans="1:23" x14ac:dyDescent="0.2">
      <c r="A334" s="611"/>
      <c r="B334" s="415" t="s">
        <v>56</v>
      </c>
      <c r="C334" s="410">
        <f>(C332-C331)/C332</f>
        <v>4.178254437869823E-2</v>
      </c>
      <c r="D334" s="336"/>
      <c r="E334" s="336">
        <f>(E332-E331)/E332</f>
        <v>8.9689608636977114E-2</v>
      </c>
      <c r="F334" s="336">
        <f>(F332-F331)/F332</f>
        <v>8.182692307692313E-2</v>
      </c>
      <c r="G334" s="336">
        <f>(G332-G331)/G332</f>
        <v>0.16994425863991086</v>
      </c>
      <c r="H334" s="336"/>
      <c r="I334" s="336"/>
      <c r="J334" s="338"/>
      <c r="K334" s="433"/>
      <c r="L334" s="279"/>
      <c r="M334" s="465">
        <f>(M332-M331)/M332</f>
        <v>9.0611111111111128E-2</v>
      </c>
      <c r="N334" s="466">
        <f>(N332-N331)/N332</f>
        <v>8.1826388888888837E-2</v>
      </c>
      <c r="O334" s="444"/>
      <c r="P334" s="340"/>
      <c r="Q334" s="341"/>
      <c r="R334" s="336">
        <f>(R332-R331)/R332</f>
        <v>0.12693609022556385</v>
      </c>
      <c r="S334" s="470"/>
      <c r="T334" s="339"/>
      <c r="U334" s="340"/>
      <c r="V334" s="470"/>
      <c r="W334" s="315"/>
    </row>
    <row r="335" spans="1:23" x14ac:dyDescent="0.2">
      <c r="A335" s="611"/>
      <c r="B335" s="415" t="s">
        <v>57</v>
      </c>
      <c r="C335" s="410">
        <f>(C332-C331)/C331</f>
        <v>4.360444921305124E-2</v>
      </c>
      <c r="D335" s="336"/>
      <c r="E335" s="336">
        <f>(E332-E331)/E331</f>
        <v>9.8526403178462424E-2</v>
      </c>
      <c r="F335" s="336">
        <f>(F332-F331)/F331</f>
        <v>8.9119279505707472E-2</v>
      </c>
      <c r="G335" s="336">
        <f>(G332-G331)/G331</f>
        <v>0.20473836896959285</v>
      </c>
      <c r="H335" s="336"/>
      <c r="I335" s="336"/>
      <c r="J335" s="338"/>
      <c r="K335" s="433"/>
      <c r="L335" s="279"/>
      <c r="M335" s="465">
        <f>(M332-M331)/M331</f>
        <v>9.9639562587818448E-2</v>
      </c>
      <c r="N335" s="466">
        <f>(N332-N331)/N331</f>
        <v>8.9118645862483581E-2</v>
      </c>
      <c r="O335" s="444"/>
      <c r="P335" s="340"/>
      <c r="Q335" s="341"/>
      <c r="R335" s="336">
        <f>(R332-R331)/R331</f>
        <v>0.1453915215191508</v>
      </c>
      <c r="S335" s="470"/>
      <c r="T335" s="339"/>
      <c r="U335" s="340"/>
      <c r="V335" s="470"/>
      <c r="W335" s="315"/>
    </row>
    <row r="336" spans="1:23" ht="13.3" thickBot="1" x14ac:dyDescent="0.25">
      <c r="A336" s="611"/>
      <c r="B336" s="418" t="s">
        <v>58</v>
      </c>
      <c r="C336" s="411">
        <f>C333/C327-1</f>
        <v>8.0645161290322509E-3</v>
      </c>
      <c r="D336" s="353"/>
      <c r="E336" s="353">
        <f>E333/E327-1</f>
        <v>7.4074074074073071E-3</v>
      </c>
      <c r="F336" s="353">
        <f>F333/F327-1</f>
        <v>6.9930069930070893E-3</v>
      </c>
      <c r="G336" s="353">
        <f>G333/G327-1</f>
        <v>6.0975609756097615E-3</v>
      </c>
      <c r="H336" s="353"/>
      <c r="I336" s="353"/>
      <c r="J336" s="355"/>
      <c r="K336" s="434"/>
      <c r="L336" s="509"/>
      <c r="M336" s="467">
        <f>M333/M327-1</f>
        <v>6.9930069930070893E-3</v>
      </c>
      <c r="N336" s="292">
        <f>N333/N327-1</f>
        <v>6.9930069930070893E-3</v>
      </c>
      <c r="O336" s="445"/>
      <c r="P336" s="357"/>
      <c r="Q336" s="358"/>
      <c r="R336" s="353">
        <f>R333/R327-1</f>
        <v>6.3291139240506666E-3</v>
      </c>
      <c r="S336" s="471"/>
      <c r="T336" s="356"/>
      <c r="U336" s="357"/>
      <c r="V336" s="471"/>
      <c r="W336" s="359"/>
    </row>
    <row r="337" spans="1:23" x14ac:dyDescent="0.2">
      <c r="A337" s="611">
        <v>43373</v>
      </c>
      <c r="B337" s="419" t="s">
        <v>53</v>
      </c>
      <c r="C337" s="408">
        <v>1305.6300000000001</v>
      </c>
      <c r="D337" s="347"/>
      <c r="E337" s="346">
        <v>1358.77</v>
      </c>
      <c r="F337" s="346">
        <v>1442.08</v>
      </c>
      <c r="G337" s="346">
        <v>1497.96</v>
      </c>
      <c r="H337" s="347"/>
      <c r="I337" s="347"/>
      <c r="J337" s="290"/>
      <c r="K337" s="431"/>
      <c r="L337" s="507"/>
      <c r="M337" s="256">
        <v>1318.4</v>
      </c>
      <c r="N337" s="462">
        <v>1331.14</v>
      </c>
      <c r="O337" s="442"/>
      <c r="P337" s="348"/>
      <c r="Q337" s="349"/>
      <c r="R337" s="346">
        <v>1401.98</v>
      </c>
      <c r="S337" s="346"/>
      <c r="T337" s="290"/>
      <c r="U337" s="348"/>
      <c r="V337" s="347"/>
      <c r="W337" s="346">
        <v>1065.26</v>
      </c>
    </row>
    <row r="338" spans="1:23" x14ac:dyDescent="0.2">
      <c r="A338" s="611"/>
      <c r="B338" s="415" t="s">
        <v>54</v>
      </c>
      <c r="C338" s="409">
        <v>1365</v>
      </c>
      <c r="D338" s="249"/>
      <c r="E338" s="250">
        <f>1469+13</f>
        <v>1482</v>
      </c>
      <c r="F338" s="250">
        <v>1573</v>
      </c>
      <c r="G338" s="250">
        <f>1781+13</f>
        <v>1794</v>
      </c>
      <c r="H338" s="249"/>
      <c r="I338" s="249"/>
      <c r="J338" s="330"/>
      <c r="K338" s="432"/>
      <c r="L338" s="508"/>
      <c r="M338" s="463">
        <v>1452</v>
      </c>
      <c r="N338" s="464">
        <v>1452</v>
      </c>
      <c r="O338" s="446"/>
      <c r="P338" s="331"/>
      <c r="Q338" s="332"/>
      <c r="R338" s="250">
        <f>1584+12</f>
        <v>1596</v>
      </c>
      <c r="S338" s="496"/>
      <c r="T338" s="330"/>
      <c r="U338" s="334"/>
      <c r="V338" s="469"/>
      <c r="W338" s="315"/>
    </row>
    <row r="339" spans="1:23" x14ac:dyDescent="0.2">
      <c r="A339" s="611"/>
      <c r="B339" s="415" t="s">
        <v>55</v>
      </c>
      <c r="C339" s="409">
        <v>1.26</v>
      </c>
      <c r="D339" s="249"/>
      <c r="E339" s="250">
        <v>1.37</v>
      </c>
      <c r="F339" s="250">
        <v>1.45</v>
      </c>
      <c r="G339" s="250">
        <v>1.66</v>
      </c>
      <c r="H339" s="249"/>
      <c r="I339" s="249"/>
      <c r="J339" s="330"/>
      <c r="K339" s="432"/>
      <c r="L339" s="508"/>
      <c r="M339" s="463">
        <v>1.45</v>
      </c>
      <c r="N339" s="464">
        <v>1.45</v>
      </c>
      <c r="O339" s="443"/>
      <c r="P339" s="334"/>
      <c r="Q339" s="335"/>
      <c r="R339" s="250">
        <v>1.6</v>
      </c>
      <c r="S339" s="469"/>
      <c r="T339" s="333"/>
      <c r="U339" s="334"/>
      <c r="V339" s="497"/>
      <c r="W339" s="315"/>
    </row>
    <row r="340" spans="1:23" x14ac:dyDescent="0.2">
      <c r="A340" s="611"/>
      <c r="B340" s="415" t="s">
        <v>56</v>
      </c>
      <c r="C340" s="410">
        <f>(C338-C337)/C338</f>
        <v>4.3494505494505412E-2</v>
      </c>
      <c r="D340" s="336"/>
      <c r="E340" s="336">
        <f>(E338-E337)/E338</f>
        <v>8.3151147098515538E-2</v>
      </c>
      <c r="F340" s="336">
        <f>(F338-F337)/F338</f>
        <v>8.3229497774952366E-2</v>
      </c>
      <c r="G340" s="336">
        <f>(G338-G337)/G338</f>
        <v>0.16501672240802673</v>
      </c>
      <c r="H340" s="336"/>
      <c r="I340" s="336"/>
      <c r="J340" s="338"/>
      <c r="K340" s="433"/>
      <c r="L340" s="279"/>
      <c r="M340" s="465">
        <f>(M338-M337)/M338</f>
        <v>9.2011019283746498E-2</v>
      </c>
      <c r="N340" s="466">
        <f>(N338-N337)/N338</f>
        <v>8.3236914600550896E-2</v>
      </c>
      <c r="O340" s="444"/>
      <c r="P340" s="340"/>
      <c r="Q340" s="341"/>
      <c r="R340" s="336">
        <f>(R338-R337)/R338</f>
        <v>0.12156641604010024</v>
      </c>
      <c r="S340" s="470"/>
      <c r="T340" s="339"/>
      <c r="U340" s="340"/>
      <c r="V340" s="470"/>
      <c r="W340" s="315"/>
    </row>
    <row r="341" spans="1:23" x14ac:dyDescent="0.2">
      <c r="A341" s="611"/>
      <c r="B341" s="415" t="s">
        <v>57</v>
      </c>
      <c r="C341" s="410">
        <f>(C338-C337)/C337</f>
        <v>4.5472300728383909E-2</v>
      </c>
      <c r="D341" s="336"/>
      <c r="E341" s="336">
        <f>(E338-E337)/E337</f>
        <v>9.0692317316396459E-2</v>
      </c>
      <c r="F341" s="336">
        <f>(F338-F337)/F337</f>
        <v>9.0785532009319922E-2</v>
      </c>
      <c r="G341" s="336">
        <f>(G338-G337)/G337</f>
        <v>0.19762877513418245</v>
      </c>
      <c r="H341" s="336"/>
      <c r="I341" s="336"/>
      <c r="J341" s="338"/>
      <c r="K341" s="433"/>
      <c r="L341" s="279"/>
      <c r="M341" s="465">
        <f>(M338-M337)/M337</f>
        <v>0.10133495145631061</v>
      </c>
      <c r="N341" s="466">
        <f>(N338-N337)/N337</f>
        <v>9.0794356716799057E-2</v>
      </c>
      <c r="O341" s="444"/>
      <c r="P341" s="340"/>
      <c r="Q341" s="341"/>
      <c r="R341" s="336">
        <f>(R338-R337)/R337</f>
        <v>0.13838999129802135</v>
      </c>
      <c r="S341" s="470"/>
      <c r="T341" s="339"/>
      <c r="U341" s="340"/>
      <c r="V341" s="470"/>
      <c r="W341" s="315"/>
    </row>
    <row r="342" spans="1:23" ht="13.3" thickBot="1" x14ac:dyDescent="0.25">
      <c r="A342" s="611"/>
      <c r="B342" s="418" t="s">
        <v>58</v>
      </c>
      <c r="C342" s="411">
        <f>C339/C333-1</f>
        <v>8.0000000000000071E-3</v>
      </c>
      <c r="D342" s="353"/>
      <c r="E342" s="353">
        <f>E339/E333-1</f>
        <v>7.3529411764705621E-3</v>
      </c>
      <c r="F342" s="353">
        <f>F339/F333-1</f>
        <v>6.9444444444444198E-3</v>
      </c>
      <c r="G342" s="353">
        <f>G339/G333-1</f>
        <v>6.0606060606060996E-3</v>
      </c>
      <c r="H342" s="353"/>
      <c r="I342" s="353"/>
      <c r="J342" s="355"/>
      <c r="K342" s="434"/>
      <c r="L342" s="509"/>
      <c r="M342" s="467">
        <f>M339/M333-1</f>
        <v>6.9444444444444198E-3</v>
      </c>
      <c r="N342" s="292">
        <f>N339/N333-1</f>
        <v>6.9444444444444198E-3</v>
      </c>
      <c r="O342" s="445"/>
      <c r="P342" s="357"/>
      <c r="Q342" s="358"/>
      <c r="R342" s="353">
        <f>R339/R333-1</f>
        <v>6.2893081761006275E-3</v>
      </c>
      <c r="S342" s="471"/>
      <c r="T342" s="356"/>
      <c r="U342" s="357"/>
      <c r="V342" s="471"/>
      <c r="W342" s="359"/>
    </row>
    <row r="343" spans="1:23" x14ac:dyDescent="0.2">
      <c r="A343" s="611">
        <v>43380</v>
      </c>
      <c r="B343" s="419" t="s">
        <v>53</v>
      </c>
      <c r="C343" s="408">
        <v>1315.75</v>
      </c>
      <c r="D343" s="347"/>
      <c r="E343" s="346">
        <v>1368.46</v>
      </c>
      <c r="F343" s="346">
        <v>1451.13</v>
      </c>
      <c r="G343" s="346">
        <v>1506.8</v>
      </c>
      <c r="H343" s="347"/>
      <c r="I343" s="347"/>
      <c r="J343" s="290"/>
      <c r="K343" s="431"/>
      <c r="L343" s="507"/>
      <c r="M343" s="256">
        <v>1327.28</v>
      </c>
      <c r="N343" s="462">
        <v>1340.11</v>
      </c>
      <c r="O343" s="442"/>
      <c r="P343" s="348"/>
      <c r="Q343" s="349"/>
      <c r="R343" s="346">
        <v>1410.55</v>
      </c>
      <c r="S343" s="346"/>
      <c r="T343" s="290"/>
      <c r="U343" s="348"/>
      <c r="V343" s="347"/>
      <c r="W343" s="346">
        <v>1065.26</v>
      </c>
    </row>
    <row r="344" spans="1:23" x14ac:dyDescent="0.2">
      <c r="A344" s="611"/>
      <c r="B344" s="415" t="s">
        <v>54</v>
      </c>
      <c r="C344" s="409">
        <v>1378</v>
      </c>
      <c r="D344" s="249"/>
      <c r="E344" s="250">
        <f>1495</f>
        <v>1495</v>
      </c>
      <c r="F344" s="250">
        <v>1586</v>
      </c>
      <c r="G344" s="250">
        <f>1807</f>
        <v>1807</v>
      </c>
      <c r="H344" s="249"/>
      <c r="I344" s="249"/>
      <c r="J344" s="330"/>
      <c r="K344" s="432"/>
      <c r="L344" s="508"/>
      <c r="M344" s="463">
        <v>1464</v>
      </c>
      <c r="N344" s="464">
        <v>1464</v>
      </c>
      <c r="O344" s="446"/>
      <c r="P344" s="331"/>
      <c r="Q344" s="332"/>
      <c r="R344" s="250">
        <f>1608</f>
        <v>1608</v>
      </c>
      <c r="S344" s="496"/>
      <c r="T344" s="330"/>
      <c r="U344" s="334"/>
      <c r="V344" s="469"/>
      <c r="W344" s="315"/>
    </row>
    <row r="345" spans="1:23" x14ac:dyDescent="0.2">
      <c r="A345" s="611"/>
      <c r="B345" s="415" t="s">
        <v>55</v>
      </c>
      <c r="C345" s="409">
        <v>1.27</v>
      </c>
      <c r="D345" s="249"/>
      <c r="E345" s="250">
        <v>1.38</v>
      </c>
      <c r="F345" s="250">
        <v>1.46</v>
      </c>
      <c r="G345" s="250">
        <v>1.67</v>
      </c>
      <c r="H345" s="249"/>
      <c r="I345" s="249"/>
      <c r="J345" s="330"/>
      <c r="K345" s="432"/>
      <c r="L345" s="508"/>
      <c r="M345" s="463">
        <v>1.46</v>
      </c>
      <c r="N345" s="464">
        <v>1.46</v>
      </c>
      <c r="O345" s="443"/>
      <c r="P345" s="334"/>
      <c r="Q345" s="335"/>
      <c r="R345" s="250">
        <v>1.61</v>
      </c>
      <c r="S345" s="469"/>
      <c r="T345" s="333"/>
      <c r="U345" s="334"/>
      <c r="V345" s="497"/>
      <c r="W345" s="315"/>
    </row>
    <row r="346" spans="1:23" x14ac:dyDescent="0.2">
      <c r="A346" s="611"/>
      <c r="B346" s="415" t="s">
        <v>56</v>
      </c>
      <c r="C346" s="410">
        <f>(C344-C343)/C344</f>
        <v>4.5174165457184327E-2</v>
      </c>
      <c r="D346" s="336"/>
      <c r="E346" s="336">
        <f>(E344-E343)/E344</f>
        <v>8.4642140468227406E-2</v>
      </c>
      <c r="F346" s="336">
        <f>(F344-F343)/F344</f>
        <v>8.5037831021437513E-2</v>
      </c>
      <c r="G346" s="336">
        <f>(G344-G343)/G344</f>
        <v>0.16613171001660212</v>
      </c>
      <c r="H346" s="336"/>
      <c r="I346" s="336"/>
      <c r="J346" s="338"/>
      <c r="K346" s="433"/>
      <c r="L346" s="279"/>
      <c r="M346" s="465">
        <f>(M344-M343)/M344</f>
        <v>9.3387978142076528E-2</v>
      </c>
      <c r="N346" s="466">
        <f>(N344-N343)/N344</f>
        <v>8.4624316939890781E-2</v>
      </c>
      <c r="O346" s="444"/>
      <c r="P346" s="340"/>
      <c r="Q346" s="341"/>
      <c r="R346" s="336">
        <f>(R344-R343)/R344</f>
        <v>0.12279228855721395</v>
      </c>
      <c r="S346" s="470"/>
      <c r="T346" s="339"/>
      <c r="U346" s="340"/>
      <c r="V346" s="470"/>
      <c r="W346" s="315"/>
    </row>
    <row r="347" spans="1:23" x14ac:dyDescent="0.2">
      <c r="A347" s="611"/>
      <c r="B347" s="415" t="s">
        <v>57</v>
      </c>
      <c r="C347" s="410">
        <f>(C344-C343)/C343</f>
        <v>4.7311419342580277E-2</v>
      </c>
      <c r="D347" s="336"/>
      <c r="E347" s="336">
        <f>(E344-E343)/E343</f>
        <v>9.2468906654195201E-2</v>
      </c>
      <c r="F347" s="336">
        <f>(F344-F343)/F343</f>
        <v>9.2941362937848354E-2</v>
      </c>
      <c r="G347" s="336">
        <f>(G344-G343)/G343</f>
        <v>0.1992301566233077</v>
      </c>
      <c r="H347" s="336"/>
      <c r="I347" s="336"/>
      <c r="J347" s="338"/>
      <c r="K347" s="433"/>
      <c r="L347" s="279"/>
      <c r="M347" s="465">
        <f>(M344-M343)/M343</f>
        <v>0.10300765475257673</v>
      </c>
      <c r="N347" s="466">
        <f>(N344-N343)/N343</f>
        <v>9.2447634895642977E-2</v>
      </c>
      <c r="O347" s="444"/>
      <c r="P347" s="340"/>
      <c r="Q347" s="341"/>
      <c r="R347" s="336">
        <f>(R344-R343)/R343</f>
        <v>0.13998085853036055</v>
      </c>
      <c r="S347" s="470"/>
      <c r="T347" s="339"/>
      <c r="U347" s="340"/>
      <c r="V347" s="470"/>
      <c r="W347" s="315"/>
    </row>
    <row r="348" spans="1:23" ht="13.3" thickBot="1" x14ac:dyDescent="0.25">
      <c r="A348" s="611"/>
      <c r="B348" s="418" t="s">
        <v>58</v>
      </c>
      <c r="C348" s="411">
        <f>C345/C339-1</f>
        <v>7.9365079365079083E-3</v>
      </c>
      <c r="D348" s="353"/>
      <c r="E348" s="353">
        <f>E345/E339-1</f>
        <v>7.2992700729925808E-3</v>
      </c>
      <c r="F348" s="353">
        <f>F345/F339-1</f>
        <v>6.8965517241379448E-3</v>
      </c>
      <c r="G348" s="353">
        <f>G345/G339-1</f>
        <v>6.0240963855422436E-3</v>
      </c>
      <c r="H348" s="353"/>
      <c r="I348" s="353"/>
      <c r="J348" s="355"/>
      <c r="K348" s="434"/>
      <c r="L348" s="509"/>
      <c r="M348" s="467">
        <f>M345/M339-1</f>
        <v>6.8965517241379448E-3</v>
      </c>
      <c r="N348" s="292">
        <f>N345/N339-1</f>
        <v>6.8965517241379448E-3</v>
      </c>
      <c r="O348" s="445"/>
      <c r="P348" s="357"/>
      <c r="Q348" s="358"/>
      <c r="R348" s="353">
        <f>R345/R339-1</f>
        <v>6.2500000000000888E-3</v>
      </c>
      <c r="S348" s="471"/>
      <c r="T348" s="356"/>
      <c r="U348" s="357"/>
      <c r="V348" s="471"/>
      <c r="W348" s="359"/>
    </row>
    <row r="349" spans="1:23" x14ac:dyDescent="0.2">
      <c r="A349" s="611">
        <v>43387</v>
      </c>
      <c r="B349" s="419" t="s">
        <v>53</v>
      </c>
      <c r="C349" s="408">
        <v>1325.87</v>
      </c>
      <c r="D349" s="347"/>
      <c r="E349" s="346">
        <v>1378.15</v>
      </c>
      <c r="F349" s="346">
        <v>1461.54</v>
      </c>
      <c r="G349" s="346">
        <v>1515.64</v>
      </c>
      <c r="H349" s="347"/>
      <c r="I349" s="347"/>
      <c r="J349" s="290"/>
      <c r="K349" s="431"/>
      <c r="L349" s="507"/>
      <c r="M349" s="256">
        <v>1336.16</v>
      </c>
      <c r="N349" s="462">
        <v>1349.08</v>
      </c>
      <c r="O349" s="442"/>
      <c r="P349" s="348"/>
      <c r="Q349" s="349"/>
      <c r="R349" s="346">
        <v>1419.12</v>
      </c>
      <c r="S349" s="346"/>
      <c r="T349" s="290"/>
      <c r="U349" s="348"/>
      <c r="V349" s="347"/>
      <c r="W349" s="346">
        <v>1065.26</v>
      </c>
    </row>
    <row r="350" spans="1:23" x14ac:dyDescent="0.2">
      <c r="A350" s="611"/>
      <c r="B350" s="415" t="s">
        <v>54</v>
      </c>
      <c r="C350" s="409">
        <v>1391</v>
      </c>
      <c r="D350" s="249"/>
      <c r="E350" s="250">
        <v>1508</v>
      </c>
      <c r="F350" s="250">
        <v>1586</v>
      </c>
      <c r="G350" s="250">
        <f>1807</f>
        <v>1807</v>
      </c>
      <c r="H350" s="249"/>
      <c r="I350" s="249"/>
      <c r="J350" s="330"/>
      <c r="K350" s="432"/>
      <c r="L350" s="508"/>
      <c r="M350" s="463">
        <v>1464</v>
      </c>
      <c r="N350" s="464">
        <v>1464</v>
      </c>
      <c r="O350" s="446"/>
      <c r="P350" s="331"/>
      <c r="Q350" s="332"/>
      <c r="R350" s="250">
        <f>1620</f>
        <v>1620</v>
      </c>
      <c r="S350" s="496"/>
      <c r="T350" s="330"/>
      <c r="U350" s="334"/>
      <c r="V350" s="469"/>
      <c r="W350" s="315"/>
    </row>
    <row r="351" spans="1:23" x14ac:dyDescent="0.2">
      <c r="A351" s="611"/>
      <c r="B351" s="415" t="s">
        <v>55</v>
      </c>
      <c r="C351" s="409">
        <v>1.28</v>
      </c>
      <c r="D351" s="249"/>
      <c r="E351" s="250">
        <v>1.39</v>
      </c>
      <c r="F351" s="250">
        <v>1.47</v>
      </c>
      <c r="G351" s="250">
        <v>1.67</v>
      </c>
      <c r="H351" s="249"/>
      <c r="I351" s="249"/>
      <c r="J351" s="330"/>
      <c r="K351" s="432"/>
      <c r="L351" s="508"/>
      <c r="M351" s="463">
        <v>1.47</v>
      </c>
      <c r="N351" s="464">
        <v>1.47</v>
      </c>
      <c r="O351" s="443"/>
      <c r="P351" s="334"/>
      <c r="Q351" s="335"/>
      <c r="R351" s="250">
        <v>1.62</v>
      </c>
      <c r="S351" s="469"/>
      <c r="T351" s="333"/>
      <c r="U351" s="334"/>
      <c r="V351" s="497"/>
      <c r="W351" s="315"/>
    </row>
    <row r="352" spans="1:23" x14ac:dyDescent="0.2">
      <c r="A352" s="611"/>
      <c r="B352" s="415" t="s">
        <v>56</v>
      </c>
      <c r="C352" s="410">
        <f>(C350-C349)/C350</f>
        <v>4.6822429906542132E-2</v>
      </c>
      <c r="D352" s="336"/>
      <c r="E352" s="336">
        <f>(E350-E349)/E350</f>
        <v>8.6107427055702859E-2</v>
      </c>
      <c r="F352" s="336">
        <f>(F350-F349)/F350</f>
        <v>7.8474148802017682E-2</v>
      </c>
      <c r="G352" s="336">
        <f>(G350-G349)/G350</f>
        <v>0.1612396236856668</v>
      </c>
      <c r="H352" s="336"/>
      <c r="I352" s="336"/>
      <c r="J352" s="338"/>
      <c r="K352" s="433"/>
      <c r="L352" s="279"/>
      <c r="M352" s="465">
        <f>(M350-M349)/M350</f>
        <v>8.7322404371584644E-2</v>
      </c>
      <c r="N352" s="466">
        <f>(N350-N349)/N350</f>
        <v>7.8497267759562894E-2</v>
      </c>
      <c r="O352" s="444"/>
      <c r="P352" s="340"/>
      <c r="Q352" s="341"/>
      <c r="R352" s="336">
        <f>(R350-R349)/R350</f>
        <v>0.12400000000000007</v>
      </c>
      <c r="S352" s="470"/>
      <c r="T352" s="339"/>
      <c r="U352" s="340"/>
      <c r="V352" s="470"/>
      <c r="W352" s="315"/>
    </row>
    <row r="353" spans="1:23" x14ac:dyDescent="0.2">
      <c r="A353" s="611"/>
      <c r="B353" s="415" t="s">
        <v>57</v>
      </c>
      <c r="C353" s="410">
        <f>(C350-C349)/C349</f>
        <v>4.9122462986567396E-2</v>
      </c>
      <c r="D353" s="336"/>
      <c r="E353" s="336">
        <f>(E350-E349)/E349</f>
        <v>9.4220513006566697E-2</v>
      </c>
      <c r="F353" s="336">
        <f>(F350-F349)/F349</f>
        <v>8.5156752466576377E-2</v>
      </c>
      <c r="G353" s="336">
        <f>(G350-G349)/G349</f>
        <v>0.19223562323506893</v>
      </c>
      <c r="H353" s="336"/>
      <c r="I353" s="336"/>
      <c r="J353" s="338"/>
      <c r="K353" s="433"/>
      <c r="L353" s="279"/>
      <c r="M353" s="465">
        <f>(M350-M349)/M349</f>
        <v>9.5677164411447663E-2</v>
      </c>
      <c r="N353" s="466">
        <f>(N350-N349)/N349</f>
        <v>8.5183977228926441E-2</v>
      </c>
      <c r="O353" s="444"/>
      <c r="P353" s="340"/>
      <c r="Q353" s="341"/>
      <c r="R353" s="336">
        <f>(R350-R349)/R349</f>
        <v>0.14155251141552519</v>
      </c>
      <c r="S353" s="470"/>
      <c r="T353" s="339"/>
      <c r="U353" s="340"/>
      <c r="V353" s="470"/>
      <c r="W353" s="315"/>
    </row>
    <row r="354" spans="1:23" ht="13.3" thickBot="1" x14ac:dyDescent="0.25">
      <c r="A354" s="611"/>
      <c r="B354" s="418" t="s">
        <v>58</v>
      </c>
      <c r="C354" s="411">
        <f>C351/C345-1</f>
        <v>7.8740157480314821E-3</v>
      </c>
      <c r="D354" s="353"/>
      <c r="E354" s="353">
        <f>E351/E345-1</f>
        <v>7.2463768115942351E-3</v>
      </c>
      <c r="F354" s="353">
        <f>F351/F345-1</f>
        <v>6.8493150684931781E-3</v>
      </c>
      <c r="G354" s="353">
        <f>G351/G345-1</f>
        <v>0</v>
      </c>
      <c r="H354" s="353"/>
      <c r="I354" s="353"/>
      <c r="J354" s="355"/>
      <c r="K354" s="434"/>
      <c r="L354" s="509"/>
      <c r="M354" s="467">
        <f>M351/M345-1</f>
        <v>6.8493150684931781E-3</v>
      </c>
      <c r="N354" s="292">
        <f>N351/N345-1</f>
        <v>6.8493150684931781E-3</v>
      </c>
      <c r="O354" s="445"/>
      <c r="P354" s="357"/>
      <c r="Q354" s="358"/>
      <c r="R354" s="353">
        <f>R351/R345-1</f>
        <v>6.2111801242235032E-3</v>
      </c>
      <c r="S354" s="471"/>
      <c r="T354" s="356"/>
      <c r="U354" s="357"/>
      <c r="V354" s="471"/>
      <c r="W354" s="359"/>
    </row>
    <row r="355" spans="1:23" x14ac:dyDescent="0.2">
      <c r="A355" s="611">
        <v>43394</v>
      </c>
      <c r="B355" s="419" t="s">
        <v>53</v>
      </c>
      <c r="C355" s="408">
        <v>1335.99</v>
      </c>
      <c r="D355" s="347"/>
      <c r="E355" s="346">
        <v>1378.15</v>
      </c>
      <c r="F355" s="346">
        <v>1471.27</v>
      </c>
      <c r="G355" s="346">
        <v>1524.48</v>
      </c>
      <c r="H355" s="347"/>
      <c r="I355" s="347"/>
      <c r="J355" s="290"/>
      <c r="K355" s="431"/>
      <c r="L355" s="507"/>
      <c r="M355" s="256">
        <v>1345.04</v>
      </c>
      <c r="N355" s="462">
        <v>1358.05</v>
      </c>
      <c r="O355" s="442"/>
      <c r="P355" s="348"/>
      <c r="Q355" s="349"/>
      <c r="R355" s="346">
        <v>1427.69</v>
      </c>
      <c r="S355" s="346"/>
      <c r="T355" s="290"/>
      <c r="U355" s="348"/>
      <c r="V355" s="347"/>
      <c r="W355" s="346">
        <v>1065.26</v>
      </c>
    </row>
    <row r="356" spans="1:23" x14ac:dyDescent="0.2">
      <c r="A356" s="611"/>
      <c r="B356" s="415" t="s">
        <v>54</v>
      </c>
      <c r="C356" s="409">
        <v>1391</v>
      </c>
      <c r="D356" s="249"/>
      <c r="E356" s="250">
        <v>1508</v>
      </c>
      <c r="F356" s="250">
        <v>1599</v>
      </c>
      <c r="G356" s="250">
        <f>1833</f>
        <v>1833</v>
      </c>
      <c r="H356" s="249"/>
      <c r="I356" s="249"/>
      <c r="J356" s="330"/>
      <c r="K356" s="432"/>
      <c r="L356" s="508"/>
      <c r="M356" s="463">
        <v>1476</v>
      </c>
      <c r="N356" s="464">
        <v>1476</v>
      </c>
      <c r="O356" s="446"/>
      <c r="P356" s="331"/>
      <c r="Q356" s="332"/>
      <c r="R356" s="250">
        <v>1632</v>
      </c>
      <c r="S356" s="496"/>
      <c r="T356" s="330"/>
      <c r="U356" s="334"/>
      <c r="V356" s="469"/>
      <c r="W356" s="315"/>
    </row>
    <row r="357" spans="1:23" x14ac:dyDescent="0.2">
      <c r="A357" s="611"/>
      <c r="B357" s="415" t="s">
        <v>55</v>
      </c>
      <c r="C357" s="409">
        <v>1.29</v>
      </c>
      <c r="D357" s="249"/>
      <c r="E357" s="250">
        <v>1.39</v>
      </c>
      <c r="F357" s="250">
        <v>1.48</v>
      </c>
      <c r="G357" s="250">
        <v>1.69</v>
      </c>
      <c r="H357" s="249"/>
      <c r="I357" s="249"/>
      <c r="J357" s="330"/>
      <c r="K357" s="432"/>
      <c r="L357" s="508"/>
      <c r="M357" s="463">
        <v>1.48</v>
      </c>
      <c r="N357" s="464">
        <v>1.48</v>
      </c>
      <c r="O357" s="443"/>
      <c r="P357" s="334"/>
      <c r="Q357" s="335"/>
      <c r="R357" s="250">
        <v>1.63</v>
      </c>
      <c r="S357" s="469"/>
      <c r="T357" s="333"/>
      <c r="U357" s="334"/>
      <c r="V357" s="497"/>
      <c r="W357" s="315"/>
    </row>
    <row r="358" spans="1:23" x14ac:dyDescent="0.2">
      <c r="A358" s="611"/>
      <c r="B358" s="415" t="s">
        <v>56</v>
      </c>
      <c r="C358" s="410">
        <f>(C356-C355)/C356</f>
        <v>3.954708842559309E-2</v>
      </c>
      <c r="D358" s="336"/>
      <c r="E358" s="336">
        <f>(E356-E355)/E356</f>
        <v>8.6107427055702859E-2</v>
      </c>
      <c r="F358" s="336">
        <f>(F356-F355)/F356</f>
        <v>7.9881175734834289E-2</v>
      </c>
      <c r="G358" s="336">
        <f>(G356-G355)/G356</f>
        <v>0.1683142389525368</v>
      </c>
      <c r="H358" s="336"/>
      <c r="I358" s="336"/>
      <c r="J358" s="338"/>
      <c r="K358" s="433"/>
      <c r="L358" s="279"/>
      <c r="M358" s="465">
        <f>(M356-M355)/M356</f>
        <v>8.8726287262872655E-2</v>
      </c>
      <c r="N358" s="466">
        <f>(N356-N355)/N356</f>
        <v>7.9911924119241223E-2</v>
      </c>
      <c r="O358" s="444"/>
      <c r="P358" s="340"/>
      <c r="Q358" s="341"/>
      <c r="R358" s="336">
        <f>(R356-R355)/R356</f>
        <v>0.12518995098039212</v>
      </c>
      <c r="S358" s="470"/>
      <c r="T358" s="339"/>
      <c r="U358" s="340"/>
      <c r="V358" s="470"/>
      <c r="W358" s="315"/>
    </row>
    <row r="359" spans="1:23" x14ac:dyDescent="0.2">
      <c r="A359" s="611"/>
      <c r="B359" s="415" t="s">
        <v>57</v>
      </c>
      <c r="C359" s="410">
        <f>(C356-C355)/C355</f>
        <v>4.1175457900133973E-2</v>
      </c>
      <c r="D359" s="336"/>
      <c r="E359" s="336">
        <f>(E356-E355)/E355</f>
        <v>9.4220513006566697E-2</v>
      </c>
      <c r="F359" s="336">
        <f>(F356-F355)/F355</f>
        <v>8.6816152031918017E-2</v>
      </c>
      <c r="G359" s="336">
        <f>(G356-G355)/G355</f>
        <v>0.20237720403022669</v>
      </c>
      <c r="H359" s="336"/>
      <c r="I359" s="336"/>
      <c r="J359" s="338"/>
      <c r="K359" s="433"/>
      <c r="L359" s="279"/>
      <c r="M359" s="465">
        <f>(M356-M355)/M355</f>
        <v>9.7365134122405314E-2</v>
      </c>
      <c r="N359" s="466">
        <f>(N356-N355)/N355</f>
        <v>8.6852472294834546E-2</v>
      </c>
      <c r="O359" s="444"/>
      <c r="P359" s="340"/>
      <c r="Q359" s="341"/>
      <c r="R359" s="336">
        <f>(R356-R355)/R355</f>
        <v>0.14310529596761198</v>
      </c>
      <c r="S359" s="470"/>
      <c r="T359" s="339"/>
      <c r="U359" s="340"/>
      <c r="V359" s="470"/>
      <c r="W359" s="315"/>
    </row>
    <row r="360" spans="1:23" ht="13.3" thickBot="1" x14ac:dyDescent="0.25">
      <c r="A360" s="611"/>
      <c r="B360" s="418" t="s">
        <v>58</v>
      </c>
      <c r="C360" s="411">
        <f>C357/C351-1</f>
        <v>7.8125E-3</v>
      </c>
      <c r="D360" s="353"/>
      <c r="E360" s="353">
        <f>E357/E351-1</f>
        <v>0</v>
      </c>
      <c r="F360" s="353">
        <f>F357/F351-1</f>
        <v>6.8027210884353817E-3</v>
      </c>
      <c r="G360" s="353">
        <f>G357/G351-1</f>
        <v>1.1976047904191711E-2</v>
      </c>
      <c r="H360" s="353"/>
      <c r="I360" s="353"/>
      <c r="J360" s="355"/>
      <c r="K360" s="434"/>
      <c r="L360" s="509"/>
      <c r="M360" s="467">
        <f>M357/M351-1</f>
        <v>6.8027210884353817E-3</v>
      </c>
      <c r="N360" s="292">
        <f>N357/N351-1</f>
        <v>6.8027210884353817E-3</v>
      </c>
      <c r="O360" s="445"/>
      <c r="P360" s="357"/>
      <c r="Q360" s="358"/>
      <c r="R360" s="353">
        <f>R357/R351-1</f>
        <v>6.1728395061726449E-3</v>
      </c>
      <c r="S360" s="471"/>
      <c r="T360" s="356"/>
      <c r="U360" s="357"/>
      <c r="V360" s="471"/>
      <c r="W360" s="359"/>
    </row>
    <row r="361" spans="1:23" x14ac:dyDescent="0.2">
      <c r="A361" s="611">
        <v>43401</v>
      </c>
      <c r="B361" s="419" t="s">
        <v>53</v>
      </c>
      <c r="C361" s="408">
        <v>1346.11</v>
      </c>
      <c r="D361" s="347"/>
      <c r="E361" s="346">
        <v>1387.84</v>
      </c>
      <c r="F361" s="346">
        <v>1481</v>
      </c>
      <c r="G361" s="346">
        <v>1533.32</v>
      </c>
      <c r="H361" s="347"/>
      <c r="I361" s="347"/>
      <c r="J361" s="290"/>
      <c r="K361" s="431"/>
      <c r="L361" s="507"/>
      <c r="M361" s="256">
        <v>1353.92</v>
      </c>
      <c r="N361" s="462">
        <v>1367.02</v>
      </c>
      <c r="O361" s="442"/>
      <c r="P361" s="348"/>
      <c r="Q361" s="349"/>
      <c r="R361" s="346">
        <v>1436.26</v>
      </c>
      <c r="S361" s="346"/>
      <c r="T361" s="290"/>
      <c r="U361" s="348"/>
      <c r="V361" s="347"/>
      <c r="W361" s="346">
        <v>1118.02</v>
      </c>
    </row>
    <row r="362" spans="1:23" x14ac:dyDescent="0.2">
      <c r="A362" s="611"/>
      <c r="B362" s="415" t="s">
        <v>54</v>
      </c>
      <c r="C362" s="409">
        <v>1404</v>
      </c>
      <c r="D362" s="249"/>
      <c r="E362" s="250">
        <v>1521</v>
      </c>
      <c r="F362" s="250">
        <v>1612</v>
      </c>
      <c r="G362" s="250">
        <f>1846</f>
        <v>1846</v>
      </c>
      <c r="H362" s="249"/>
      <c r="I362" s="249"/>
      <c r="J362" s="330"/>
      <c r="K362" s="432"/>
      <c r="L362" s="508"/>
      <c r="M362" s="463">
        <v>1488</v>
      </c>
      <c r="N362" s="464">
        <v>1488</v>
      </c>
      <c r="O362" s="446"/>
      <c r="P362" s="331"/>
      <c r="Q362" s="332"/>
      <c r="R362" s="250">
        <v>1644</v>
      </c>
      <c r="S362" s="496"/>
      <c r="T362" s="330"/>
      <c r="U362" s="334"/>
      <c r="V362" s="469"/>
      <c r="W362" s="315"/>
    </row>
    <row r="363" spans="1:23" x14ac:dyDescent="0.2">
      <c r="A363" s="611"/>
      <c r="B363" s="415" t="s">
        <v>55</v>
      </c>
      <c r="C363" s="409">
        <v>1.3</v>
      </c>
      <c r="D363" s="249"/>
      <c r="E363" s="250">
        <v>1.4</v>
      </c>
      <c r="F363" s="250">
        <v>1.49</v>
      </c>
      <c r="G363" s="250">
        <v>1.7</v>
      </c>
      <c r="H363" s="249"/>
      <c r="I363" s="249"/>
      <c r="J363" s="330"/>
      <c r="K363" s="432"/>
      <c r="L363" s="508"/>
      <c r="M363" s="463">
        <v>1.49</v>
      </c>
      <c r="N363" s="464">
        <v>1.49</v>
      </c>
      <c r="O363" s="443"/>
      <c r="P363" s="334"/>
      <c r="Q363" s="335"/>
      <c r="R363" s="250">
        <v>1.64</v>
      </c>
      <c r="S363" s="469"/>
      <c r="T363" s="333"/>
      <c r="U363" s="334"/>
      <c r="V363" s="497"/>
      <c r="W363" s="315"/>
    </row>
    <row r="364" spans="1:23" x14ac:dyDescent="0.2">
      <c r="A364" s="611"/>
      <c r="B364" s="415" t="s">
        <v>56</v>
      </c>
      <c r="C364" s="410">
        <f>(C362-C361)/C362</f>
        <v>4.1232193732193806E-2</v>
      </c>
      <c r="D364" s="336"/>
      <c r="E364" s="336">
        <f>(E362-E361)/E362</f>
        <v>8.7547666009204522E-2</v>
      </c>
      <c r="F364" s="336">
        <f>(F362-F361)/F362</f>
        <v>8.1265508684863527E-2</v>
      </c>
      <c r="G364" s="336">
        <f>(G362-G361)/G362</f>
        <v>0.16938244853737816</v>
      </c>
      <c r="H364" s="336"/>
      <c r="I364" s="336"/>
      <c r="J364" s="338"/>
      <c r="K364" s="433"/>
      <c r="L364" s="279"/>
      <c r="M364" s="465">
        <f>(M362-M361)/M362</f>
        <v>9.0107526881720384E-2</v>
      </c>
      <c r="N364" s="466">
        <f>(N362-N361)/N362</f>
        <v>8.1303763440860224E-2</v>
      </c>
      <c r="O364" s="444"/>
      <c r="P364" s="340"/>
      <c r="Q364" s="341"/>
      <c r="R364" s="336">
        <f>(R362-R361)/R362</f>
        <v>0.1263625304136253</v>
      </c>
      <c r="S364" s="470"/>
      <c r="T364" s="339"/>
      <c r="U364" s="340"/>
      <c r="V364" s="470"/>
      <c r="W364" s="315"/>
    </row>
    <row r="365" spans="1:23" x14ac:dyDescent="0.2">
      <c r="A365" s="611"/>
      <c r="B365" s="415" t="s">
        <v>57</v>
      </c>
      <c r="C365" s="410">
        <f>(C362-C361)/C361</f>
        <v>4.3005400747338704E-2</v>
      </c>
      <c r="D365" s="336"/>
      <c r="E365" s="336">
        <f>(E362-E361)/E361</f>
        <v>9.5947659672584798E-2</v>
      </c>
      <c r="F365" s="336">
        <f>(F362-F361)/F361</f>
        <v>8.8453747467927071E-2</v>
      </c>
      <c r="G365" s="336">
        <f>(G362-G361)/G361</f>
        <v>0.20392351237836856</v>
      </c>
      <c r="H365" s="336"/>
      <c r="I365" s="336"/>
      <c r="J365" s="338"/>
      <c r="K365" s="433"/>
      <c r="L365" s="279"/>
      <c r="M365" s="465">
        <f>(M362-M361)/M361</f>
        <v>9.9030961947530069E-2</v>
      </c>
      <c r="N365" s="466">
        <f>(N362-N361)/N361</f>
        <v>8.8499070971895091E-2</v>
      </c>
      <c r="O365" s="444"/>
      <c r="P365" s="340"/>
      <c r="Q365" s="341"/>
      <c r="R365" s="336">
        <f>(R362-R361)/R361</f>
        <v>0.14463954994221104</v>
      </c>
      <c r="S365" s="470"/>
      <c r="T365" s="339"/>
      <c r="U365" s="340"/>
      <c r="V365" s="470"/>
      <c r="W365" s="315"/>
    </row>
    <row r="366" spans="1:23" ht="13.3" thickBot="1" x14ac:dyDescent="0.25">
      <c r="A366" s="611"/>
      <c r="B366" s="418" t="s">
        <v>58</v>
      </c>
      <c r="C366" s="411">
        <f>C363/C357-1</f>
        <v>7.7519379844961378E-3</v>
      </c>
      <c r="D366" s="353"/>
      <c r="E366" s="353">
        <f>E363/E357-1</f>
        <v>7.194244604316502E-3</v>
      </c>
      <c r="F366" s="353">
        <f>F363/F357-1</f>
        <v>6.7567567567567988E-3</v>
      </c>
      <c r="G366" s="353">
        <f>G363/G357-1</f>
        <v>5.9171597633136397E-3</v>
      </c>
      <c r="H366" s="353"/>
      <c r="I366" s="353"/>
      <c r="J366" s="355"/>
      <c r="K366" s="434"/>
      <c r="L366" s="509"/>
      <c r="M366" s="467">
        <f>M363/M357-1</f>
        <v>6.7567567567567988E-3</v>
      </c>
      <c r="N366" s="292">
        <f>N363/N357-1</f>
        <v>6.7567567567567988E-3</v>
      </c>
      <c r="O366" s="445"/>
      <c r="P366" s="357"/>
      <c r="Q366" s="358"/>
      <c r="R366" s="353">
        <f>R363/R357-1</f>
        <v>6.1349693251533388E-3</v>
      </c>
      <c r="S366" s="471"/>
      <c r="T366" s="356"/>
      <c r="U366" s="357"/>
      <c r="V366" s="471"/>
      <c r="W366" s="359"/>
    </row>
    <row r="367" spans="1:23" x14ac:dyDescent="0.2">
      <c r="A367" s="611">
        <v>43415</v>
      </c>
      <c r="B367" s="419" t="s">
        <v>53</v>
      </c>
      <c r="C367" s="408">
        <v>1356.23</v>
      </c>
      <c r="D367" s="347"/>
      <c r="E367" s="346">
        <v>1397.53</v>
      </c>
      <c r="F367" s="346">
        <v>1490.73</v>
      </c>
      <c r="G367" s="346">
        <v>1542.16</v>
      </c>
      <c r="H367" s="347"/>
      <c r="I367" s="347"/>
      <c r="J367" s="290"/>
      <c r="K367" s="431"/>
      <c r="L367" s="507"/>
      <c r="M367" s="256">
        <v>1362.8</v>
      </c>
      <c r="N367" s="462">
        <v>1375.99</v>
      </c>
      <c r="O367" s="442"/>
      <c r="P367" s="348"/>
      <c r="Q367" s="349"/>
      <c r="R367" s="346">
        <v>1444.83</v>
      </c>
      <c r="S367" s="346"/>
      <c r="T367" s="290"/>
      <c r="U367" s="348"/>
      <c r="V367" s="347"/>
      <c r="W367" s="346">
        <v>1128.8900000000001</v>
      </c>
    </row>
    <row r="368" spans="1:23" x14ac:dyDescent="0.2">
      <c r="A368" s="611"/>
      <c r="B368" s="415" t="s">
        <v>54</v>
      </c>
      <c r="C368" s="409">
        <v>1417</v>
      </c>
      <c r="D368" s="249"/>
      <c r="E368" s="250">
        <v>1521</v>
      </c>
      <c r="F368" s="250">
        <v>1625</v>
      </c>
      <c r="G368" s="250">
        <v>1846</v>
      </c>
      <c r="H368" s="249"/>
      <c r="I368" s="249"/>
      <c r="J368" s="330"/>
      <c r="K368" s="432"/>
      <c r="L368" s="508"/>
      <c r="M368" s="463">
        <v>1488</v>
      </c>
      <c r="N368" s="464">
        <v>1488</v>
      </c>
      <c r="O368" s="446"/>
      <c r="P368" s="331"/>
      <c r="Q368" s="332"/>
      <c r="R368" s="250">
        <v>1644</v>
      </c>
      <c r="S368" s="496"/>
      <c r="T368" s="330"/>
      <c r="U368" s="334"/>
      <c r="V368" s="469"/>
      <c r="W368" s="315"/>
    </row>
    <row r="369" spans="1:23" x14ac:dyDescent="0.2">
      <c r="A369" s="611"/>
      <c r="B369" s="415" t="s">
        <v>55</v>
      </c>
      <c r="C369" s="409">
        <v>1.31</v>
      </c>
      <c r="D369" s="249"/>
      <c r="E369" s="250">
        <v>1.41</v>
      </c>
      <c r="F369" s="250">
        <v>1.5</v>
      </c>
      <c r="G369" s="250">
        <v>1.71</v>
      </c>
      <c r="H369" s="249"/>
      <c r="I369" s="249"/>
      <c r="J369" s="330"/>
      <c r="K369" s="432"/>
      <c r="L369" s="508"/>
      <c r="M369" s="463">
        <v>1.49</v>
      </c>
      <c r="N369" s="464">
        <v>1.49</v>
      </c>
      <c r="O369" s="443"/>
      <c r="P369" s="334"/>
      <c r="Q369" s="335"/>
      <c r="R369" s="250">
        <v>1.64</v>
      </c>
      <c r="S369" s="469"/>
      <c r="T369" s="333"/>
      <c r="U369" s="334"/>
      <c r="V369" s="497"/>
      <c r="W369" s="315"/>
    </row>
    <row r="370" spans="1:23" x14ac:dyDescent="0.2">
      <c r="A370" s="611"/>
      <c r="B370" s="415" t="s">
        <v>56</v>
      </c>
      <c r="C370" s="410">
        <f>(C368-C367)/C368</f>
        <v>4.2886379675370491E-2</v>
      </c>
      <c r="D370" s="336"/>
      <c r="E370" s="336">
        <f>(E368-E367)/E368</f>
        <v>8.1176857330703497E-2</v>
      </c>
      <c r="F370" s="336">
        <f>(F368-F367)/F368</f>
        <v>8.2627692307692291E-2</v>
      </c>
      <c r="G370" s="336">
        <f>(G368-G367)/G368</f>
        <v>0.16459371614301188</v>
      </c>
      <c r="H370" s="336"/>
      <c r="I370" s="336"/>
      <c r="J370" s="338"/>
      <c r="K370" s="433"/>
      <c r="L370" s="279"/>
      <c r="M370" s="465">
        <f>(M368-M367)/M368</f>
        <v>8.4139784946236584E-2</v>
      </c>
      <c r="N370" s="466">
        <f>(N368-N367)/N368</f>
        <v>7.5275537634408599E-2</v>
      </c>
      <c r="O370" s="444"/>
      <c r="P370" s="340"/>
      <c r="Q370" s="341"/>
      <c r="R370" s="336">
        <f>(R368-R367)/R368</f>
        <v>0.12114963503649639</v>
      </c>
      <c r="S370" s="470"/>
      <c r="T370" s="339"/>
      <c r="U370" s="340"/>
      <c r="V370" s="470"/>
      <c r="W370" s="315"/>
    </row>
    <row r="371" spans="1:23" x14ac:dyDescent="0.2">
      <c r="A371" s="611"/>
      <c r="B371" s="415" t="s">
        <v>57</v>
      </c>
      <c r="C371" s="410">
        <f>(C368-C367)/C367</f>
        <v>4.4808034035524934E-2</v>
      </c>
      <c r="D371" s="336"/>
      <c r="E371" s="336">
        <f>(E368-E367)/E367</f>
        <v>8.834872954426741E-2</v>
      </c>
      <c r="F371" s="336">
        <f>(F368-F367)/F367</f>
        <v>9.0069965721492146E-2</v>
      </c>
      <c r="G371" s="336">
        <f>(G368-G367)/G367</f>
        <v>0.19702235825076508</v>
      </c>
      <c r="H371" s="336"/>
      <c r="I371" s="336"/>
      <c r="J371" s="338"/>
      <c r="K371" s="433"/>
      <c r="L371" s="279"/>
      <c r="M371" s="465">
        <f>(M368-M367)/M367</f>
        <v>9.1869680070443244E-2</v>
      </c>
      <c r="N371" s="466">
        <f>(N368-N367)/N367</f>
        <v>8.1403207872150232E-2</v>
      </c>
      <c r="O371" s="444"/>
      <c r="P371" s="340"/>
      <c r="Q371" s="341"/>
      <c r="R371" s="336">
        <f>(R368-R367)/R367</f>
        <v>0.13785012769668409</v>
      </c>
      <c r="S371" s="470"/>
      <c r="T371" s="339"/>
      <c r="U371" s="340"/>
      <c r="V371" s="470"/>
      <c r="W371" s="315"/>
    </row>
    <row r="372" spans="1:23" ht="13.3" thickBot="1" x14ac:dyDescent="0.25">
      <c r="A372" s="611"/>
      <c r="B372" s="418" t="s">
        <v>58</v>
      </c>
      <c r="C372" s="411">
        <f>C369/C363-1</f>
        <v>7.692307692307665E-3</v>
      </c>
      <c r="D372" s="353"/>
      <c r="E372" s="353">
        <f>E369/E363-1</f>
        <v>7.1428571428571175E-3</v>
      </c>
      <c r="F372" s="353">
        <f>F369/F363-1</f>
        <v>6.7114093959732557E-3</v>
      </c>
      <c r="G372" s="353">
        <f>G369/G363-1</f>
        <v>5.8823529411764497E-3</v>
      </c>
      <c r="H372" s="353"/>
      <c r="I372" s="353"/>
      <c r="J372" s="355"/>
      <c r="K372" s="434"/>
      <c r="L372" s="509"/>
      <c r="M372" s="467">
        <f>M369/M363-1</f>
        <v>0</v>
      </c>
      <c r="N372" s="292">
        <f>N369/N363-1</f>
        <v>0</v>
      </c>
      <c r="O372" s="445"/>
      <c r="P372" s="357"/>
      <c r="Q372" s="358"/>
      <c r="R372" s="353">
        <f>R369/R363-1</f>
        <v>0</v>
      </c>
      <c r="S372" s="471"/>
      <c r="T372" s="356"/>
      <c r="U372" s="357"/>
      <c r="V372" s="471"/>
      <c r="W372" s="359"/>
    </row>
    <row r="373" spans="1:23" x14ac:dyDescent="0.2">
      <c r="A373" s="611">
        <v>43422</v>
      </c>
      <c r="B373" s="419" t="s">
        <v>53</v>
      </c>
      <c r="C373" s="408">
        <v>1366.35</v>
      </c>
      <c r="D373" s="347"/>
      <c r="E373" s="346">
        <v>1407.22</v>
      </c>
      <c r="F373" s="346">
        <v>1500.46</v>
      </c>
      <c r="G373" s="346">
        <v>1551</v>
      </c>
      <c r="H373" s="347"/>
      <c r="I373" s="347"/>
      <c r="J373" s="290"/>
      <c r="K373" s="431"/>
      <c r="L373" s="507"/>
      <c r="M373" s="256">
        <v>1371.68</v>
      </c>
      <c r="N373" s="462">
        <v>1384.96</v>
      </c>
      <c r="O373" s="442"/>
      <c r="P373" s="348"/>
      <c r="Q373" s="349"/>
      <c r="R373" s="346">
        <v>1453.4</v>
      </c>
      <c r="S373" s="346"/>
      <c r="T373" s="290"/>
      <c r="U373" s="348"/>
      <c r="V373" s="347"/>
      <c r="W373" s="346">
        <v>1139.8699999999999</v>
      </c>
    </row>
    <row r="374" spans="1:23" x14ac:dyDescent="0.2">
      <c r="A374" s="611"/>
      <c r="B374" s="415" t="s">
        <v>54</v>
      </c>
      <c r="C374" s="409">
        <v>1430</v>
      </c>
      <c r="D374" s="249"/>
      <c r="E374" s="250">
        <v>1534</v>
      </c>
      <c r="F374" s="250">
        <v>1638</v>
      </c>
      <c r="G374" s="250">
        <v>1859</v>
      </c>
      <c r="H374" s="249"/>
      <c r="I374" s="249"/>
      <c r="J374" s="330"/>
      <c r="K374" s="432"/>
      <c r="L374" s="508"/>
      <c r="M374" s="463">
        <v>1512</v>
      </c>
      <c r="N374" s="464">
        <v>1512</v>
      </c>
      <c r="O374" s="446"/>
      <c r="P374" s="331"/>
      <c r="Q374" s="332"/>
      <c r="R374" s="250">
        <v>1656</v>
      </c>
      <c r="S374" s="496"/>
      <c r="T374" s="330"/>
      <c r="U374" s="334"/>
      <c r="V374" s="469"/>
      <c r="W374" s="315"/>
    </row>
    <row r="375" spans="1:23" x14ac:dyDescent="0.2">
      <c r="A375" s="611"/>
      <c r="B375" s="415" t="s">
        <v>55</v>
      </c>
      <c r="C375" s="409">
        <v>1.32</v>
      </c>
      <c r="D375" s="249"/>
      <c r="E375" s="250">
        <v>1.42</v>
      </c>
      <c r="F375" s="250">
        <v>1.51</v>
      </c>
      <c r="G375" s="250">
        <v>1.72</v>
      </c>
      <c r="H375" s="249"/>
      <c r="I375" s="249"/>
      <c r="J375" s="330"/>
      <c r="K375" s="432"/>
      <c r="L375" s="508"/>
      <c r="M375" s="463">
        <v>1.51</v>
      </c>
      <c r="N375" s="464">
        <v>1.51</v>
      </c>
      <c r="O375" s="443"/>
      <c r="P375" s="334"/>
      <c r="Q375" s="335"/>
      <c r="R375" s="250">
        <v>1.66</v>
      </c>
      <c r="S375" s="469"/>
      <c r="T375" s="333"/>
      <c r="U375" s="334"/>
      <c r="V375" s="497"/>
      <c r="W375" s="315"/>
    </row>
    <row r="376" spans="1:23" x14ac:dyDescent="0.2">
      <c r="A376" s="611"/>
      <c r="B376" s="415" t="s">
        <v>56</v>
      </c>
      <c r="C376" s="410">
        <f>(C374-C373)/C374</f>
        <v>4.4510489510489575E-2</v>
      </c>
      <c r="D376" s="336"/>
      <c r="E376" s="336">
        <f>(E374-E373)/E374</f>
        <v>8.2646675358539742E-2</v>
      </c>
      <c r="F376" s="336">
        <f>(F374-F373)/F374</f>
        <v>8.3968253968253942E-2</v>
      </c>
      <c r="G376" s="336">
        <f>(G374-G373)/G374</f>
        <v>0.16568047337278108</v>
      </c>
      <c r="H376" s="336"/>
      <c r="I376" s="336"/>
      <c r="J376" s="338"/>
      <c r="K376" s="433"/>
      <c r="L376" s="279"/>
      <c r="M376" s="465">
        <f>(M374-M373)/M374</f>
        <v>9.2804232804232764E-2</v>
      </c>
      <c r="N376" s="466">
        <f>(N374-N373)/N374</f>
        <v>8.4021164021163997E-2</v>
      </c>
      <c r="O376" s="444"/>
      <c r="P376" s="340"/>
      <c r="Q376" s="341"/>
      <c r="R376" s="336">
        <f>(R374-R373)/R374</f>
        <v>0.12234299516908206</v>
      </c>
      <c r="S376" s="470"/>
      <c r="T376" s="339"/>
      <c r="U376" s="340"/>
      <c r="V376" s="470"/>
      <c r="W376" s="315"/>
    </row>
    <row r="377" spans="1:23" x14ac:dyDescent="0.2">
      <c r="A377" s="611"/>
      <c r="B377" s="415" t="s">
        <v>57</v>
      </c>
      <c r="C377" s="410">
        <f>(C374-C373)/C373</f>
        <v>4.6583964577158195E-2</v>
      </c>
      <c r="D377" s="336"/>
      <c r="E377" s="336">
        <f>(E374-E373)/E373</f>
        <v>9.0092522846463213E-2</v>
      </c>
      <c r="F377" s="336">
        <f>(F374-F373)/F373</f>
        <v>9.1665222665049353E-2</v>
      </c>
      <c r="G377" s="336">
        <f>(G374-G373)/G373</f>
        <v>0.19858156028368795</v>
      </c>
      <c r="H377" s="336"/>
      <c r="I377" s="336"/>
      <c r="J377" s="338"/>
      <c r="K377" s="433"/>
      <c r="L377" s="279"/>
      <c r="M377" s="465">
        <f>(M374-M373)/M373</f>
        <v>0.10229791204945755</v>
      </c>
      <c r="N377" s="466">
        <f>(N374-N373)/N373</f>
        <v>9.1728280961182962E-2</v>
      </c>
      <c r="O377" s="444"/>
      <c r="P377" s="340"/>
      <c r="Q377" s="341"/>
      <c r="R377" s="336">
        <f>(R374-R373)/R373</f>
        <v>0.13939727535434146</v>
      </c>
      <c r="S377" s="470"/>
      <c r="T377" s="339"/>
      <c r="U377" s="340"/>
      <c r="V377" s="470"/>
      <c r="W377" s="315"/>
    </row>
    <row r="378" spans="1:23" ht="13.3" thickBot="1" x14ac:dyDescent="0.25">
      <c r="A378" s="611"/>
      <c r="B378" s="418" t="s">
        <v>58</v>
      </c>
      <c r="C378" s="411">
        <f>C375/C369-1</f>
        <v>7.6335877862594437E-3</v>
      </c>
      <c r="D378" s="353"/>
      <c r="E378" s="353">
        <f>E375/E369-1</f>
        <v>7.0921985815601829E-3</v>
      </c>
      <c r="F378" s="353">
        <f>F375/F369-1</f>
        <v>6.6666666666665986E-3</v>
      </c>
      <c r="G378" s="353">
        <f>G375/G369-1</f>
        <v>5.8479532163742132E-3</v>
      </c>
      <c r="H378" s="353"/>
      <c r="I378" s="353"/>
      <c r="J378" s="355"/>
      <c r="K378" s="434"/>
      <c r="L378" s="509"/>
      <c r="M378" s="467">
        <f>M375/M369-1</f>
        <v>1.3422818791946289E-2</v>
      </c>
      <c r="N378" s="292">
        <f>N375/N369-1</f>
        <v>1.3422818791946289E-2</v>
      </c>
      <c r="O378" s="445"/>
      <c r="P378" s="357"/>
      <c r="Q378" s="358"/>
      <c r="R378" s="353">
        <f>R375/R369-1</f>
        <v>1.2195121951219523E-2</v>
      </c>
      <c r="S378" s="471"/>
      <c r="T378" s="356"/>
      <c r="U378" s="357"/>
      <c r="V378" s="471"/>
      <c r="W378" s="359"/>
    </row>
    <row r="379" spans="1:23" x14ac:dyDescent="0.2">
      <c r="A379" s="611">
        <v>43429</v>
      </c>
      <c r="B379" s="419" t="s">
        <v>53</v>
      </c>
      <c r="C379" s="408">
        <v>1376.47</v>
      </c>
      <c r="D379" s="347"/>
      <c r="E379" s="346">
        <v>1407.22</v>
      </c>
      <c r="F379" s="346">
        <v>1510.19</v>
      </c>
      <c r="G379" s="346">
        <v>1559.84</v>
      </c>
      <c r="H379" s="347"/>
      <c r="I379" s="347"/>
      <c r="J379" s="290"/>
      <c r="K379" s="431"/>
      <c r="L379" s="507"/>
      <c r="M379" s="256">
        <v>1380.56</v>
      </c>
      <c r="N379" s="462">
        <v>1393.93</v>
      </c>
      <c r="O379" s="442"/>
      <c r="P379" s="348"/>
      <c r="Q379" s="349"/>
      <c r="R379" s="346">
        <v>1461.97</v>
      </c>
      <c r="S379" s="346"/>
      <c r="T379" s="290"/>
      <c r="U379" s="348"/>
      <c r="V379" s="347"/>
      <c r="W379" s="346">
        <v>1150.96</v>
      </c>
    </row>
    <row r="380" spans="1:23" x14ac:dyDescent="0.2">
      <c r="A380" s="611"/>
      <c r="B380" s="415" t="s">
        <v>54</v>
      </c>
      <c r="C380" s="409">
        <v>1443</v>
      </c>
      <c r="D380" s="249"/>
      <c r="E380" s="250">
        <v>1534</v>
      </c>
      <c r="F380" s="250">
        <v>1651</v>
      </c>
      <c r="G380" s="250">
        <v>1872</v>
      </c>
      <c r="H380" s="249"/>
      <c r="I380" s="249"/>
      <c r="J380" s="330"/>
      <c r="K380" s="432"/>
      <c r="L380" s="508"/>
      <c r="M380" s="463">
        <v>1524</v>
      </c>
      <c r="N380" s="464">
        <v>1524</v>
      </c>
      <c r="O380" s="446"/>
      <c r="P380" s="331"/>
      <c r="Q380" s="332"/>
      <c r="R380" s="250">
        <v>1668</v>
      </c>
      <c r="S380" s="496"/>
      <c r="T380" s="330"/>
      <c r="U380" s="334"/>
      <c r="V380" s="469"/>
      <c r="W380" s="315"/>
    </row>
    <row r="381" spans="1:23" x14ac:dyDescent="0.2">
      <c r="A381" s="611"/>
      <c r="B381" s="415" t="s">
        <v>55</v>
      </c>
      <c r="C381" s="409">
        <v>1.33</v>
      </c>
      <c r="D381" s="249"/>
      <c r="E381" s="250">
        <v>1.42</v>
      </c>
      <c r="F381" s="250">
        <v>1.52</v>
      </c>
      <c r="G381" s="250">
        <v>1.73</v>
      </c>
      <c r="H381" s="249"/>
      <c r="I381" s="249"/>
      <c r="J381" s="330"/>
      <c r="K381" s="432"/>
      <c r="L381" s="508"/>
      <c r="M381" s="463">
        <v>1.52</v>
      </c>
      <c r="N381" s="464">
        <v>1.52</v>
      </c>
      <c r="O381" s="443"/>
      <c r="P381" s="334"/>
      <c r="Q381" s="335"/>
      <c r="R381" s="250">
        <v>1.67</v>
      </c>
      <c r="S381" s="469"/>
      <c r="T381" s="333"/>
      <c r="U381" s="334"/>
      <c r="V381" s="497"/>
      <c r="W381" s="315"/>
    </row>
    <row r="382" spans="1:23" x14ac:dyDescent="0.2">
      <c r="A382" s="611"/>
      <c r="B382" s="415" t="s">
        <v>56</v>
      </c>
      <c r="C382" s="410">
        <f>(C380-C379)/C380</f>
        <v>4.6105336105336084E-2</v>
      </c>
      <c r="D382" s="336"/>
      <c r="E382" s="336">
        <f>(E380-E379)/E380</f>
        <v>8.2646675358539742E-2</v>
      </c>
      <c r="F382" s="336">
        <f>(F380-F379)/F380</f>
        <v>8.5287704421562652E-2</v>
      </c>
      <c r="G382" s="336">
        <f>(G380-G379)/G380</f>
        <v>0.16675213675213679</v>
      </c>
      <c r="H382" s="336"/>
      <c r="I382" s="336"/>
      <c r="J382" s="338"/>
      <c r="K382" s="433"/>
      <c r="L382" s="279"/>
      <c r="M382" s="465">
        <f>(M380-M379)/M380</f>
        <v>9.4120734908136522E-2</v>
      </c>
      <c r="N382" s="466">
        <f>(N380-N379)/N380</f>
        <v>8.5347769028871354E-2</v>
      </c>
      <c r="O382" s="444"/>
      <c r="P382" s="340"/>
      <c r="Q382" s="341"/>
      <c r="R382" s="336">
        <f>(R380-R379)/R380</f>
        <v>0.12351918465227817</v>
      </c>
      <c r="S382" s="470"/>
      <c r="T382" s="339"/>
      <c r="U382" s="340"/>
      <c r="V382" s="470"/>
      <c r="W382" s="315"/>
    </row>
    <row r="383" spans="1:23" x14ac:dyDescent="0.2">
      <c r="A383" s="611"/>
      <c r="B383" s="415" t="s">
        <v>57</v>
      </c>
      <c r="C383" s="410">
        <f>(C380-C379)/C379</f>
        <v>4.8333781339222774E-2</v>
      </c>
      <c r="D383" s="336"/>
      <c r="E383" s="336">
        <f>(E380-E379)/E379</f>
        <v>9.0092522846463213E-2</v>
      </c>
      <c r="F383" s="336">
        <f>(F380-F379)/F379</f>
        <v>9.323992345334027E-2</v>
      </c>
      <c r="G383" s="336">
        <f>(G380-G379)/G379</f>
        <v>0.20012308954764599</v>
      </c>
      <c r="H383" s="336"/>
      <c r="I383" s="336"/>
      <c r="J383" s="338"/>
      <c r="K383" s="433"/>
      <c r="L383" s="279"/>
      <c r="M383" s="465">
        <f>(M380-M379)/M379</f>
        <v>0.10389986672075105</v>
      </c>
      <c r="N383" s="466">
        <f>(N380-N379)/N379</f>
        <v>9.3311715796345535E-2</v>
      </c>
      <c r="O383" s="444"/>
      <c r="P383" s="340"/>
      <c r="Q383" s="341"/>
      <c r="R383" s="336">
        <f>(R380-R379)/R379</f>
        <v>0.14092628439708063</v>
      </c>
      <c r="S383" s="470"/>
      <c r="T383" s="339"/>
      <c r="U383" s="340"/>
      <c r="V383" s="470"/>
      <c r="W383" s="315"/>
    </row>
    <row r="384" spans="1:23" ht="13.3" thickBot="1" x14ac:dyDescent="0.25">
      <c r="A384" s="611"/>
      <c r="B384" s="418" t="s">
        <v>58</v>
      </c>
      <c r="C384" s="411">
        <f>C381/C375-1</f>
        <v>7.575757575757569E-3</v>
      </c>
      <c r="D384" s="353"/>
      <c r="E384" s="353">
        <f>E381/E375-1</f>
        <v>0</v>
      </c>
      <c r="F384" s="353">
        <f>F381/F375-1</f>
        <v>6.6225165562914245E-3</v>
      </c>
      <c r="G384" s="353">
        <f>G381/G375-1</f>
        <v>5.8139534883721034E-3</v>
      </c>
      <c r="H384" s="353"/>
      <c r="I384" s="353"/>
      <c r="J384" s="355"/>
      <c r="K384" s="434"/>
      <c r="L384" s="509"/>
      <c r="M384" s="467">
        <f>M381/M375-1</f>
        <v>6.6225165562914245E-3</v>
      </c>
      <c r="N384" s="292">
        <f>N381/N375-1</f>
        <v>6.6225165562914245E-3</v>
      </c>
      <c r="O384" s="445"/>
      <c r="P384" s="357"/>
      <c r="Q384" s="358"/>
      <c r="R384" s="353">
        <f>R381/R375-1</f>
        <v>6.0240963855422436E-3</v>
      </c>
      <c r="S384" s="471"/>
      <c r="T384" s="356"/>
      <c r="U384" s="357"/>
      <c r="V384" s="471"/>
      <c r="W384" s="359"/>
    </row>
    <row r="385" spans="1:23" x14ac:dyDescent="0.2">
      <c r="A385" s="611">
        <v>43443</v>
      </c>
      <c r="B385" s="419" t="s">
        <v>53</v>
      </c>
      <c r="C385" s="408">
        <v>1386.59</v>
      </c>
      <c r="D385" s="347"/>
      <c r="E385" s="346">
        <v>1416.91</v>
      </c>
      <c r="F385" s="346">
        <v>1519.92</v>
      </c>
      <c r="G385" s="346">
        <v>1568.68</v>
      </c>
      <c r="H385" s="347"/>
      <c r="I385" s="347"/>
      <c r="J385" s="290"/>
      <c r="K385" s="431"/>
      <c r="L385" s="507"/>
      <c r="M385" s="256">
        <v>1389.44</v>
      </c>
      <c r="N385" s="462">
        <v>1402.9</v>
      </c>
      <c r="O385" s="442"/>
      <c r="P385" s="348"/>
      <c r="Q385" s="349"/>
      <c r="R385" s="346">
        <v>1470.54</v>
      </c>
      <c r="S385" s="346"/>
      <c r="T385" s="290"/>
      <c r="U385" s="348"/>
      <c r="V385" s="347"/>
      <c r="W385" s="346">
        <v>1162.1600000000001</v>
      </c>
    </row>
    <row r="386" spans="1:23" x14ac:dyDescent="0.2">
      <c r="A386" s="611"/>
      <c r="B386" s="415" t="s">
        <v>54</v>
      </c>
      <c r="C386" s="409">
        <v>1456</v>
      </c>
      <c r="D386" s="249"/>
      <c r="E386" s="250">
        <v>1547</v>
      </c>
      <c r="F386" s="250">
        <v>1651</v>
      </c>
      <c r="G386" s="250">
        <v>1885</v>
      </c>
      <c r="H386" s="249"/>
      <c r="I386" s="249"/>
      <c r="J386" s="330"/>
      <c r="K386" s="432"/>
      <c r="L386" s="508"/>
      <c r="M386" s="463">
        <v>1524</v>
      </c>
      <c r="N386" s="464">
        <v>1524</v>
      </c>
      <c r="O386" s="446"/>
      <c r="P386" s="331"/>
      <c r="Q386" s="332"/>
      <c r="R386" s="250">
        <v>1680</v>
      </c>
      <c r="S386" s="496"/>
      <c r="T386" s="330"/>
      <c r="U386" s="334"/>
      <c r="V386" s="469"/>
      <c r="W386" s="315"/>
    </row>
    <row r="387" spans="1:23" x14ac:dyDescent="0.2">
      <c r="A387" s="611"/>
      <c r="B387" s="415" t="s">
        <v>55</v>
      </c>
      <c r="C387" s="409">
        <v>1.34</v>
      </c>
      <c r="D387" s="249"/>
      <c r="E387" s="250">
        <v>1.43</v>
      </c>
      <c r="F387" s="250">
        <v>1.53</v>
      </c>
      <c r="G387" s="250">
        <v>1.74</v>
      </c>
      <c r="H387" s="249"/>
      <c r="I387" s="249"/>
      <c r="J387" s="330"/>
      <c r="K387" s="432"/>
      <c r="L387" s="508"/>
      <c r="M387" s="463">
        <v>1.53</v>
      </c>
      <c r="N387" s="464">
        <v>1.53</v>
      </c>
      <c r="O387" s="443"/>
      <c r="P387" s="334"/>
      <c r="Q387" s="335"/>
      <c r="R387" s="250">
        <v>1.68</v>
      </c>
      <c r="S387" s="469"/>
      <c r="T387" s="333"/>
      <c r="U387" s="334"/>
      <c r="V387" s="497"/>
      <c r="W387" s="315"/>
    </row>
    <row r="388" spans="1:23" x14ac:dyDescent="0.2">
      <c r="A388" s="611"/>
      <c r="B388" s="415" t="s">
        <v>56</v>
      </c>
      <c r="C388" s="410">
        <f>(C386-C385)/C386</f>
        <v>4.7671703296703352E-2</v>
      </c>
      <c r="D388" s="336"/>
      <c r="E388" s="336">
        <f>(E386-E385)/E386</f>
        <v>8.409179056237874E-2</v>
      </c>
      <c r="F388" s="336">
        <f>(F386-F385)/F386</f>
        <v>7.9394306480920607E-2</v>
      </c>
      <c r="G388" s="336">
        <f>(G386-G385)/G386</f>
        <v>0.16780901856763922</v>
      </c>
      <c r="H388" s="336"/>
      <c r="I388" s="336"/>
      <c r="J388" s="338"/>
      <c r="K388" s="433"/>
      <c r="L388" s="279"/>
      <c r="M388" s="465">
        <f>(M386-M385)/M386</f>
        <v>8.8293963254593141E-2</v>
      </c>
      <c r="N388" s="466">
        <f>(N386-N385)/N386</f>
        <v>7.9461942257217782E-2</v>
      </c>
      <c r="O388" s="444"/>
      <c r="P388" s="340"/>
      <c r="Q388" s="341"/>
      <c r="R388" s="336">
        <f>(R386-R385)/R386</f>
        <v>0.12467857142857144</v>
      </c>
      <c r="S388" s="470"/>
      <c r="T388" s="339"/>
      <c r="U388" s="340"/>
      <c r="V388" s="470"/>
      <c r="W388" s="315"/>
    </row>
    <row r="389" spans="1:23" x14ac:dyDescent="0.2">
      <c r="A389" s="611"/>
      <c r="B389" s="415" t="s">
        <v>57</v>
      </c>
      <c r="C389" s="410">
        <f>(C386-C385)/C385</f>
        <v>5.0058056094447592E-2</v>
      </c>
      <c r="D389" s="336"/>
      <c r="E389" s="336">
        <f>(E386-E385)/E385</f>
        <v>9.181246515304424E-2</v>
      </c>
      <c r="F389" s="336">
        <f>(F386-F385)/F385</f>
        <v>8.6241381125322328E-2</v>
      </c>
      <c r="G389" s="336">
        <f>(G386-G385)/G385</f>
        <v>0.20164724481729857</v>
      </c>
      <c r="H389" s="336"/>
      <c r="I389" s="336"/>
      <c r="J389" s="338"/>
      <c r="K389" s="433"/>
      <c r="L389" s="279"/>
      <c r="M389" s="465">
        <f>(M386-M385)/M385</f>
        <v>9.6844771994472556E-2</v>
      </c>
      <c r="N389" s="466">
        <f>(N386-N385)/N385</f>
        <v>8.6321191816950527E-2</v>
      </c>
      <c r="O389" s="444"/>
      <c r="P389" s="340"/>
      <c r="Q389" s="341"/>
      <c r="R389" s="336">
        <f>(R386-R385)/R385</f>
        <v>0.14243747194907996</v>
      </c>
      <c r="S389" s="470"/>
      <c r="T389" s="339"/>
      <c r="U389" s="340"/>
      <c r="V389" s="470"/>
      <c r="W389" s="315"/>
    </row>
    <row r="390" spans="1:23" ht="13.3" thickBot="1" x14ac:dyDescent="0.25">
      <c r="A390" s="611"/>
      <c r="B390" s="418" t="s">
        <v>58</v>
      </c>
      <c r="C390" s="411">
        <f>C387/C381-1</f>
        <v>7.5187969924812581E-3</v>
      </c>
      <c r="D390" s="353"/>
      <c r="E390" s="353">
        <f>E387/E381-1</f>
        <v>7.0422535211267512E-3</v>
      </c>
      <c r="F390" s="353">
        <f>F387/F381-1</f>
        <v>6.5789473684210176E-3</v>
      </c>
      <c r="G390" s="353">
        <f>G387/G381-1</f>
        <v>5.7803468208093012E-3</v>
      </c>
      <c r="H390" s="353"/>
      <c r="I390" s="353"/>
      <c r="J390" s="355"/>
      <c r="K390" s="434"/>
      <c r="L390" s="509"/>
      <c r="M390" s="467">
        <f>M387/M381-1</f>
        <v>6.5789473684210176E-3</v>
      </c>
      <c r="N390" s="292">
        <f>N387/N381-1</f>
        <v>6.5789473684210176E-3</v>
      </c>
      <c r="O390" s="445"/>
      <c r="P390" s="357"/>
      <c r="Q390" s="358"/>
      <c r="R390" s="353">
        <f>R387/R381-1</f>
        <v>5.9880239520957446E-3</v>
      </c>
      <c r="S390" s="471"/>
      <c r="T390" s="356"/>
      <c r="U390" s="357"/>
      <c r="V390" s="471"/>
      <c r="W390" s="359"/>
    </row>
    <row r="391" spans="1:23" x14ac:dyDescent="0.2">
      <c r="A391" s="611">
        <v>43450</v>
      </c>
      <c r="B391" s="419" t="s">
        <v>53</v>
      </c>
      <c r="C391" s="408">
        <v>1396.71</v>
      </c>
      <c r="D391" s="347"/>
      <c r="E391" s="346">
        <v>1416.91</v>
      </c>
      <c r="F391" s="346">
        <v>1529.65</v>
      </c>
      <c r="G391" s="346">
        <v>1577.52</v>
      </c>
      <c r="H391" s="347"/>
      <c r="I391" s="347"/>
      <c r="J391" s="290"/>
      <c r="K391" s="431"/>
      <c r="L391" s="507"/>
      <c r="M391" s="256">
        <v>1398.32</v>
      </c>
      <c r="N391" s="462">
        <v>1411.87</v>
      </c>
      <c r="O391" s="442"/>
      <c r="P391" s="348"/>
      <c r="Q391" s="349"/>
      <c r="R391" s="346">
        <v>1479.11</v>
      </c>
      <c r="S391" s="346"/>
      <c r="T391" s="290"/>
      <c r="U391" s="348"/>
      <c r="V391" s="347"/>
      <c r="W391" s="346">
        <v>1173.47</v>
      </c>
    </row>
    <row r="392" spans="1:23" x14ac:dyDescent="0.2">
      <c r="A392" s="611"/>
      <c r="B392" s="415" t="s">
        <v>54</v>
      </c>
      <c r="C392" s="409">
        <v>1456</v>
      </c>
      <c r="D392" s="249"/>
      <c r="E392" s="250">
        <v>1547</v>
      </c>
      <c r="F392" s="250">
        <v>1664</v>
      </c>
      <c r="G392" s="250">
        <v>1898</v>
      </c>
      <c r="H392" s="249"/>
      <c r="I392" s="249"/>
      <c r="J392" s="330"/>
      <c r="K392" s="432"/>
      <c r="L392" s="508"/>
      <c r="M392" s="463">
        <v>1536</v>
      </c>
      <c r="N392" s="464">
        <v>1536</v>
      </c>
      <c r="O392" s="446"/>
      <c r="P392" s="331"/>
      <c r="Q392" s="332"/>
      <c r="R392" s="250">
        <v>1692</v>
      </c>
      <c r="S392" s="496"/>
      <c r="T392" s="330"/>
      <c r="U392" s="334"/>
      <c r="V392" s="469"/>
      <c r="W392" s="315"/>
    </row>
    <row r="393" spans="1:23" x14ac:dyDescent="0.2">
      <c r="A393" s="611"/>
      <c r="B393" s="415" t="s">
        <v>55</v>
      </c>
      <c r="C393" s="409">
        <v>1.35</v>
      </c>
      <c r="D393" s="249"/>
      <c r="E393" s="250">
        <v>1.43</v>
      </c>
      <c r="F393" s="250">
        <v>1.54</v>
      </c>
      <c r="G393" s="250">
        <v>1.75</v>
      </c>
      <c r="H393" s="249"/>
      <c r="I393" s="249"/>
      <c r="J393" s="330"/>
      <c r="K393" s="432"/>
      <c r="L393" s="508"/>
      <c r="M393" s="463">
        <v>1.54</v>
      </c>
      <c r="N393" s="464">
        <v>1.54</v>
      </c>
      <c r="O393" s="443"/>
      <c r="P393" s="334"/>
      <c r="Q393" s="335"/>
      <c r="R393" s="250">
        <v>1.69</v>
      </c>
      <c r="S393" s="469"/>
      <c r="T393" s="333"/>
      <c r="U393" s="334"/>
      <c r="V393" s="497"/>
      <c r="W393" s="315"/>
    </row>
    <row r="394" spans="1:23" x14ac:dyDescent="0.2">
      <c r="A394" s="611"/>
      <c r="B394" s="415" t="s">
        <v>56</v>
      </c>
      <c r="C394" s="410">
        <f>(C392-C391)/C392</f>
        <v>4.0721153846153824E-2</v>
      </c>
      <c r="D394" s="336"/>
      <c r="E394" s="336">
        <f>(E392-E391)/E392</f>
        <v>8.409179056237874E-2</v>
      </c>
      <c r="F394" s="336">
        <f>(F392-F391)/F392</f>
        <v>8.0739182692307634E-2</v>
      </c>
      <c r="G394" s="336">
        <f>(G392-G391)/G392</f>
        <v>0.1688514225500527</v>
      </c>
      <c r="H394" s="336"/>
      <c r="I394" s="336"/>
      <c r="J394" s="338"/>
      <c r="K394" s="433"/>
      <c r="L394" s="279"/>
      <c r="M394" s="465">
        <f>(M392-M391)/M392</f>
        <v>8.9635416666666703E-2</v>
      </c>
      <c r="N394" s="466">
        <f>(N392-N391)/N392</f>
        <v>8.08138020833334E-2</v>
      </c>
      <c r="O394" s="444"/>
      <c r="P394" s="340"/>
      <c r="Q394" s="341"/>
      <c r="R394" s="336">
        <f>(R392-R391)/R392</f>
        <v>0.12582151300236413</v>
      </c>
      <c r="S394" s="470"/>
      <c r="T394" s="339"/>
      <c r="U394" s="340"/>
      <c r="V394" s="470"/>
      <c r="W394" s="315"/>
    </row>
    <row r="395" spans="1:23" x14ac:dyDescent="0.2">
      <c r="A395" s="611"/>
      <c r="B395" s="415" t="s">
        <v>57</v>
      </c>
      <c r="C395" s="410">
        <f>(C392-C391)/C391</f>
        <v>4.2449756928782612E-2</v>
      </c>
      <c r="D395" s="336"/>
      <c r="E395" s="336">
        <f>(E392-E391)/E391</f>
        <v>9.181246515304424E-2</v>
      </c>
      <c r="F395" s="336">
        <f>(F392-F391)/F391</f>
        <v>8.7830549472101394E-2</v>
      </c>
      <c r="G395" s="336">
        <f>(G392-G391)/G391</f>
        <v>0.20315431817029261</v>
      </c>
      <c r="H395" s="336"/>
      <c r="I395" s="336"/>
      <c r="J395" s="338"/>
      <c r="K395" s="433"/>
      <c r="L395" s="279"/>
      <c r="M395" s="465">
        <f>(M392-M391)/M391</f>
        <v>9.8461010355283526E-2</v>
      </c>
      <c r="N395" s="466">
        <f>(N392-N391)/N391</f>
        <v>8.7918859385070949E-2</v>
      </c>
      <c r="O395" s="444"/>
      <c r="P395" s="340"/>
      <c r="Q395" s="341"/>
      <c r="R395" s="336">
        <f>(R392-R391)/R391</f>
        <v>0.14393114778481661</v>
      </c>
      <c r="S395" s="470"/>
      <c r="T395" s="339"/>
      <c r="U395" s="340"/>
      <c r="V395" s="470"/>
      <c r="W395" s="315"/>
    </row>
    <row r="396" spans="1:23" ht="13.3" thickBot="1" x14ac:dyDescent="0.25">
      <c r="A396" s="611"/>
      <c r="B396" s="418" t="s">
        <v>58</v>
      </c>
      <c r="C396" s="411">
        <f>C393/C387-1</f>
        <v>7.4626865671640896E-3</v>
      </c>
      <c r="D396" s="353"/>
      <c r="E396" s="353">
        <f>E393/E387-1</f>
        <v>0</v>
      </c>
      <c r="F396" s="353">
        <f>F393/F387-1</f>
        <v>6.5359477124182774E-3</v>
      </c>
      <c r="G396" s="353">
        <f>G393/G387-1</f>
        <v>5.7471264367816577E-3</v>
      </c>
      <c r="H396" s="353"/>
      <c r="I396" s="353"/>
      <c r="J396" s="355"/>
      <c r="K396" s="434"/>
      <c r="L396" s="509"/>
      <c r="M396" s="467">
        <f>M393/M387-1</f>
        <v>6.5359477124182774E-3</v>
      </c>
      <c r="N396" s="292">
        <f>N393/N387-1</f>
        <v>6.5359477124182774E-3</v>
      </c>
      <c r="O396" s="445"/>
      <c r="P396" s="357"/>
      <c r="Q396" s="358"/>
      <c r="R396" s="353">
        <f>R393/R387-1</f>
        <v>5.9523809523809312E-3</v>
      </c>
      <c r="S396" s="471"/>
      <c r="T396" s="356"/>
      <c r="U396" s="357"/>
      <c r="V396" s="471"/>
      <c r="W396" s="359"/>
    </row>
    <row r="397" spans="1:23" x14ac:dyDescent="0.2">
      <c r="A397" s="611">
        <v>43468</v>
      </c>
      <c r="B397" s="419" t="s">
        <v>53</v>
      </c>
      <c r="C397" s="408">
        <v>1396.71</v>
      </c>
      <c r="D397" s="347"/>
      <c r="E397" s="346">
        <v>1416.91</v>
      </c>
      <c r="F397" s="346">
        <v>1529.65</v>
      </c>
      <c r="G397" s="346">
        <v>1577.52</v>
      </c>
      <c r="H397" s="347"/>
      <c r="I397" s="347"/>
      <c r="J397" s="290"/>
      <c r="K397" s="431"/>
      <c r="L397" s="507"/>
      <c r="M397" s="256">
        <v>1398.32</v>
      </c>
      <c r="N397" s="462">
        <v>1411.87</v>
      </c>
      <c r="O397" s="442"/>
      <c r="P397" s="348"/>
      <c r="Q397" s="349"/>
      <c r="R397" s="346">
        <v>1479.11</v>
      </c>
      <c r="S397" s="346"/>
      <c r="T397" s="290"/>
      <c r="U397" s="348"/>
      <c r="V397" s="347"/>
      <c r="W397" s="346">
        <v>1173.47</v>
      </c>
    </row>
    <row r="398" spans="1:23" x14ac:dyDescent="0.2">
      <c r="A398" s="611"/>
      <c r="B398" s="415" t="s">
        <v>54</v>
      </c>
      <c r="C398" s="409">
        <v>1456</v>
      </c>
      <c r="D398" s="249"/>
      <c r="E398" s="250">
        <v>1547</v>
      </c>
      <c r="F398" s="250">
        <v>1664</v>
      </c>
      <c r="G398" s="250">
        <v>1898</v>
      </c>
      <c r="H398" s="249"/>
      <c r="I398" s="249"/>
      <c r="J398" s="330"/>
      <c r="K398" s="432"/>
      <c r="L398" s="508"/>
      <c r="M398" s="463">
        <v>1536</v>
      </c>
      <c r="N398" s="464">
        <v>1536</v>
      </c>
      <c r="O398" s="446"/>
      <c r="P398" s="331"/>
      <c r="Q398" s="332"/>
      <c r="R398" s="250">
        <v>1692</v>
      </c>
      <c r="S398" s="496"/>
      <c r="T398" s="330"/>
      <c r="U398" s="334"/>
      <c r="V398" s="469"/>
      <c r="W398" s="315"/>
    </row>
    <row r="399" spans="1:23" x14ac:dyDescent="0.2">
      <c r="A399" s="611"/>
      <c r="B399" s="415" t="s">
        <v>55</v>
      </c>
      <c r="C399" s="409">
        <v>1.35</v>
      </c>
      <c r="D399" s="249"/>
      <c r="E399" s="250">
        <v>1.41</v>
      </c>
      <c r="F399" s="250">
        <v>1.52</v>
      </c>
      <c r="G399" s="250">
        <v>1.75</v>
      </c>
      <c r="H399" s="249"/>
      <c r="I399" s="249"/>
      <c r="J399" s="330"/>
      <c r="K399" s="432"/>
      <c r="L399" s="508"/>
      <c r="M399" s="463">
        <v>1.53</v>
      </c>
      <c r="N399" s="464">
        <v>1.53</v>
      </c>
      <c r="O399" s="443"/>
      <c r="P399" s="334"/>
      <c r="Q399" s="335"/>
      <c r="R399" s="250">
        <v>1.69</v>
      </c>
      <c r="S399" s="469"/>
      <c r="T399" s="333"/>
      <c r="U399" s="334"/>
      <c r="V399" s="497"/>
      <c r="W399" s="315"/>
    </row>
    <row r="400" spans="1:23" x14ac:dyDescent="0.2">
      <c r="A400" s="611"/>
      <c r="B400" s="415" t="s">
        <v>56</v>
      </c>
      <c r="C400" s="410">
        <f>(C398-C397)/C398</f>
        <v>4.0721153846153824E-2</v>
      </c>
      <c r="D400" s="336"/>
      <c r="E400" s="336">
        <f>(E398-E397)/E398</f>
        <v>8.409179056237874E-2</v>
      </c>
      <c r="F400" s="336">
        <f>(F398-F397)/F398</f>
        <v>8.0739182692307634E-2</v>
      </c>
      <c r="G400" s="336">
        <f>(G398-G397)/G398</f>
        <v>0.1688514225500527</v>
      </c>
      <c r="H400" s="336"/>
      <c r="I400" s="336"/>
      <c r="J400" s="338"/>
      <c r="K400" s="433"/>
      <c r="L400" s="279"/>
      <c r="M400" s="465">
        <f>(M398-M397)/M398</f>
        <v>8.9635416666666703E-2</v>
      </c>
      <c r="N400" s="466">
        <f>(N398-N397)/N398</f>
        <v>8.08138020833334E-2</v>
      </c>
      <c r="O400" s="444"/>
      <c r="P400" s="340"/>
      <c r="Q400" s="341"/>
      <c r="R400" s="336">
        <f>(R398-R397)/R398</f>
        <v>0.12582151300236413</v>
      </c>
      <c r="S400" s="470"/>
      <c r="T400" s="339"/>
      <c r="U400" s="340"/>
      <c r="V400" s="470"/>
      <c r="W400" s="315"/>
    </row>
    <row r="401" spans="1:23" x14ac:dyDescent="0.2">
      <c r="A401" s="611"/>
      <c r="B401" s="415" t="s">
        <v>57</v>
      </c>
      <c r="C401" s="410">
        <f>(C398-C397)/C397</f>
        <v>4.2449756928782612E-2</v>
      </c>
      <c r="D401" s="336"/>
      <c r="E401" s="336">
        <f>(E398-E397)/E397</f>
        <v>9.181246515304424E-2</v>
      </c>
      <c r="F401" s="336">
        <f>(F398-F397)/F397</f>
        <v>8.7830549472101394E-2</v>
      </c>
      <c r="G401" s="336">
        <f>(G398-G397)/G397</f>
        <v>0.20315431817029261</v>
      </c>
      <c r="H401" s="336"/>
      <c r="I401" s="336"/>
      <c r="J401" s="338"/>
      <c r="K401" s="433"/>
      <c r="L401" s="279"/>
      <c r="M401" s="465">
        <f>(M398-M397)/M397</f>
        <v>9.8461010355283526E-2</v>
      </c>
      <c r="N401" s="466">
        <f>(N398-N397)/N397</f>
        <v>8.7918859385070949E-2</v>
      </c>
      <c r="O401" s="444"/>
      <c r="P401" s="340"/>
      <c r="Q401" s="341"/>
      <c r="R401" s="336">
        <f>(R398-R397)/R397</f>
        <v>0.14393114778481661</v>
      </c>
      <c r="S401" s="470"/>
      <c r="T401" s="339"/>
      <c r="U401" s="340"/>
      <c r="V401" s="470"/>
      <c r="W401" s="315"/>
    </row>
    <row r="402" spans="1:23" ht="13.3" thickBot="1" x14ac:dyDescent="0.25">
      <c r="A402" s="611"/>
      <c r="B402" s="418" t="s">
        <v>58</v>
      </c>
      <c r="C402" s="411">
        <f>C399/C393-1</f>
        <v>0</v>
      </c>
      <c r="D402" s="353"/>
      <c r="E402" s="353">
        <f>E399/E393-1</f>
        <v>-1.3986013986013957E-2</v>
      </c>
      <c r="F402" s="353">
        <f>F399/F393-1</f>
        <v>-1.2987012987012991E-2</v>
      </c>
      <c r="G402" s="353">
        <f>G399/G393-1</f>
        <v>0</v>
      </c>
      <c r="H402" s="353"/>
      <c r="I402" s="353"/>
      <c r="J402" s="355"/>
      <c r="K402" s="434"/>
      <c r="L402" s="509"/>
      <c r="M402" s="467">
        <f>M399/M393-1</f>
        <v>-6.4935064935065512E-3</v>
      </c>
      <c r="N402" s="292">
        <f>N399/N393-1</f>
        <v>-6.4935064935065512E-3</v>
      </c>
      <c r="O402" s="445"/>
      <c r="P402" s="357"/>
      <c r="Q402" s="358"/>
      <c r="R402" s="353">
        <f>R399/R393-1</f>
        <v>0</v>
      </c>
      <c r="S402" s="471"/>
      <c r="T402" s="356"/>
      <c r="U402" s="357"/>
      <c r="V402" s="471"/>
      <c r="W402" s="359"/>
    </row>
    <row r="403" spans="1:23" x14ac:dyDescent="0.2">
      <c r="A403" s="611">
        <v>43492</v>
      </c>
      <c r="B403" s="419" t="s">
        <v>53</v>
      </c>
      <c r="C403" s="408">
        <v>1396.71</v>
      </c>
      <c r="D403" s="347"/>
      <c r="E403" s="346">
        <v>1416.91</v>
      </c>
      <c r="F403" s="346">
        <v>1529.65</v>
      </c>
      <c r="G403" s="346">
        <v>1577.52</v>
      </c>
      <c r="H403" s="347"/>
      <c r="I403" s="347"/>
      <c r="J403" s="290"/>
      <c r="K403" s="431"/>
      <c r="L403" s="507"/>
      <c r="M403" s="256">
        <v>1398.32</v>
      </c>
      <c r="N403" s="462">
        <v>1411.87</v>
      </c>
      <c r="O403" s="442"/>
      <c r="P403" s="348"/>
      <c r="Q403" s="349"/>
      <c r="R403" s="346">
        <v>1479.11</v>
      </c>
      <c r="S403" s="346"/>
      <c r="T403" s="290"/>
      <c r="U403" s="348"/>
      <c r="V403" s="347"/>
      <c r="W403" s="346">
        <v>1173.47</v>
      </c>
    </row>
    <row r="404" spans="1:23" x14ac:dyDescent="0.2">
      <c r="A404" s="611"/>
      <c r="B404" s="415" t="s">
        <v>54</v>
      </c>
      <c r="C404" s="409">
        <v>1456</v>
      </c>
      <c r="D404" s="249"/>
      <c r="E404" s="250">
        <v>1547</v>
      </c>
      <c r="F404" s="250">
        <v>1664</v>
      </c>
      <c r="G404" s="250">
        <v>1898</v>
      </c>
      <c r="H404" s="249"/>
      <c r="I404" s="249"/>
      <c r="J404" s="330"/>
      <c r="K404" s="432"/>
      <c r="L404" s="508"/>
      <c r="M404" s="463">
        <v>1536</v>
      </c>
      <c r="N404" s="464">
        <v>1536</v>
      </c>
      <c r="O404" s="446"/>
      <c r="P404" s="331"/>
      <c r="Q404" s="332"/>
      <c r="R404" s="250">
        <v>1692</v>
      </c>
      <c r="S404" s="496"/>
      <c r="T404" s="330"/>
      <c r="U404" s="334"/>
      <c r="V404" s="469"/>
      <c r="W404" s="315"/>
    </row>
    <row r="405" spans="1:23" x14ac:dyDescent="0.2">
      <c r="A405" s="611"/>
      <c r="B405" s="415" t="s">
        <v>55</v>
      </c>
      <c r="C405" s="409">
        <v>1.35</v>
      </c>
      <c r="D405" s="249"/>
      <c r="E405" s="250">
        <v>1.43</v>
      </c>
      <c r="F405" s="250">
        <v>1.54</v>
      </c>
      <c r="G405" s="250">
        <v>1.75</v>
      </c>
      <c r="H405" s="249"/>
      <c r="I405" s="249"/>
      <c r="J405" s="330"/>
      <c r="K405" s="432"/>
      <c r="L405" s="508"/>
      <c r="M405" s="463">
        <v>1.54</v>
      </c>
      <c r="N405" s="464">
        <v>1.54</v>
      </c>
      <c r="O405" s="443"/>
      <c r="P405" s="334"/>
      <c r="Q405" s="335"/>
      <c r="R405" s="250">
        <v>1.69</v>
      </c>
      <c r="S405" s="469"/>
      <c r="T405" s="333"/>
      <c r="U405" s="334"/>
      <c r="V405" s="497"/>
      <c r="W405" s="315"/>
    </row>
    <row r="406" spans="1:23" x14ac:dyDescent="0.2">
      <c r="A406" s="611"/>
      <c r="B406" s="415" t="s">
        <v>56</v>
      </c>
      <c r="C406" s="410">
        <f>(C404-C403)/C404</f>
        <v>4.0721153846153824E-2</v>
      </c>
      <c r="D406" s="336"/>
      <c r="E406" s="336">
        <f>(E404-E403)/E404</f>
        <v>8.409179056237874E-2</v>
      </c>
      <c r="F406" s="336">
        <f>(F404-F403)/F404</f>
        <v>8.0739182692307634E-2</v>
      </c>
      <c r="G406" s="336">
        <f>(G404-G403)/G404</f>
        <v>0.1688514225500527</v>
      </c>
      <c r="H406" s="336"/>
      <c r="I406" s="336"/>
      <c r="J406" s="338"/>
      <c r="K406" s="433"/>
      <c r="L406" s="279"/>
      <c r="M406" s="465">
        <f>(M404-M403)/M404</f>
        <v>8.9635416666666703E-2</v>
      </c>
      <c r="N406" s="466">
        <f>(N404-N403)/N404</f>
        <v>8.08138020833334E-2</v>
      </c>
      <c r="O406" s="444"/>
      <c r="P406" s="340"/>
      <c r="Q406" s="341"/>
      <c r="R406" s="336">
        <f>(R404-R403)/R404</f>
        <v>0.12582151300236413</v>
      </c>
      <c r="S406" s="470"/>
      <c r="T406" s="339"/>
      <c r="U406" s="340"/>
      <c r="V406" s="470"/>
      <c r="W406" s="315"/>
    </row>
    <row r="407" spans="1:23" x14ac:dyDescent="0.2">
      <c r="A407" s="611"/>
      <c r="B407" s="415" t="s">
        <v>57</v>
      </c>
      <c r="C407" s="410">
        <f>(C404-C403)/C403</f>
        <v>4.2449756928782612E-2</v>
      </c>
      <c r="D407" s="336"/>
      <c r="E407" s="336">
        <f>(E404-E403)/E403</f>
        <v>9.181246515304424E-2</v>
      </c>
      <c r="F407" s="336">
        <f>(F404-F403)/F403</f>
        <v>8.7830549472101394E-2</v>
      </c>
      <c r="G407" s="336">
        <f>(G404-G403)/G403</f>
        <v>0.20315431817029261</v>
      </c>
      <c r="H407" s="336"/>
      <c r="I407" s="336"/>
      <c r="J407" s="338"/>
      <c r="K407" s="433"/>
      <c r="L407" s="279"/>
      <c r="M407" s="465">
        <f>(M404-M403)/M403</f>
        <v>9.8461010355283526E-2</v>
      </c>
      <c r="N407" s="466">
        <f>(N404-N403)/N403</f>
        <v>8.7918859385070949E-2</v>
      </c>
      <c r="O407" s="444"/>
      <c r="P407" s="340"/>
      <c r="Q407" s="341"/>
      <c r="R407" s="336">
        <f>(R404-R403)/R403</f>
        <v>0.14393114778481661</v>
      </c>
      <c r="S407" s="470"/>
      <c r="T407" s="339"/>
      <c r="U407" s="340"/>
      <c r="V407" s="470"/>
      <c r="W407" s="315"/>
    </row>
    <row r="408" spans="1:23" ht="13.3" thickBot="1" x14ac:dyDescent="0.25">
      <c r="A408" s="611"/>
      <c r="B408" s="418" t="s">
        <v>58</v>
      </c>
      <c r="C408" s="411">
        <f>C405/C399-1</f>
        <v>0</v>
      </c>
      <c r="D408" s="353"/>
      <c r="E408" s="353">
        <f>E405/E399-1</f>
        <v>1.4184397163120588E-2</v>
      </c>
      <c r="F408" s="353">
        <f>F405/F399-1</f>
        <v>1.3157894736842035E-2</v>
      </c>
      <c r="G408" s="353">
        <f>G405/G399-1</f>
        <v>0</v>
      </c>
      <c r="H408" s="353"/>
      <c r="I408" s="353"/>
      <c r="J408" s="355"/>
      <c r="K408" s="434"/>
      <c r="L408" s="509"/>
      <c r="M408" s="467">
        <f>M405/M399-1</f>
        <v>6.5359477124182774E-3</v>
      </c>
      <c r="N408" s="292">
        <f>N405/N399-1</f>
        <v>6.5359477124182774E-3</v>
      </c>
      <c r="O408" s="445"/>
      <c r="P408" s="357"/>
      <c r="Q408" s="358"/>
      <c r="R408" s="353">
        <f>R405/R399-1</f>
        <v>0</v>
      </c>
      <c r="S408" s="471"/>
      <c r="T408" s="356"/>
      <c r="U408" s="357"/>
      <c r="V408" s="471"/>
      <c r="W408" s="359"/>
    </row>
    <row r="409" spans="1:23" x14ac:dyDescent="0.2">
      <c r="A409" s="611">
        <v>43517</v>
      </c>
      <c r="B409" s="419" t="s">
        <v>53</v>
      </c>
      <c r="C409" s="408">
        <v>1406.83</v>
      </c>
      <c r="D409" s="347"/>
      <c r="E409" s="346">
        <v>1426.6</v>
      </c>
      <c r="F409" s="346">
        <v>1539.38</v>
      </c>
      <c r="G409" s="346">
        <v>1586.36</v>
      </c>
      <c r="H409" s="347"/>
      <c r="I409" s="347"/>
      <c r="J409" s="290"/>
      <c r="K409" s="431"/>
      <c r="L409" s="507"/>
      <c r="M409" s="256">
        <v>1407.2</v>
      </c>
      <c r="N409" s="462">
        <v>1420.84</v>
      </c>
      <c r="O409" s="442"/>
      <c r="P409" s="348"/>
      <c r="Q409" s="349"/>
      <c r="R409" s="346">
        <v>1487.68</v>
      </c>
      <c r="S409" s="346"/>
      <c r="T409" s="290"/>
      <c r="U409" s="348"/>
      <c r="V409" s="347"/>
      <c r="W409" s="346">
        <v>1180.78</v>
      </c>
    </row>
    <row r="410" spans="1:23" x14ac:dyDescent="0.2">
      <c r="A410" s="611"/>
      <c r="B410" s="415" t="s">
        <v>54</v>
      </c>
      <c r="C410" s="409">
        <v>1469</v>
      </c>
      <c r="D410" s="249"/>
      <c r="E410" s="250">
        <v>1560</v>
      </c>
      <c r="F410" s="250">
        <v>1677</v>
      </c>
      <c r="G410" s="250">
        <v>1911</v>
      </c>
      <c r="H410" s="249"/>
      <c r="I410" s="249"/>
      <c r="J410" s="330"/>
      <c r="K410" s="432"/>
      <c r="L410" s="508"/>
      <c r="M410" s="463">
        <v>1548</v>
      </c>
      <c r="N410" s="464">
        <v>1548</v>
      </c>
      <c r="O410" s="446"/>
      <c r="P410" s="331"/>
      <c r="Q410" s="332"/>
      <c r="R410" s="250">
        <v>1704</v>
      </c>
      <c r="S410" s="496"/>
      <c r="T410" s="330"/>
      <c r="U410" s="334"/>
      <c r="V410" s="469"/>
      <c r="W410" s="315"/>
    </row>
    <row r="411" spans="1:23" x14ac:dyDescent="0.2">
      <c r="A411" s="611"/>
      <c r="B411" s="415" t="s">
        <v>55</v>
      </c>
      <c r="C411" s="409">
        <v>1.36</v>
      </c>
      <c r="D411" s="249"/>
      <c r="E411" s="250">
        <v>1.44</v>
      </c>
      <c r="F411" s="250">
        <v>1.55</v>
      </c>
      <c r="G411" s="250">
        <v>1.76</v>
      </c>
      <c r="H411" s="249"/>
      <c r="I411" s="249"/>
      <c r="J411" s="330"/>
      <c r="K411" s="432"/>
      <c r="L411" s="508"/>
      <c r="M411" s="463">
        <v>1.55</v>
      </c>
      <c r="N411" s="464">
        <v>1.55</v>
      </c>
      <c r="O411" s="443"/>
      <c r="P411" s="334"/>
      <c r="Q411" s="335"/>
      <c r="R411" s="250">
        <v>1.7</v>
      </c>
      <c r="S411" s="469"/>
      <c r="T411" s="333"/>
      <c r="U411" s="334"/>
      <c r="V411" s="497"/>
      <c r="W411" s="315"/>
    </row>
    <row r="412" spans="1:23" x14ac:dyDescent="0.2">
      <c r="A412" s="611"/>
      <c r="B412" s="415" t="s">
        <v>56</v>
      </c>
      <c r="C412" s="410">
        <f>(C410-C409)/C410</f>
        <v>4.2321307011572551E-2</v>
      </c>
      <c r="D412" s="336"/>
      <c r="E412" s="336">
        <f>(E410-E409)/E410</f>
        <v>8.5512820512820567E-2</v>
      </c>
      <c r="F412" s="336">
        <f>(F410-F409)/F410</f>
        <v>8.2063208109719676E-2</v>
      </c>
      <c r="G412" s="336">
        <f>(G410-G409)/G410</f>
        <v>0.1698796441653585</v>
      </c>
      <c r="H412" s="336"/>
      <c r="I412" s="336"/>
      <c r="J412" s="338"/>
      <c r="K412" s="433"/>
      <c r="L412" s="279"/>
      <c r="M412" s="465">
        <f>(M410-M409)/M410</f>
        <v>9.0956072351421155E-2</v>
      </c>
      <c r="N412" s="466">
        <f>(N410-N409)/N410</f>
        <v>8.2144702842377321E-2</v>
      </c>
      <c r="O412" s="444"/>
      <c r="P412" s="340"/>
      <c r="Q412" s="341"/>
      <c r="R412" s="336">
        <f>(R410-R409)/R410</f>
        <v>0.12694835680751171</v>
      </c>
      <c r="S412" s="470"/>
      <c r="T412" s="339"/>
      <c r="U412" s="340"/>
      <c r="V412" s="470"/>
      <c r="W412" s="315"/>
    </row>
    <row r="413" spans="1:23" x14ac:dyDescent="0.2">
      <c r="A413" s="611"/>
      <c r="B413" s="415" t="s">
        <v>57</v>
      </c>
      <c r="C413" s="410">
        <f>(C410-C409)/C409</f>
        <v>4.419155121798659E-2</v>
      </c>
      <c r="D413" s="336"/>
      <c r="E413" s="336">
        <f>(E410-E409)/E409</f>
        <v>9.350904247862056E-2</v>
      </c>
      <c r="F413" s="336">
        <f>(F410-F409)/F409</f>
        <v>8.9399628421832092E-2</v>
      </c>
      <c r="G413" s="336">
        <f>(G410-G409)/G409</f>
        <v>0.20464459517385722</v>
      </c>
      <c r="H413" s="336"/>
      <c r="I413" s="336"/>
      <c r="J413" s="338"/>
      <c r="K413" s="433"/>
      <c r="L413" s="279"/>
      <c r="M413" s="465">
        <f>(M410-M409)/M409</f>
        <v>0.10005685048322907</v>
      </c>
      <c r="N413" s="466">
        <f>(N410-N409)/N409</f>
        <v>8.949635426930555E-2</v>
      </c>
      <c r="O413" s="444"/>
      <c r="P413" s="340"/>
      <c r="Q413" s="341"/>
      <c r="R413" s="336">
        <f>(R410-R409)/R409</f>
        <v>0.1454076145407614</v>
      </c>
      <c r="S413" s="470"/>
      <c r="T413" s="339"/>
      <c r="U413" s="340"/>
      <c r="V413" s="470"/>
      <c r="W413" s="315"/>
    </row>
    <row r="414" spans="1:23" ht="13.3" thickBot="1" x14ac:dyDescent="0.25">
      <c r="A414" s="611"/>
      <c r="B414" s="418" t="s">
        <v>58</v>
      </c>
      <c r="C414" s="411">
        <f>C411/C405-1</f>
        <v>7.4074074074073071E-3</v>
      </c>
      <c r="D414" s="353"/>
      <c r="E414" s="353">
        <f>E411/E405-1</f>
        <v>6.9930069930070893E-3</v>
      </c>
      <c r="F414" s="353">
        <f>F411/F405-1</f>
        <v>6.4935064935065512E-3</v>
      </c>
      <c r="G414" s="353">
        <f>G411/G405-1</f>
        <v>5.7142857142857828E-3</v>
      </c>
      <c r="H414" s="353"/>
      <c r="I414" s="353"/>
      <c r="J414" s="355"/>
      <c r="K414" s="434"/>
      <c r="L414" s="509"/>
      <c r="M414" s="467">
        <f>M411/M405-1</f>
        <v>6.4935064935065512E-3</v>
      </c>
      <c r="N414" s="292">
        <f>N411/N405-1</f>
        <v>6.4935064935065512E-3</v>
      </c>
      <c r="O414" s="445"/>
      <c r="P414" s="357"/>
      <c r="Q414" s="358"/>
      <c r="R414" s="353">
        <f>R411/R405-1</f>
        <v>5.9171597633136397E-3</v>
      </c>
      <c r="S414" s="471"/>
      <c r="T414" s="356"/>
      <c r="U414" s="357"/>
      <c r="V414" s="471"/>
      <c r="W414" s="359"/>
    </row>
    <row r="415" spans="1:23" x14ac:dyDescent="0.2">
      <c r="A415" s="611">
        <v>43527</v>
      </c>
      <c r="B415" s="419" t="s">
        <v>53</v>
      </c>
      <c r="C415" s="408">
        <v>1416.95</v>
      </c>
      <c r="D415" s="347"/>
      <c r="E415" s="346">
        <v>1436.29</v>
      </c>
      <c r="F415" s="346">
        <v>1549.11</v>
      </c>
      <c r="G415" s="346">
        <v>1595.2</v>
      </c>
      <c r="H415" s="347"/>
      <c r="I415" s="347"/>
      <c r="J415" s="290"/>
      <c r="K415" s="431"/>
      <c r="L415" s="507"/>
      <c r="M415" s="256">
        <v>1416.08</v>
      </c>
      <c r="N415" s="462">
        <v>1429.81</v>
      </c>
      <c r="O415" s="442"/>
      <c r="P415" s="348"/>
      <c r="Q415" s="349"/>
      <c r="R415" s="346">
        <v>1496.25</v>
      </c>
      <c r="S415" s="346"/>
      <c r="T415" s="290"/>
      <c r="U415" s="348"/>
      <c r="V415" s="347"/>
      <c r="W415" s="346">
        <v>1188.1400000000001</v>
      </c>
    </row>
    <row r="416" spans="1:23" x14ac:dyDescent="0.2">
      <c r="A416" s="611"/>
      <c r="B416" s="415" t="s">
        <v>54</v>
      </c>
      <c r="C416" s="409">
        <v>1482</v>
      </c>
      <c r="D416" s="249"/>
      <c r="E416" s="250">
        <v>1573</v>
      </c>
      <c r="F416" s="250">
        <v>1690</v>
      </c>
      <c r="G416" s="250">
        <v>1911</v>
      </c>
      <c r="H416" s="249"/>
      <c r="I416" s="249"/>
      <c r="J416" s="330"/>
      <c r="K416" s="432"/>
      <c r="L416" s="508"/>
      <c r="M416" s="463">
        <v>1560</v>
      </c>
      <c r="N416" s="464">
        <v>1560</v>
      </c>
      <c r="O416" s="446"/>
      <c r="P416" s="331"/>
      <c r="Q416" s="332"/>
      <c r="R416" s="250">
        <v>1704</v>
      </c>
      <c r="S416" s="496"/>
      <c r="T416" s="330"/>
      <c r="U416" s="334"/>
      <c r="V416" s="469"/>
      <c r="W416" s="315"/>
    </row>
    <row r="417" spans="1:23" x14ac:dyDescent="0.2">
      <c r="A417" s="611"/>
      <c r="B417" s="415" t="s">
        <v>55</v>
      </c>
      <c r="C417" s="409">
        <v>1.37</v>
      </c>
      <c r="D417" s="249"/>
      <c r="E417" s="250">
        <v>1.45</v>
      </c>
      <c r="F417" s="250">
        <v>1.56</v>
      </c>
      <c r="G417" s="250">
        <v>1.77</v>
      </c>
      <c r="H417" s="249"/>
      <c r="I417" s="249"/>
      <c r="J417" s="330"/>
      <c r="K417" s="432"/>
      <c r="L417" s="508"/>
      <c r="M417" s="463">
        <v>1.56</v>
      </c>
      <c r="N417" s="464">
        <v>1.56</v>
      </c>
      <c r="O417" s="443"/>
      <c r="P417" s="334"/>
      <c r="Q417" s="335"/>
      <c r="R417" s="250">
        <v>1.71</v>
      </c>
      <c r="S417" s="469"/>
      <c r="T417" s="333"/>
      <c r="U417" s="334"/>
      <c r="V417" s="497"/>
      <c r="W417" s="315"/>
    </row>
    <row r="418" spans="1:23" x14ac:dyDescent="0.2">
      <c r="A418" s="611"/>
      <c r="B418" s="415" t="s">
        <v>56</v>
      </c>
      <c r="C418" s="410">
        <f>(C416-C415)/C416</f>
        <v>4.3893387314439918E-2</v>
      </c>
      <c r="D418" s="336"/>
      <c r="E418" s="336">
        <f>(E416-E415)/E416</f>
        <v>8.6910362364907845E-2</v>
      </c>
      <c r="F418" s="336">
        <f>(F416-F415)/F416</f>
        <v>8.3366863905325508E-2</v>
      </c>
      <c r="G418" s="336">
        <f>(G416-G415)/G416</f>
        <v>0.16525379382522237</v>
      </c>
      <c r="H418" s="336"/>
      <c r="I418" s="336"/>
      <c r="J418" s="338"/>
      <c r="K418" s="433"/>
      <c r="L418" s="279"/>
      <c r="M418" s="465">
        <f>(M416-M415)/M416</f>
        <v>9.2256410256410307E-2</v>
      </c>
      <c r="N418" s="466">
        <f>(N416-N415)/N416</f>
        <v>8.3455128205128237E-2</v>
      </c>
      <c r="O418" s="444"/>
      <c r="P418" s="340"/>
      <c r="Q418" s="341"/>
      <c r="R418" s="336">
        <f>(R416-R415)/R416</f>
        <v>0.12191901408450705</v>
      </c>
      <c r="S418" s="470"/>
      <c r="T418" s="339"/>
      <c r="U418" s="340"/>
      <c r="V418" s="470"/>
      <c r="W418" s="315"/>
    </row>
    <row r="419" spans="1:23" x14ac:dyDescent="0.2">
      <c r="A419" s="611"/>
      <c r="B419" s="415" t="s">
        <v>57</v>
      </c>
      <c r="C419" s="410">
        <f>(C416-C415)/C415</f>
        <v>4.5908465365750349E-2</v>
      </c>
      <c r="D419" s="336"/>
      <c r="E419" s="336">
        <f>(E416-E415)/E415</f>
        <v>9.518272772211743E-2</v>
      </c>
      <c r="F419" s="336">
        <f>(F416-F415)/F415</f>
        <v>9.0948996520582859E-2</v>
      </c>
      <c r="G419" s="336">
        <f>(G416-G415)/G415</f>
        <v>0.19796890672016046</v>
      </c>
      <c r="H419" s="336"/>
      <c r="I419" s="336"/>
      <c r="J419" s="338"/>
      <c r="K419" s="433"/>
      <c r="L419" s="279"/>
      <c r="M419" s="465">
        <f>(M416-M415)/M415</f>
        <v>0.10163267611999327</v>
      </c>
      <c r="N419" s="466">
        <f>(N416-N415)/N415</f>
        <v>9.1054056133332437E-2</v>
      </c>
      <c r="O419" s="444"/>
      <c r="P419" s="340"/>
      <c r="Q419" s="341"/>
      <c r="R419" s="336">
        <f>(R416-R415)/R415</f>
        <v>0.13884711779448622</v>
      </c>
      <c r="S419" s="470"/>
      <c r="T419" s="339"/>
      <c r="U419" s="340"/>
      <c r="V419" s="470"/>
      <c r="W419" s="315"/>
    </row>
    <row r="420" spans="1:23" ht="13.3" thickBot="1" x14ac:dyDescent="0.25">
      <c r="A420" s="611"/>
      <c r="B420" s="418" t="s">
        <v>58</v>
      </c>
      <c r="C420" s="411">
        <f>C417/C411-1</f>
        <v>7.3529411764705621E-3</v>
      </c>
      <c r="D420" s="353"/>
      <c r="E420" s="353">
        <f>E417/E411-1</f>
        <v>6.9444444444444198E-3</v>
      </c>
      <c r="F420" s="353">
        <f>F417/F411-1</f>
        <v>6.4516129032257119E-3</v>
      </c>
      <c r="G420" s="353">
        <f>G417/G411-1</f>
        <v>5.6818181818181213E-3</v>
      </c>
      <c r="H420" s="353"/>
      <c r="I420" s="353"/>
      <c r="J420" s="355"/>
      <c r="K420" s="434"/>
      <c r="L420" s="509"/>
      <c r="M420" s="467">
        <f>M417/M411-1</f>
        <v>6.4516129032257119E-3</v>
      </c>
      <c r="N420" s="292">
        <f>N417/N411-1</f>
        <v>6.4516129032257119E-3</v>
      </c>
      <c r="O420" s="445"/>
      <c r="P420" s="357"/>
      <c r="Q420" s="358"/>
      <c r="R420" s="353">
        <f>R417/R411-1</f>
        <v>5.8823529411764497E-3</v>
      </c>
      <c r="S420" s="471"/>
      <c r="T420" s="356"/>
      <c r="U420" s="357"/>
      <c r="V420" s="471"/>
      <c r="W420" s="359"/>
    </row>
    <row r="421" spans="1:23" x14ac:dyDescent="0.2">
      <c r="A421" s="611">
        <v>43534</v>
      </c>
      <c r="B421" s="419" t="s">
        <v>53</v>
      </c>
      <c r="C421" s="408">
        <v>1427.07</v>
      </c>
      <c r="D421" s="347"/>
      <c r="E421" s="346">
        <v>1445.98</v>
      </c>
      <c r="F421" s="346">
        <v>1558.84</v>
      </c>
      <c r="G421" s="346">
        <v>1604.04</v>
      </c>
      <c r="H421" s="347"/>
      <c r="I421" s="347"/>
      <c r="J421" s="290"/>
      <c r="K421" s="431"/>
      <c r="L421" s="507"/>
      <c r="M421" s="256">
        <v>1424.96</v>
      </c>
      <c r="N421" s="462">
        <v>1438.78</v>
      </c>
      <c r="O421" s="442"/>
      <c r="P421" s="348"/>
      <c r="Q421" s="349"/>
      <c r="R421" s="346">
        <v>1504.82</v>
      </c>
      <c r="S421" s="346"/>
      <c r="T421" s="290"/>
      <c r="U421" s="348"/>
      <c r="V421" s="347"/>
      <c r="W421" s="346">
        <v>1195.43</v>
      </c>
    </row>
    <row r="422" spans="1:23" x14ac:dyDescent="0.2">
      <c r="A422" s="611"/>
      <c r="B422" s="415" t="s">
        <v>54</v>
      </c>
      <c r="C422" s="409">
        <v>1495</v>
      </c>
      <c r="D422" s="249"/>
      <c r="E422" s="250">
        <v>1586</v>
      </c>
      <c r="F422" s="250">
        <v>1703</v>
      </c>
      <c r="G422" s="250">
        <v>1924</v>
      </c>
      <c r="H422" s="249"/>
      <c r="I422" s="249"/>
      <c r="J422" s="330"/>
      <c r="K422" s="432"/>
      <c r="L422" s="508"/>
      <c r="M422" s="463">
        <v>1572</v>
      </c>
      <c r="N422" s="464">
        <v>1572</v>
      </c>
      <c r="O422" s="446"/>
      <c r="P422" s="331"/>
      <c r="Q422" s="332"/>
      <c r="R422" s="250">
        <v>1716</v>
      </c>
      <c r="S422" s="496"/>
      <c r="T422" s="330"/>
      <c r="U422" s="334"/>
      <c r="V422" s="469"/>
      <c r="W422" s="315"/>
    </row>
    <row r="423" spans="1:23" x14ac:dyDescent="0.2">
      <c r="A423" s="611"/>
      <c r="B423" s="415" t="s">
        <v>55</v>
      </c>
      <c r="C423" s="409">
        <v>1.38</v>
      </c>
      <c r="D423" s="249"/>
      <c r="E423" s="250">
        <v>1.46</v>
      </c>
      <c r="F423" s="250">
        <v>1.57</v>
      </c>
      <c r="G423" s="250">
        <v>1.78</v>
      </c>
      <c r="H423" s="249"/>
      <c r="I423" s="249"/>
      <c r="J423" s="330"/>
      <c r="K423" s="432"/>
      <c r="L423" s="508"/>
      <c r="M423" s="463">
        <v>1.57</v>
      </c>
      <c r="N423" s="464">
        <v>1.57</v>
      </c>
      <c r="O423" s="443"/>
      <c r="P423" s="334"/>
      <c r="Q423" s="335"/>
      <c r="R423" s="250">
        <v>1.72</v>
      </c>
      <c r="S423" s="469"/>
      <c r="T423" s="333"/>
      <c r="U423" s="334"/>
      <c r="V423" s="497"/>
      <c r="W423" s="315"/>
    </row>
    <row r="424" spans="1:23" x14ac:dyDescent="0.2">
      <c r="A424" s="611"/>
      <c r="B424" s="415" t="s">
        <v>56</v>
      </c>
      <c r="C424" s="410">
        <f>(C422-C421)/C422</f>
        <v>4.5438127090301046E-2</v>
      </c>
      <c r="D424" s="336"/>
      <c r="E424" s="336">
        <f>(E422-E421)/E422</f>
        <v>8.8284993694829755E-2</v>
      </c>
      <c r="F424" s="336">
        <f>(F422-F421)/F422</f>
        <v>8.4650616559013556E-2</v>
      </c>
      <c r="G424" s="336">
        <f>(G422-G421)/G422</f>
        <v>0.16629937629937633</v>
      </c>
      <c r="H424" s="336"/>
      <c r="I424" s="336"/>
      <c r="J424" s="338"/>
      <c r="K424" s="433"/>
      <c r="L424" s="279"/>
      <c r="M424" s="465">
        <f>(M422-M421)/M422</f>
        <v>9.3536895674300236E-2</v>
      </c>
      <c r="N424" s="466">
        <f>(N422-N421)/N422</f>
        <v>8.4745547073791366E-2</v>
      </c>
      <c r="O424" s="444"/>
      <c r="P424" s="340"/>
      <c r="Q424" s="341"/>
      <c r="R424" s="336">
        <f>(R422-R421)/R422</f>
        <v>0.1230652680652681</v>
      </c>
      <c r="S424" s="470"/>
      <c r="T424" s="339"/>
      <c r="U424" s="340"/>
      <c r="V424" s="470"/>
      <c r="W424" s="315"/>
    </row>
    <row r="425" spans="1:23" x14ac:dyDescent="0.2">
      <c r="A425" s="611"/>
      <c r="B425" s="415" t="s">
        <v>57</v>
      </c>
      <c r="C425" s="410">
        <f>(C422-C421)/C421</f>
        <v>4.760102868114393E-2</v>
      </c>
      <c r="D425" s="336"/>
      <c r="E425" s="336">
        <f>(E422-E421)/E421</f>
        <v>9.683398110623935E-2</v>
      </c>
      <c r="F425" s="336">
        <f>(F422-F421)/F421</f>
        <v>9.2479022863154708E-2</v>
      </c>
      <c r="G425" s="336">
        <f>(G422-G421)/G421</f>
        <v>0.19947133487942947</v>
      </c>
      <c r="H425" s="336"/>
      <c r="I425" s="336"/>
      <c r="J425" s="338"/>
      <c r="K425" s="433"/>
      <c r="L425" s="279"/>
      <c r="M425" s="465">
        <f>(M422-M421)/M421</f>
        <v>0.10318886144172465</v>
      </c>
      <c r="N425" s="466">
        <f>(N422-N421)/N421</f>
        <v>9.2592335172854798E-2</v>
      </c>
      <c r="O425" s="444"/>
      <c r="P425" s="340"/>
      <c r="Q425" s="341"/>
      <c r="R425" s="336">
        <f>(R422-R421)/R421</f>
        <v>0.14033572121582652</v>
      </c>
      <c r="S425" s="470"/>
      <c r="T425" s="339"/>
      <c r="U425" s="340"/>
      <c r="V425" s="470"/>
      <c r="W425" s="315"/>
    </row>
    <row r="426" spans="1:23" ht="13.3" thickBot="1" x14ac:dyDescent="0.25">
      <c r="A426" s="611"/>
      <c r="B426" s="418" t="s">
        <v>58</v>
      </c>
      <c r="C426" s="411">
        <f>C423/C417-1</f>
        <v>7.2992700729925808E-3</v>
      </c>
      <c r="D426" s="353"/>
      <c r="E426" s="353">
        <f>E423/E417-1</f>
        <v>6.8965517241379448E-3</v>
      </c>
      <c r="F426" s="353">
        <f>F423/F417-1</f>
        <v>6.4102564102563875E-3</v>
      </c>
      <c r="G426" s="353">
        <f>G423/G417-1</f>
        <v>5.6497175141243527E-3</v>
      </c>
      <c r="H426" s="353"/>
      <c r="I426" s="353"/>
      <c r="J426" s="355"/>
      <c r="K426" s="434"/>
      <c r="L426" s="509"/>
      <c r="M426" s="467">
        <f>M423/M417-1</f>
        <v>6.4102564102563875E-3</v>
      </c>
      <c r="N426" s="292">
        <f>N423/N417-1</f>
        <v>6.4102564102563875E-3</v>
      </c>
      <c r="O426" s="445"/>
      <c r="P426" s="357"/>
      <c r="Q426" s="358"/>
      <c r="R426" s="353">
        <f>R423/R417-1</f>
        <v>5.8479532163742132E-3</v>
      </c>
      <c r="S426" s="471"/>
      <c r="T426" s="356"/>
      <c r="U426" s="357"/>
      <c r="V426" s="471"/>
      <c r="W426" s="359"/>
    </row>
    <row r="427" spans="1:23" x14ac:dyDescent="0.2">
      <c r="A427" s="611">
        <v>43541</v>
      </c>
      <c r="B427" s="419" t="s">
        <v>53</v>
      </c>
      <c r="C427" s="408">
        <v>1439.07</v>
      </c>
      <c r="D427" s="347"/>
      <c r="E427" s="346">
        <v>1455.67</v>
      </c>
      <c r="F427" s="346">
        <v>1570.84</v>
      </c>
      <c r="G427" s="346">
        <v>1616.04</v>
      </c>
      <c r="H427" s="347"/>
      <c r="I427" s="347"/>
      <c r="J427" s="290"/>
      <c r="K427" s="431"/>
      <c r="L427" s="507"/>
      <c r="M427" s="256">
        <v>1435.96</v>
      </c>
      <c r="N427" s="462">
        <v>1449.9</v>
      </c>
      <c r="O427" s="442"/>
      <c r="P427" s="348"/>
      <c r="Q427" s="349"/>
      <c r="R427" s="346">
        <v>1515.82</v>
      </c>
      <c r="S427" s="346"/>
      <c r="T427" s="290"/>
      <c r="U427" s="348"/>
      <c r="V427" s="347"/>
      <c r="W427" s="346">
        <v>1202.77</v>
      </c>
    </row>
    <row r="428" spans="1:23" x14ac:dyDescent="0.2">
      <c r="A428" s="611"/>
      <c r="B428" s="415" t="s">
        <v>54</v>
      </c>
      <c r="C428" s="409">
        <v>1508</v>
      </c>
      <c r="D428" s="249"/>
      <c r="E428" s="250">
        <v>1586</v>
      </c>
      <c r="F428" s="250">
        <v>1716</v>
      </c>
      <c r="G428" s="250">
        <v>1937</v>
      </c>
      <c r="H428" s="249"/>
      <c r="I428" s="249"/>
      <c r="J428" s="330"/>
      <c r="K428" s="432"/>
      <c r="L428" s="508"/>
      <c r="M428" s="463">
        <v>1584</v>
      </c>
      <c r="N428" s="464">
        <v>1584</v>
      </c>
      <c r="O428" s="446"/>
      <c r="P428" s="331"/>
      <c r="Q428" s="332"/>
      <c r="R428" s="250">
        <v>1728</v>
      </c>
      <c r="S428" s="496"/>
      <c r="T428" s="330"/>
      <c r="U428" s="334"/>
      <c r="V428" s="469"/>
      <c r="W428" s="315"/>
    </row>
    <row r="429" spans="1:23" x14ac:dyDescent="0.2">
      <c r="A429" s="611"/>
      <c r="B429" s="415" t="s">
        <v>55</v>
      </c>
      <c r="C429" s="409">
        <v>1.39</v>
      </c>
      <c r="D429" s="249"/>
      <c r="E429" s="250">
        <v>1.47</v>
      </c>
      <c r="F429" s="250">
        <v>1.58</v>
      </c>
      <c r="G429" s="250">
        <v>1.79</v>
      </c>
      <c r="H429" s="249"/>
      <c r="I429" s="249"/>
      <c r="J429" s="330"/>
      <c r="K429" s="432"/>
      <c r="L429" s="508"/>
      <c r="M429" s="463">
        <v>1.58</v>
      </c>
      <c r="N429" s="464">
        <v>1.58</v>
      </c>
      <c r="O429" s="443"/>
      <c r="P429" s="334"/>
      <c r="Q429" s="335"/>
      <c r="R429" s="250">
        <v>1.73</v>
      </c>
      <c r="S429" s="469"/>
      <c r="T429" s="333"/>
      <c r="U429" s="334"/>
      <c r="V429" s="497"/>
      <c r="W429" s="315"/>
    </row>
    <row r="430" spans="1:23" x14ac:dyDescent="0.2">
      <c r="A430" s="611"/>
      <c r="B430" s="415" t="s">
        <v>56</v>
      </c>
      <c r="C430" s="410">
        <f>(C428-C427)/C428</f>
        <v>4.5709549071618082E-2</v>
      </c>
      <c r="D430" s="336"/>
      <c r="E430" s="336">
        <f>(E428-E427)/E428</f>
        <v>8.2175283732660739E-2</v>
      </c>
      <c r="F430" s="336">
        <f>(F428-F427)/F428</f>
        <v>8.4592074592074643E-2</v>
      </c>
      <c r="G430" s="336">
        <f>(G428-G427)/G428</f>
        <v>0.16569953536396492</v>
      </c>
      <c r="H430" s="336"/>
      <c r="I430" s="336"/>
      <c r="J430" s="338"/>
      <c r="K430" s="433"/>
      <c r="L430" s="279"/>
      <c r="M430" s="465">
        <f>(M428-M427)/M428</f>
        <v>9.3459595959595937E-2</v>
      </c>
      <c r="N430" s="466">
        <f>(N428-N427)/N428</f>
        <v>8.4659090909090851E-2</v>
      </c>
      <c r="O430" s="444"/>
      <c r="P430" s="340"/>
      <c r="Q430" s="341"/>
      <c r="R430" s="336">
        <f>(R428-R427)/R428</f>
        <v>0.12278935185185189</v>
      </c>
      <c r="S430" s="470"/>
      <c r="T430" s="339"/>
      <c r="U430" s="340"/>
      <c r="V430" s="470"/>
      <c r="W430" s="315"/>
    </row>
    <row r="431" spans="1:23" x14ac:dyDescent="0.2">
      <c r="A431" s="611"/>
      <c r="B431" s="415" t="s">
        <v>57</v>
      </c>
      <c r="C431" s="410">
        <f>(C428-C427)/C427</f>
        <v>4.7898990320137357E-2</v>
      </c>
      <c r="D431" s="336"/>
      <c r="E431" s="336">
        <f>(E428-E427)/E427</f>
        <v>8.9532655066052E-2</v>
      </c>
      <c r="F431" s="336">
        <f>(F428-F427)/F427</f>
        <v>9.2409156884214874E-2</v>
      </c>
      <c r="G431" s="336">
        <f>(G428-G427)/G427</f>
        <v>0.19860894532313558</v>
      </c>
      <c r="H431" s="336"/>
      <c r="I431" s="336"/>
      <c r="J431" s="338"/>
      <c r="K431" s="433"/>
      <c r="L431" s="279"/>
      <c r="M431" s="465">
        <f>(M428-M427)/M427</f>
        <v>0.10309479372684473</v>
      </c>
      <c r="N431" s="466">
        <f>(N428-N427)/N427</f>
        <v>9.2489137181874542E-2</v>
      </c>
      <c r="O431" s="444"/>
      <c r="P431" s="340"/>
      <c r="Q431" s="341"/>
      <c r="R431" s="336">
        <f>(R428-R427)/R427</f>
        <v>0.13997704212901274</v>
      </c>
      <c r="S431" s="470"/>
      <c r="T431" s="339"/>
      <c r="U431" s="340"/>
      <c r="V431" s="470"/>
      <c r="W431" s="315"/>
    </row>
    <row r="432" spans="1:23" ht="13.3" thickBot="1" x14ac:dyDescent="0.25">
      <c r="A432" s="611"/>
      <c r="B432" s="418" t="s">
        <v>58</v>
      </c>
      <c r="C432" s="411">
        <f>C429/C423-1</f>
        <v>7.2463768115942351E-3</v>
      </c>
      <c r="D432" s="353"/>
      <c r="E432" s="353">
        <f>E429/E423-1</f>
        <v>6.8493150684931781E-3</v>
      </c>
      <c r="F432" s="353">
        <f>F429/F423-1</f>
        <v>6.3694267515923553E-3</v>
      </c>
      <c r="G432" s="353">
        <f>G429/G423-1</f>
        <v>5.6179775280897903E-3</v>
      </c>
      <c r="H432" s="353"/>
      <c r="I432" s="353"/>
      <c r="J432" s="355"/>
      <c r="K432" s="434"/>
      <c r="L432" s="509"/>
      <c r="M432" s="467">
        <f>M429/M423-1</f>
        <v>6.3694267515923553E-3</v>
      </c>
      <c r="N432" s="292">
        <f>N429/N423-1</f>
        <v>6.3694267515923553E-3</v>
      </c>
      <c r="O432" s="445"/>
      <c r="P432" s="357"/>
      <c r="Q432" s="358"/>
      <c r="R432" s="353">
        <f>R429/R423-1</f>
        <v>5.8139534883721034E-3</v>
      </c>
      <c r="S432" s="471"/>
      <c r="T432" s="356"/>
      <c r="U432" s="357"/>
      <c r="V432" s="471"/>
      <c r="W432" s="359"/>
    </row>
    <row r="433" spans="1:23" x14ac:dyDescent="0.2">
      <c r="A433" s="611">
        <v>43544</v>
      </c>
      <c r="B433" s="419" t="s">
        <v>53</v>
      </c>
      <c r="C433" s="408">
        <v>1479.07</v>
      </c>
      <c r="D433" s="347"/>
      <c r="E433" s="346">
        <v>1495.67</v>
      </c>
      <c r="F433" s="346">
        <v>1610.84</v>
      </c>
      <c r="G433" s="346">
        <v>1656.04</v>
      </c>
      <c r="H433" s="347"/>
      <c r="I433" s="347"/>
      <c r="J433" s="290"/>
      <c r="K433" s="431"/>
      <c r="L433" s="507"/>
      <c r="M433" s="256">
        <v>1475.96</v>
      </c>
      <c r="N433" s="462">
        <v>1489.9</v>
      </c>
      <c r="O433" s="442"/>
      <c r="P433" s="348"/>
      <c r="Q433" s="349"/>
      <c r="R433" s="346">
        <v>1555.82</v>
      </c>
      <c r="S433" s="346"/>
      <c r="T433" s="290"/>
      <c r="U433" s="348"/>
      <c r="V433" s="347"/>
      <c r="W433" s="346">
        <v>1202.77</v>
      </c>
    </row>
    <row r="434" spans="1:23" x14ac:dyDescent="0.2">
      <c r="A434" s="611"/>
      <c r="B434" s="415" t="s">
        <v>54</v>
      </c>
      <c r="C434" s="409">
        <v>1508</v>
      </c>
      <c r="D434" s="249"/>
      <c r="E434" s="250">
        <v>1586</v>
      </c>
      <c r="F434" s="250">
        <v>1716</v>
      </c>
      <c r="G434" s="250">
        <v>1937</v>
      </c>
      <c r="H434" s="249"/>
      <c r="I434" s="249"/>
      <c r="J434" s="330"/>
      <c r="K434" s="432"/>
      <c r="L434" s="508"/>
      <c r="M434" s="463">
        <v>1584</v>
      </c>
      <c r="N434" s="464">
        <v>1584</v>
      </c>
      <c r="O434" s="446"/>
      <c r="P434" s="331"/>
      <c r="Q434" s="332"/>
      <c r="R434" s="250">
        <v>1728</v>
      </c>
      <c r="S434" s="496"/>
      <c r="T434" s="330"/>
      <c r="U434" s="334"/>
      <c r="V434" s="469"/>
      <c r="W434" s="315"/>
    </row>
    <row r="435" spans="1:23" x14ac:dyDescent="0.2">
      <c r="A435" s="611"/>
      <c r="B435" s="415" t="s">
        <v>55</v>
      </c>
      <c r="C435" s="409">
        <v>1.39</v>
      </c>
      <c r="D435" s="249"/>
      <c r="E435" s="250">
        <v>1.47</v>
      </c>
      <c r="F435" s="250">
        <v>1.58</v>
      </c>
      <c r="G435" s="250">
        <v>1.79</v>
      </c>
      <c r="H435" s="249"/>
      <c r="I435" s="249"/>
      <c r="J435" s="330"/>
      <c r="K435" s="432"/>
      <c r="L435" s="508"/>
      <c r="M435" s="463">
        <v>1.58</v>
      </c>
      <c r="N435" s="464">
        <v>1.58</v>
      </c>
      <c r="O435" s="443"/>
      <c r="P435" s="334"/>
      <c r="Q435" s="335"/>
      <c r="R435" s="250">
        <v>1.73</v>
      </c>
      <c r="S435" s="469"/>
      <c r="T435" s="333"/>
      <c r="U435" s="334"/>
      <c r="V435" s="497"/>
      <c r="W435" s="315"/>
    </row>
    <row r="436" spans="1:23" x14ac:dyDescent="0.2">
      <c r="A436" s="611"/>
      <c r="B436" s="415" t="s">
        <v>56</v>
      </c>
      <c r="C436" s="410">
        <f>(C434-C433)/C434</f>
        <v>1.9184350132626038E-2</v>
      </c>
      <c r="D436" s="336"/>
      <c r="E436" s="336">
        <f>(E434-E433)/E434</f>
        <v>5.695460277427486E-2</v>
      </c>
      <c r="F436" s="336">
        <f>(F434-F433)/F434</f>
        <v>6.1282051282051331E-2</v>
      </c>
      <c r="G436" s="336">
        <f>(G434-G433)/G434</f>
        <v>0.14504904491481674</v>
      </c>
      <c r="H436" s="336"/>
      <c r="I436" s="336"/>
      <c r="J436" s="338"/>
      <c r="K436" s="433"/>
      <c r="L436" s="279"/>
      <c r="M436" s="465">
        <f>(M434-M433)/M434</f>
        <v>6.8207070707070688E-2</v>
      </c>
      <c r="N436" s="466">
        <f>(N434-N433)/N434</f>
        <v>5.9406565656565602E-2</v>
      </c>
      <c r="O436" s="444"/>
      <c r="P436" s="340"/>
      <c r="Q436" s="341"/>
      <c r="R436" s="336">
        <f>(R434-R433)/R434</f>
        <v>9.9641203703703746E-2</v>
      </c>
      <c r="S436" s="470"/>
      <c r="T436" s="339"/>
      <c r="U436" s="340"/>
      <c r="V436" s="470"/>
      <c r="W436" s="315"/>
    </row>
    <row r="437" spans="1:23" x14ac:dyDescent="0.2">
      <c r="A437" s="611"/>
      <c r="B437" s="415" t="s">
        <v>57</v>
      </c>
      <c r="C437" s="410">
        <f>(C434-C433)/C433</f>
        <v>1.9559588119561662E-2</v>
      </c>
      <c r="D437" s="336"/>
      <c r="E437" s="336">
        <f>(E434-E433)/E433</f>
        <v>6.039433832329319E-2</v>
      </c>
      <c r="F437" s="336">
        <f>(F434-F433)/F433</f>
        <v>6.5282709642174322E-2</v>
      </c>
      <c r="G437" s="336">
        <f>(G434-G433)/G433</f>
        <v>0.1696577377358035</v>
      </c>
      <c r="H437" s="336"/>
      <c r="I437" s="336"/>
      <c r="J437" s="338"/>
      <c r="K437" s="433"/>
      <c r="L437" s="279"/>
      <c r="M437" s="465">
        <f>(M434-M433)/M433</f>
        <v>7.3199815713162933E-2</v>
      </c>
      <c r="N437" s="466">
        <f>(N434-N433)/N433</f>
        <v>6.3158601248405874E-2</v>
      </c>
      <c r="O437" s="444"/>
      <c r="P437" s="340"/>
      <c r="Q437" s="341"/>
      <c r="R437" s="336">
        <f>(R434-R433)/R433</f>
        <v>0.1106683292411719</v>
      </c>
      <c r="S437" s="470"/>
      <c r="T437" s="339"/>
      <c r="U437" s="340"/>
      <c r="V437" s="470"/>
      <c r="W437" s="315"/>
    </row>
    <row r="438" spans="1:23" ht="13.3" thickBot="1" x14ac:dyDescent="0.25">
      <c r="A438" s="611"/>
      <c r="B438" s="418" t="s">
        <v>58</v>
      </c>
      <c r="C438" s="411">
        <f>C435/C429-1</f>
        <v>0</v>
      </c>
      <c r="D438" s="353"/>
      <c r="E438" s="353">
        <f>E435/E429-1</f>
        <v>0</v>
      </c>
      <c r="F438" s="353">
        <f>F435/F429-1</f>
        <v>0</v>
      </c>
      <c r="G438" s="353">
        <f>G435/G429-1</f>
        <v>0</v>
      </c>
      <c r="H438" s="353"/>
      <c r="I438" s="353"/>
      <c r="J438" s="355"/>
      <c r="K438" s="434"/>
      <c r="L438" s="509"/>
      <c r="M438" s="467">
        <f>M435/M429-1</f>
        <v>0</v>
      </c>
      <c r="N438" s="292">
        <f>N435/N429-1</f>
        <v>0</v>
      </c>
      <c r="O438" s="445"/>
      <c r="P438" s="357"/>
      <c r="Q438" s="358"/>
      <c r="R438" s="353">
        <f>R435/R429-1</f>
        <v>0</v>
      </c>
      <c r="S438" s="471"/>
      <c r="T438" s="356"/>
      <c r="U438" s="357"/>
      <c r="V438" s="471"/>
      <c r="W438" s="359"/>
    </row>
    <row r="439" spans="1:23" x14ac:dyDescent="0.2">
      <c r="A439" s="611">
        <v>43548</v>
      </c>
      <c r="B439" s="419" t="s">
        <v>53</v>
      </c>
      <c r="C439" s="408">
        <v>1489.49</v>
      </c>
      <c r="D439" s="347"/>
      <c r="E439" s="346">
        <v>1505.63</v>
      </c>
      <c r="F439" s="346">
        <v>1620.84</v>
      </c>
      <c r="G439" s="346">
        <v>1665.12</v>
      </c>
      <c r="H439" s="347"/>
      <c r="I439" s="347"/>
      <c r="J439" s="290"/>
      <c r="K439" s="431"/>
      <c r="L439" s="507"/>
      <c r="M439" s="256">
        <v>1485.11</v>
      </c>
      <c r="N439" s="462">
        <v>1499.13</v>
      </c>
      <c r="O439" s="442"/>
      <c r="P439" s="348"/>
      <c r="Q439" s="349"/>
      <c r="R439" s="346">
        <v>1564.63</v>
      </c>
      <c r="S439" s="346"/>
      <c r="T439" s="290"/>
      <c r="U439" s="348"/>
      <c r="V439" s="347"/>
      <c r="W439" s="346">
        <v>1210.03</v>
      </c>
    </row>
    <row r="440" spans="1:23" x14ac:dyDescent="0.2">
      <c r="A440" s="611"/>
      <c r="B440" s="415" t="s">
        <v>54</v>
      </c>
      <c r="C440" s="409">
        <v>1521</v>
      </c>
      <c r="D440" s="249"/>
      <c r="E440" s="250">
        <v>1599</v>
      </c>
      <c r="F440" s="250">
        <v>1716</v>
      </c>
      <c r="G440" s="250">
        <v>1950</v>
      </c>
      <c r="H440" s="249"/>
      <c r="I440" s="249"/>
      <c r="J440" s="330"/>
      <c r="K440" s="432"/>
      <c r="L440" s="508"/>
      <c r="M440" s="463">
        <v>1584</v>
      </c>
      <c r="N440" s="464">
        <v>1584</v>
      </c>
      <c r="O440" s="446"/>
      <c r="P440" s="331"/>
      <c r="Q440" s="332"/>
      <c r="R440" s="250">
        <v>1728</v>
      </c>
      <c r="S440" s="496"/>
      <c r="T440" s="330"/>
      <c r="U440" s="334"/>
      <c r="V440" s="469"/>
      <c r="W440" s="315"/>
    </row>
    <row r="441" spans="1:23" x14ac:dyDescent="0.2">
      <c r="A441" s="611"/>
      <c r="B441" s="415" t="s">
        <v>55</v>
      </c>
      <c r="C441" s="409">
        <v>1.4</v>
      </c>
      <c r="D441" s="249"/>
      <c r="E441" s="250">
        <v>1.48</v>
      </c>
      <c r="F441" s="250">
        <v>1.59</v>
      </c>
      <c r="G441" s="250">
        <v>1.8</v>
      </c>
      <c r="H441" s="249"/>
      <c r="I441" s="249"/>
      <c r="J441" s="330"/>
      <c r="K441" s="432"/>
      <c r="L441" s="508"/>
      <c r="M441" s="463">
        <v>1.59</v>
      </c>
      <c r="N441" s="464">
        <v>1.59</v>
      </c>
      <c r="O441" s="443"/>
      <c r="P441" s="334"/>
      <c r="Q441" s="335"/>
      <c r="R441" s="250">
        <v>1.74</v>
      </c>
      <c r="S441" s="469"/>
      <c r="T441" s="333"/>
      <c r="U441" s="334"/>
      <c r="V441" s="497"/>
      <c r="W441" s="315"/>
    </row>
    <row r="442" spans="1:23" x14ac:dyDescent="0.2">
      <c r="A442" s="611"/>
      <c r="B442" s="415" t="s">
        <v>56</v>
      </c>
      <c r="C442" s="410">
        <f>(C440-C439)/C440</f>
        <v>2.0716633793556864E-2</v>
      </c>
      <c r="D442" s="336"/>
      <c r="E442" s="336">
        <f>(E440-E439)/E440</f>
        <v>5.8392745465916128E-2</v>
      </c>
      <c r="F442" s="336">
        <f>(F440-F439)/F440</f>
        <v>5.5454545454545499E-2</v>
      </c>
      <c r="G442" s="336">
        <f>(G440-G439)/G440</f>
        <v>0.14609230769230774</v>
      </c>
      <c r="H442" s="336"/>
      <c r="I442" s="336"/>
      <c r="J442" s="338"/>
      <c r="K442" s="433"/>
      <c r="L442" s="279"/>
      <c r="M442" s="465">
        <f>(M440-M439)/M440</f>
        <v>6.2430555555555621E-2</v>
      </c>
      <c r="N442" s="466">
        <f>(N440-N439)/N440</f>
        <v>5.3579545454545387E-2</v>
      </c>
      <c r="O442" s="444"/>
      <c r="P442" s="340"/>
      <c r="Q442" s="341"/>
      <c r="R442" s="336">
        <f>(R440-R439)/R440</f>
        <v>9.4542824074074008E-2</v>
      </c>
      <c r="S442" s="470"/>
      <c r="T442" s="339"/>
      <c r="U442" s="340"/>
      <c r="V442" s="470"/>
      <c r="W442" s="315"/>
    </row>
    <row r="443" spans="1:23" x14ac:dyDescent="0.2">
      <c r="A443" s="611"/>
      <c r="B443" s="415" t="s">
        <v>57</v>
      </c>
      <c r="C443" s="410">
        <f>(C440-C439)/C439</f>
        <v>2.1154891942879773E-2</v>
      </c>
      <c r="D443" s="336"/>
      <c r="E443" s="336">
        <f>(E440-E439)/E439</f>
        <v>6.2013907799392871E-2</v>
      </c>
      <c r="F443" s="336">
        <f>(F440-F439)/F439</f>
        <v>5.8710298363811413E-2</v>
      </c>
      <c r="G443" s="336">
        <f>(G440-G439)/G439</f>
        <v>0.17108676852118773</v>
      </c>
      <c r="H443" s="336"/>
      <c r="I443" s="336"/>
      <c r="J443" s="338"/>
      <c r="K443" s="433"/>
      <c r="L443" s="279"/>
      <c r="M443" s="465">
        <f>(M440-M439)/M439</f>
        <v>6.6587660173320573E-2</v>
      </c>
      <c r="N443" s="466">
        <f>(N440-N439)/N439</f>
        <v>5.6612835444557766E-2</v>
      </c>
      <c r="O443" s="444"/>
      <c r="P443" s="340"/>
      <c r="Q443" s="341"/>
      <c r="R443" s="336">
        <f>(R440-R439)/R439</f>
        <v>0.10441446220512191</v>
      </c>
      <c r="S443" s="470"/>
      <c r="T443" s="339"/>
      <c r="U443" s="340"/>
      <c r="V443" s="470"/>
      <c r="W443" s="315"/>
    </row>
    <row r="444" spans="1:23" ht="13.3" thickBot="1" x14ac:dyDescent="0.25">
      <c r="A444" s="611"/>
      <c r="B444" s="418" t="s">
        <v>58</v>
      </c>
      <c r="C444" s="411">
        <f>C441/C435-1</f>
        <v>7.194244604316502E-3</v>
      </c>
      <c r="D444" s="353"/>
      <c r="E444" s="353">
        <f>E441/E435-1</f>
        <v>6.8027210884353817E-3</v>
      </c>
      <c r="F444" s="353">
        <f>F441/F435-1</f>
        <v>6.3291139240506666E-3</v>
      </c>
      <c r="G444" s="353">
        <f>G441/G435-1</f>
        <v>5.5865921787709993E-3</v>
      </c>
      <c r="H444" s="353"/>
      <c r="I444" s="353"/>
      <c r="J444" s="355"/>
      <c r="K444" s="434"/>
      <c r="L444" s="509"/>
      <c r="M444" s="467">
        <f>M441/M435-1</f>
        <v>6.3291139240506666E-3</v>
      </c>
      <c r="N444" s="292">
        <f>N441/N435-1</f>
        <v>6.3291139240506666E-3</v>
      </c>
      <c r="O444" s="445"/>
      <c r="P444" s="357"/>
      <c r="Q444" s="358"/>
      <c r="R444" s="353">
        <f>R441/R435-1</f>
        <v>5.7803468208093012E-3</v>
      </c>
      <c r="S444" s="471"/>
      <c r="T444" s="356"/>
      <c r="U444" s="357"/>
      <c r="V444" s="471"/>
      <c r="W444" s="359"/>
    </row>
    <row r="445" spans="1:23" x14ac:dyDescent="0.2">
      <c r="A445" s="611">
        <v>43555</v>
      </c>
      <c r="B445" s="419" t="s">
        <v>53</v>
      </c>
      <c r="C445" s="408">
        <v>1499.91</v>
      </c>
      <c r="D445" s="347"/>
      <c r="E445" s="346">
        <v>1515.59</v>
      </c>
      <c r="F445" s="346">
        <v>1630.84</v>
      </c>
      <c r="G445" s="346">
        <v>1674.2</v>
      </c>
      <c r="H445" s="347"/>
      <c r="I445" s="347"/>
      <c r="J445" s="290"/>
      <c r="K445" s="431"/>
      <c r="L445" s="507"/>
      <c r="M445" s="256">
        <v>1494.26</v>
      </c>
      <c r="N445" s="462">
        <v>1508.36</v>
      </c>
      <c r="O445" s="442"/>
      <c r="P445" s="348"/>
      <c r="Q445" s="349"/>
      <c r="R445" s="346">
        <v>1573.44</v>
      </c>
      <c r="S445" s="346"/>
      <c r="T445" s="290"/>
      <c r="U445" s="348"/>
      <c r="V445" s="347"/>
      <c r="W445" s="346">
        <v>1217.3399999999999</v>
      </c>
    </row>
    <row r="446" spans="1:23" x14ac:dyDescent="0.2">
      <c r="A446" s="611"/>
      <c r="B446" s="415" t="s">
        <v>54</v>
      </c>
      <c r="C446" s="409">
        <v>1521</v>
      </c>
      <c r="D446" s="249"/>
      <c r="E446" s="250">
        <v>1612</v>
      </c>
      <c r="F446" s="250">
        <v>1729</v>
      </c>
      <c r="G446" s="250">
        <v>1963</v>
      </c>
      <c r="H446" s="249"/>
      <c r="I446" s="249"/>
      <c r="J446" s="330"/>
      <c r="K446" s="432"/>
      <c r="L446" s="508"/>
      <c r="M446" s="463">
        <v>1596</v>
      </c>
      <c r="N446" s="464">
        <v>1596</v>
      </c>
      <c r="O446" s="446"/>
      <c r="P446" s="331"/>
      <c r="Q446" s="332"/>
      <c r="R446" s="250">
        <v>1752</v>
      </c>
      <c r="S446" s="496"/>
      <c r="T446" s="330"/>
      <c r="U446" s="334"/>
      <c r="V446" s="469"/>
      <c r="W446" s="315"/>
    </row>
    <row r="447" spans="1:23" x14ac:dyDescent="0.2">
      <c r="A447" s="611"/>
      <c r="B447" s="415" t="s">
        <v>55</v>
      </c>
      <c r="C447" s="409">
        <v>1.41</v>
      </c>
      <c r="D447" s="249"/>
      <c r="E447" s="250">
        <v>1.49</v>
      </c>
      <c r="F447" s="250">
        <v>1.6</v>
      </c>
      <c r="G447" s="250">
        <v>1.81</v>
      </c>
      <c r="H447" s="249"/>
      <c r="I447" s="249"/>
      <c r="J447" s="330"/>
      <c r="K447" s="432"/>
      <c r="L447" s="508"/>
      <c r="M447" s="463">
        <v>1.6</v>
      </c>
      <c r="N447" s="464">
        <v>1.6</v>
      </c>
      <c r="O447" s="443"/>
      <c r="P447" s="334"/>
      <c r="Q447" s="335"/>
      <c r="R447" s="250">
        <v>1.75</v>
      </c>
      <c r="S447" s="469"/>
      <c r="T447" s="333"/>
      <c r="U447" s="334"/>
      <c r="V447" s="497"/>
      <c r="W447" s="315"/>
    </row>
    <row r="448" spans="1:23" x14ac:dyDescent="0.2">
      <c r="A448" s="611"/>
      <c r="B448" s="415" t="s">
        <v>56</v>
      </c>
      <c r="C448" s="410">
        <f>(C446-C445)/C446</f>
        <v>1.3865877712031504E-2</v>
      </c>
      <c r="D448" s="336"/>
      <c r="E448" s="336">
        <f>(E446-E445)/E446</f>
        <v>5.980769230769236E-2</v>
      </c>
      <c r="F448" s="336">
        <f>(F446-F445)/F446</f>
        <v>5.6772700983227349E-2</v>
      </c>
      <c r="G448" s="336">
        <f>(G446-G445)/G446</f>
        <v>0.14712175241976563</v>
      </c>
      <c r="H448" s="336"/>
      <c r="I448" s="336"/>
      <c r="J448" s="338"/>
      <c r="K448" s="433"/>
      <c r="L448" s="279"/>
      <c r="M448" s="465">
        <f>(M446-M445)/M446</f>
        <v>6.3746867167919802E-2</v>
      </c>
      <c r="N448" s="466">
        <f>(N446-N445)/N446</f>
        <v>5.4912280701754447E-2</v>
      </c>
      <c r="O448" s="444"/>
      <c r="P448" s="340"/>
      <c r="Q448" s="341"/>
      <c r="R448" s="336">
        <f>(R446-R445)/R446</f>
        <v>0.10191780821917805</v>
      </c>
      <c r="S448" s="470"/>
      <c r="T448" s="339"/>
      <c r="U448" s="340"/>
      <c r="V448" s="470"/>
      <c r="W448" s="315"/>
    </row>
    <row r="449" spans="1:23" x14ac:dyDescent="0.2">
      <c r="A449" s="611"/>
      <c r="B449" s="415" t="s">
        <v>57</v>
      </c>
      <c r="C449" s="410">
        <f>(C446-C445)/C445</f>
        <v>1.4060843650618982E-2</v>
      </c>
      <c r="D449" s="336"/>
      <c r="E449" s="336">
        <f>(E446-E445)/E445</f>
        <v>6.3612190632031149E-2</v>
      </c>
      <c r="F449" s="336">
        <f>(F446-F445)/F445</f>
        <v>6.0189840818228695E-2</v>
      </c>
      <c r="G449" s="336">
        <f>(G446-G445)/G445</f>
        <v>0.1725002986501015</v>
      </c>
      <c r="H449" s="336"/>
      <c r="I449" s="336"/>
      <c r="J449" s="338"/>
      <c r="K449" s="433"/>
      <c r="L449" s="279"/>
      <c r="M449" s="465">
        <f>(M446-M445)/M445</f>
        <v>6.8087213737903718E-2</v>
      </c>
      <c r="N449" s="466">
        <f>(N446-N445)/N445</f>
        <v>5.8102840170781579E-2</v>
      </c>
      <c r="O449" s="444"/>
      <c r="P449" s="340"/>
      <c r="Q449" s="341"/>
      <c r="R449" s="336">
        <f>(R446-R445)/R445</f>
        <v>0.11348383160463693</v>
      </c>
      <c r="S449" s="470"/>
      <c r="T449" s="339"/>
      <c r="U449" s="340"/>
      <c r="V449" s="470"/>
      <c r="W449" s="315"/>
    </row>
    <row r="450" spans="1:23" ht="13.3" thickBot="1" x14ac:dyDescent="0.25">
      <c r="A450" s="611"/>
      <c r="B450" s="418" t="s">
        <v>58</v>
      </c>
      <c r="C450" s="411">
        <f>C447/C441-1</f>
        <v>7.1428571428571175E-3</v>
      </c>
      <c r="D450" s="353"/>
      <c r="E450" s="353">
        <f>E447/E441-1</f>
        <v>6.7567567567567988E-3</v>
      </c>
      <c r="F450" s="353">
        <f>F447/F441-1</f>
        <v>6.2893081761006275E-3</v>
      </c>
      <c r="G450" s="353">
        <f>G447/G441-1</f>
        <v>5.5555555555555358E-3</v>
      </c>
      <c r="H450" s="353"/>
      <c r="I450" s="353"/>
      <c r="J450" s="355"/>
      <c r="K450" s="434"/>
      <c r="L450" s="509"/>
      <c r="M450" s="467">
        <f>M447/M441-1</f>
        <v>6.2893081761006275E-3</v>
      </c>
      <c r="N450" s="292">
        <f>N447/N441-1</f>
        <v>6.2893081761006275E-3</v>
      </c>
      <c r="O450" s="445"/>
      <c r="P450" s="357"/>
      <c r="Q450" s="358"/>
      <c r="R450" s="353">
        <f>R447/R441-1</f>
        <v>5.7471264367816577E-3</v>
      </c>
      <c r="S450" s="471"/>
      <c r="T450" s="356"/>
      <c r="U450" s="357"/>
      <c r="V450" s="471"/>
      <c r="W450" s="359"/>
    </row>
    <row r="451" spans="1:23" x14ac:dyDescent="0.2">
      <c r="A451" s="611">
        <v>43562</v>
      </c>
      <c r="B451" s="419" t="s">
        <v>53</v>
      </c>
      <c r="C451" s="408">
        <v>1510.33</v>
      </c>
      <c r="D451" s="347"/>
      <c r="E451" s="346">
        <v>1525.55</v>
      </c>
      <c r="F451" s="346">
        <v>1640.84</v>
      </c>
      <c r="G451" s="346">
        <v>1683.28</v>
      </c>
      <c r="H451" s="347"/>
      <c r="I451" s="347"/>
      <c r="J451" s="290"/>
      <c r="K451" s="431"/>
      <c r="L451" s="507"/>
      <c r="M451" s="256">
        <v>1503.41</v>
      </c>
      <c r="N451" s="462">
        <v>1517.59</v>
      </c>
      <c r="O451" s="442"/>
      <c r="P451" s="348"/>
      <c r="Q451" s="349"/>
      <c r="R451" s="346">
        <v>1582.25</v>
      </c>
      <c r="S451" s="346"/>
      <c r="T451" s="290"/>
      <c r="U451" s="348"/>
      <c r="V451" s="347"/>
      <c r="W451" s="346">
        <v>1224.7</v>
      </c>
    </row>
    <row r="452" spans="1:23" x14ac:dyDescent="0.2">
      <c r="A452" s="611"/>
      <c r="B452" s="415" t="s">
        <v>54</v>
      </c>
      <c r="C452" s="409">
        <v>1534</v>
      </c>
      <c r="D452" s="249"/>
      <c r="E452" s="250">
        <v>1625</v>
      </c>
      <c r="F452" s="250">
        <v>1742</v>
      </c>
      <c r="G452" s="250">
        <v>1976</v>
      </c>
      <c r="H452" s="249"/>
      <c r="I452" s="249"/>
      <c r="J452" s="330"/>
      <c r="K452" s="432"/>
      <c r="L452" s="508"/>
      <c r="M452" s="463">
        <v>1608</v>
      </c>
      <c r="N452" s="464">
        <v>1608</v>
      </c>
      <c r="O452" s="446"/>
      <c r="P452" s="331"/>
      <c r="Q452" s="332"/>
      <c r="R452" s="250">
        <v>1764</v>
      </c>
      <c r="S452" s="496"/>
      <c r="T452" s="330"/>
      <c r="U452" s="334"/>
      <c r="V452" s="469"/>
      <c r="W452" s="315"/>
    </row>
    <row r="453" spans="1:23" x14ac:dyDescent="0.2">
      <c r="A453" s="611"/>
      <c r="B453" s="415" t="s">
        <v>55</v>
      </c>
      <c r="C453" s="409">
        <v>1.42</v>
      </c>
      <c r="D453" s="249"/>
      <c r="E453" s="250">
        <v>1.5</v>
      </c>
      <c r="F453" s="250">
        <v>1.61</v>
      </c>
      <c r="G453" s="250">
        <v>1.82</v>
      </c>
      <c r="H453" s="249"/>
      <c r="I453" s="249"/>
      <c r="J453" s="330"/>
      <c r="K453" s="432"/>
      <c r="L453" s="508"/>
      <c r="M453" s="463">
        <v>1.61</v>
      </c>
      <c r="N453" s="464">
        <v>1.61</v>
      </c>
      <c r="O453" s="443"/>
      <c r="P453" s="334"/>
      <c r="Q453" s="335"/>
      <c r="R453" s="250">
        <v>1.76</v>
      </c>
      <c r="S453" s="469"/>
      <c r="T453" s="333"/>
      <c r="U453" s="334"/>
      <c r="V453" s="497"/>
      <c r="W453" s="315"/>
    </row>
    <row r="454" spans="1:23" x14ac:dyDescent="0.2">
      <c r="A454" s="611"/>
      <c r="B454" s="415" t="s">
        <v>56</v>
      </c>
      <c r="C454" s="410">
        <f>(C452-C451)/C452</f>
        <v>1.5430247718383359E-2</v>
      </c>
      <c r="D454" s="336"/>
      <c r="E454" s="336">
        <f>(E452-E451)/E452</f>
        <v>6.1200000000000025E-2</v>
      </c>
      <c r="F454" s="336">
        <f>(F452-F451)/F452</f>
        <v>5.8071182548794537E-2</v>
      </c>
      <c r="G454" s="336">
        <f>(G452-G451)/G452</f>
        <v>0.14813765182186237</v>
      </c>
      <c r="H454" s="336"/>
      <c r="I454" s="336"/>
      <c r="J454" s="338"/>
      <c r="K454" s="433"/>
      <c r="L454" s="279"/>
      <c r="M454" s="465">
        <f>(M452-M451)/M452</f>
        <v>6.504353233830841E-2</v>
      </c>
      <c r="N454" s="466">
        <f>(N452-N451)/N452</f>
        <v>5.6225124378109503E-2</v>
      </c>
      <c r="O454" s="444"/>
      <c r="P454" s="340"/>
      <c r="Q454" s="341"/>
      <c r="R454" s="336">
        <f>(R452-R451)/R452</f>
        <v>0.1030328798185941</v>
      </c>
      <c r="S454" s="470"/>
      <c r="T454" s="339"/>
      <c r="U454" s="340"/>
      <c r="V454" s="470"/>
      <c r="W454" s="315"/>
    </row>
    <row r="455" spans="1:23" x14ac:dyDescent="0.2">
      <c r="A455" s="611"/>
      <c r="B455" s="415" t="s">
        <v>57</v>
      </c>
      <c r="C455" s="410">
        <f>(C452-C451)/C451</f>
        <v>1.5672071666457048E-2</v>
      </c>
      <c r="D455" s="336"/>
      <c r="E455" s="336">
        <f>(E452-E451)/E451</f>
        <v>6.5189603749467431E-2</v>
      </c>
      <c r="F455" s="336">
        <f>(F452-F451)/F451</f>
        <v>6.1651349308890623E-2</v>
      </c>
      <c r="G455" s="336">
        <f>(G452-G451)/G451</f>
        <v>0.17389857896487812</v>
      </c>
      <c r="H455" s="336"/>
      <c r="I455" s="336"/>
      <c r="J455" s="338"/>
      <c r="K455" s="433"/>
      <c r="L455" s="279"/>
      <c r="M455" s="465">
        <f>(M452-M451)/M451</f>
        <v>6.9568514244284604E-2</v>
      </c>
      <c r="N455" s="466">
        <f>(N452-N451)/N451</f>
        <v>5.9574720444916011E-2</v>
      </c>
      <c r="O455" s="444"/>
      <c r="P455" s="340"/>
      <c r="Q455" s="341"/>
      <c r="R455" s="336">
        <f>(R452-R451)/R451</f>
        <v>0.11486806762521726</v>
      </c>
      <c r="S455" s="470"/>
      <c r="T455" s="339"/>
      <c r="U455" s="340"/>
      <c r="V455" s="470"/>
      <c r="W455" s="315"/>
    </row>
    <row r="456" spans="1:23" ht="13.3" thickBot="1" x14ac:dyDescent="0.25">
      <c r="A456" s="611"/>
      <c r="B456" s="418" t="s">
        <v>58</v>
      </c>
      <c r="C456" s="411">
        <f>C453/C447-1</f>
        <v>7.0921985815601829E-3</v>
      </c>
      <c r="D456" s="353"/>
      <c r="E456" s="353">
        <f>E453/E447-1</f>
        <v>6.7114093959732557E-3</v>
      </c>
      <c r="F456" s="353">
        <f>F453/F447-1</f>
        <v>6.2500000000000888E-3</v>
      </c>
      <c r="G456" s="353">
        <f>G453/G447-1</f>
        <v>5.5248618784531356E-3</v>
      </c>
      <c r="H456" s="353"/>
      <c r="I456" s="353"/>
      <c r="J456" s="355"/>
      <c r="K456" s="434"/>
      <c r="L456" s="509"/>
      <c r="M456" s="467">
        <f>M453/M447-1</f>
        <v>6.2500000000000888E-3</v>
      </c>
      <c r="N456" s="292">
        <f>N453/N447-1</f>
        <v>6.2500000000000888E-3</v>
      </c>
      <c r="O456" s="445"/>
      <c r="P456" s="357"/>
      <c r="Q456" s="358"/>
      <c r="R456" s="353">
        <f>R453/R447-1</f>
        <v>5.7142857142857828E-3</v>
      </c>
      <c r="S456" s="471"/>
      <c r="T456" s="356"/>
      <c r="U456" s="357"/>
      <c r="V456" s="471"/>
      <c r="W456" s="359"/>
    </row>
    <row r="457" spans="1:23" x14ac:dyDescent="0.2">
      <c r="A457" s="611">
        <v>43569</v>
      </c>
      <c r="B457" s="419" t="s">
        <v>53</v>
      </c>
      <c r="C457" s="408">
        <v>1520.75</v>
      </c>
      <c r="D457" s="347"/>
      <c r="E457" s="346">
        <v>1535.51</v>
      </c>
      <c r="F457" s="346">
        <v>1650.84</v>
      </c>
      <c r="G457" s="346">
        <v>1692.36</v>
      </c>
      <c r="H457" s="347"/>
      <c r="I457" s="347"/>
      <c r="J457" s="290"/>
      <c r="K457" s="431"/>
      <c r="L457" s="507"/>
      <c r="M457" s="256">
        <v>1512.56</v>
      </c>
      <c r="N457" s="462">
        <v>1526.82</v>
      </c>
      <c r="O457" s="442"/>
      <c r="P457" s="348"/>
      <c r="Q457" s="349"/>
      <c r="R457" s="346">
        <v>1591.06</v>
      </c>
      <c r="S457" s="346"/>
      <c r="T457" s="290"/>
      <c r="U457" s="348"/>
      <c r="V457" s="347"/>
      <c r="W457" s="346">
        <v>1232.0999999999999</v>
      </c>
    </row>
    <row r="458" spans="1:23" x14ac:dyDescent="0.2">
      <c r="A458" s="611"/>
      <c r="B458" s="415" t="s">
        <v>54</v>
      </c>
      <c r="C458" s="409">
        <v>1547</v>
      </c>
      <c r="D458" s="249"/>
      <c r="E458" s="250">
        <v>1638</v>
      </c>
      <c r="F458" s="250">
        <v>1755</v>
      </c>
      <c r="G458" s="250">
        <v>1976</v>
      </c>
      <c r="H458" s="249"/>
      <c r="I458" s="249"/>
      <c r="J458" s="330"/>
      <c r="K458" s="432"/>
      <c r="L458" s="508"/>
      <c r="M458" s="463">
        <v>1620</v>
      </c>
      <c r="N458" s="464">
        <v>1620</v>
      </c>
      <c r="O458" s="446"/>
      <c r="P458" s="331"/>
      <c r="Q458" s="332"/>
      <c r="R458" s="250">
        <v>1764</v>
      </c>
      <c r="S458" s="496"/>
      <c r="T458" s="330"/>
      <c r="U458" s="334"/>
      <c r="V458" s="469"/>
      <c r="W458" s="315"/>
    </row>
    <row r="459" spans="1:23" x14ac:dyDescent="0.2">
      <c r="A459" s="611"/>
      <c r="B459" s="415" t="s">
        <v>55</v>
      </c>
      <c r="C459" s="409">
        <v>1.43</v>
      </c>
      <c r="D459" s="249"/>
      <c r="E459" s="250">
        <v>1.51</v>
      </c>
      <c r="F459" s="250">
        <v>1.62</v>
      </c>
      <c r="G459" s="250">
        <v>1.83</v>
      </c>
      <c r="H459" s="249"/>
      <c r="I459" s="249"/>
      <c r="J459" s="330"/>
      <c r="K459" s="432"/>
      <c r="L459" s="508"/>
      <c r="M459" s="463">
        <v>1.62</v>
      </c>
      <c r="N459" s="464">
        <v>1.62</v>
      </c>
      <c r="O459" s="443"/>
      <c r="P459" s="334"/>
      <c r="Q459" s="335"/>
      <c r="R459" s="250">
        <v>1.77</v>
      </c>
      <c r="S459" s="469"/>
      <c r="T459" s="333"/>
      <c r="U459" s="334"/>
      <c r="V459" s="497"/>
      <c r="W459" s="315"/>
    </row>
    <row r="460" spans="1:23" x14ac:dyDescent="0.2">
      <c r="A460" s="611"/>
      <c r="B460" s="415" t="s">
        <v>56</v>
      </c>
      <c r="C460" s="410">
        <f>(C458-C457)/C458</f>
        <v>1.6968325791855202E-2</v>
      </c>
      <c r="D460" s="336"/>
      <c r="E460" s="336">
        <f>(E458-E457)/E458</f>
        <v>6.2570207570207578E-2</v>
      </c>
      <c r="F460" s="336">
        <f>(F458-F457)/F458</f>
        <v>5.93504273504274E-2</v>
      </c>
      <c r="G460" s="336">
        <f>(G458-G457)/G458</f>
        <v>0.14354251012145755</v>
      </c>
      <c r="H460" s="336"/>
      <c r="I460" s="336"/>
      <c r="J460" s="338"/>
      <c r="K460" s="433"/>
      <c r="L460" s="279"/>
      <c r="M460" s="465">
        <f>(M458-M457)/M458</f>
        <v>6.6320987654321026E-2</v>
      </c>
      <c r="N460" s="466">
        <f>(N458-N457)/N458</f>
        <v>5.7518518518518559E-2</v>
      </c>
      <c r="O460" s="444"/>
      <c r="P460" s="340"/>
      <c r="Q460" s="341"/>
      <c r="R460" s="336">
        <f>(R458-R457)/R458</f>
        <v>9.8038548752834492E-2</v>
      </c>
      <c r="S460" s="470"/>
      <c r="T460" s="339"/>
      <c r="U460" s="340"/>
      <c r="V460" s="470"/>
      <c r="W460" s="315"/>
    </row>
    <row r="461" spans="1:23" x14ac:dyDescent="0.2">
      <c r="A461" s="611"/>
      <c r="B461" s="415" t="s">
        <v>57</v>
      </c>
      <c r="C461" s="410">
        <f>(C458-C457)/C457</f>
        <v>1.7261219792865361E-2</v>
      </c>
      <c r="D461" s="336"/>
      <c r="E461" s="336">
        <f>(E458-E457)/E457</f>
        <v>6.6746553262433991E-2</v>
      </c>
      <c r="F461" s="336">
        <f>(F458-F457)/F457</f>
        <v>6.3095151559206281E-2</v>
      </c>
      <c r="G461" s="336">
        <f>(G458-G457)/G457</f>
        <v>0.16760027417334381</v>
      </c>
      <c r="H461" s="336"/>
      <c r="I461" s="336"/>
      <c r="J461" s="338"/>
      <c r="K461" s="433"/>
      <c r="L461" s="279"/>
      <c r="M461" s="465">
        <f>(M458-M457)/M457</f>
        <v>7.1031892949701206E-2</v>
      </c>
      <c r="N461" s="466">
        <f>(N458-N457)/N457</f>
        <v>6.1028804967186746E-2</v>
      </c>
      <c r="O461" s="444"/>
      <c r="P461" s="340"/>
      <c r="Q461" s="341"/>
      <c r="R461" s="336">
        <f>(R458-R457)/R457</f>
        <v>0.10869483237590039</v>
      </c>
      <c r="S461" s="470"/>
      <c r="T461" s="339"/>
      <c r="U461" s="340"/>
      <c r="V461" s="470"/>
      <c r="W461" s="315"/>
    </row>
    <row r="462" spans="1:23" ht="13.3" thickBot="1" x14ac:dyDescent="0.25">
      <c r="A462" s="611"/>
      <c r="B462" s="418" t="s">
        <v>58</v>
      </c>
      <c r="C462" s="411">
        <f>C459/C453-1</f>
        <v>7.0422535211267512E-3</v>
      </c>
      <c r="D462" s="353"/>
      <c r="E462" s="353">
        <f>E459/E453-1</f>
        <v>6.6666666666665986E-3</v>
      </c>
      <c r="F462" s="353">
        <f>F459/F453-1</f>
        <v>6.2111801242235032E-3</v>
      </c>
      <c r="G462" s="353">
        <f>G459/G453-1</f>
        <v>5.494505494505475E-3</v>
      </c>
      <c r="H462" s="353"/>
      <c r="I462" s="353"/>
      <c r="J462" s="355"/>
      <c r="K462" s="434"/>
      <c r="L462" s="509"/>
      <c r="M462" s="467">
        <f>M459/M453-1</f>
        <v>6.2111801242235032E-3</v>
      </c>
      <c r="N462" s="292">
        <f>N459/N453-1</f>
        <v>6.2111801242235032E-3</v>
      </c>
      <c r="O462" s="445"/>
      <c r="P462" s="357"/>
      <c r="Q462" s="358"/>
      <c r="R462" s="353">
        <f>R459/R453-1</f>
        <v>5.6818181818181213E-3</v>
      </c>
      <c r="S462" s="471"/>
      <c r="T462" s="356"/>
      <c r="U462" s="357"/>
      <c r="V462" s="471"/>
      <c r="W462" s="359"/>
    </row>
    <row r="463" spans="1:23" x14ac:dyDescent="0.2">
      <c r="A463" s="611">
        <v>43576</v>
      </c>
      <c r="B463" s="419" t="s">
        <v>53</v>
      </c>
      <c r="C463" s="408">
        <v>1531.17</v>
      </c>
      <c r="D463" s="347"/>
      <c r="E463" s="346">
        <v>1545.47</v>
      </c>
      <c r="F463" s="346">
        <v>1660.84</v>
      </c>
      <c r="G463" s="346">
        <v>1701.44</v>
      </c>
      <c r="H463" s="347"/>
      <c r="I463" s="347"/>
      <c r="J463" s="290"/>
      <c r="K463" s="431"/>
      <c r="L463" s="507"/>
      <c r="M463" s="256">
        <v>1521.71</v>
      </c>
      <c r="N463" s="462">
        <v>1536.05</v>
      </c>
      <c r="O463" s="442"/>
      <c r="P463" s="348"/>
      <c r="Q463" s="349"/>
      <c r="R463" s="346">
        <v>1599.87</v>
      </c>
      <c r="S463" s="346"/>
      <c r="T463" s="290"/>
      <c r="U463" s="348"/>
      <c r="V463" s="347"/>
      <c r="W463" s="346">
        <v>1239.55</v>
      </c>
    </row>
    <row r="464" spans="1:23" x14ac:dyDescent="0.2">
      <c r="A464" s="611"/>
      <c r="B464" s="415" t="s">
        <v>54</v>
      </c>
      <c r="C464" s="409">
        <v>1560</v>
      </c>
      <c r="D464" s="249"/>
      <c r="E464" s="250">
        <v>1651</v>
      </c>
      <c r="F464" s="250">
        <v>1768</v>
      </c>
      <c r="G464" s="250">
        <v>1989</v>
      </c>
      <c r="H464" s="249"/>
      <c r="I464" s="249"/>
      <c r="J464" s="330"/>
      <c r="K464" s="432"/>
      <c r="L464" s="508"/>
      <c r="M464" s="463">
        <v>1632</v>
      </c>
      <c r="N464" s="464">
        <v>1632</v>
      </c>
      <c r="O464" s="446"/>
      <c r="P464" s="331"/>
      <c r="Q464" s="332"/>
      <c r="R464" s="250">
        <v>1776</v>
      </c>
      <c r="S464" s="496"/>
      <c r="T464" s="330"/>
      <c r="U464" s="334"/>
      <c r="V464" s="469"/>
      <c r="W464" s="315"/>
    </row>
    <row r="465" spans="1:23" x14ac:dyDescent="0.2">
      <c r="A465" s="611"/>
      <c r="B465" s="415" t="s">
        <v>55</v>
      </c>
      <c r="C465" s="409">
        <v>1.44</v>
      </c>
      <c r="D465" s="249"/>
      <c r="E465" s="250">
        <v>1.52</v>
      </c>
      <c r="F465" s="250">
        <v>1.63</v>
      </c>
      <c r="G465" s="250">
        <v>1.84</v>
      </c>
      <c r="H465" s="249"/>
      <c r="I465" s="249"/>
      <c r="J465" s="330"/>
      <c r="K465" s="432"/>
      <c r="L465" s="508"/>
      <c r="M465" s="463">
        <v>1.63</v>
      </c>
      <c r="N465" s="464">
        <v>1.63</v>
      </c>
      <c r="O465" s="443"/>
      <c r="P465" s="334"/>
      <c r="Q465" s="335"/>
      <c r="R465" s="250">
        <v>1.78</v>
      </c>
      <c r="S465" s="469"/>
      <c r="T465" s="333"/>
      <c r="U465" s="334"/>
      <c r="V465" s="497"/>
      <c r="W465" s="315"/>
    </row>
    <row r="466" spans="1:23" x14ac:dyDescent="0.2">
      <c r="A466" s="611"/>
      <c r="B466" s="415" t="s">
        <v>56</v>
      </c>
      <c r="C466" s="410">
        <f>(C464-C463)/C464</f>
        <v>1.8480769230769183E-2</v>
      </c>
      <c r="D466" s="336"/>
      <c r="E466" s="336">
        <f>(E464-E463)/E464</f>
        <v>6.3918837068443354E-2</v>
      </c>
      <c r="F466" s="336">
        <f>(F464-F463)/F464</f>
        <v>6.0610859728506834E-2</v>
      </c>
      <c r="G466" s="336">
        <f>(G464-G463)/G464</f>
        <v>0.14457516339869278</v>
      </c>
      <c r="H466" s="336"/>
      <c r="I466" s="336"/>
      <c r="J466" s="338"/>
      <c r="K466" s="433"/>
      <c r="L466" s="279"/>
      <c r="M466" s="465">
        <f>(M464-M463)/M464</f>
        <v>6.7579656862745072E-2</v>
      </c>
      <c r="N466" s="466">
        <f>(N464-N463)/N464</f>
        <v>5.8792892156862772E-2</v>
      </c>
      <c r="O466" s="444"/>
      <c r="P466" s="340"/>
      <c r="Q466" s="341"/>
      <c r="R466" s="336">
        <f>(R464-R463)/R464</f>
        <v>9.917229729729736E-2</v>
      </c>
      <c r="S466" s="470"/>
      <c r="T466" s="339"/>
      <c r="U466" s="340"/>
      <c r="V466" s="470"/>
      <c r="W466" s="315"/>
    </row>
    <row r="467" spans="1:23" x14ac:dyDescent="0.2">
      <c r="A467" s="611"/>
      <c r="B467" s="415" t="s">
        <v>57</v>
      </c>
      <c r="C467" s="410">
        <f>(C464-C463)/C463</f>
        <v>1.882873880757847E-2</v>
      </c>
      <c r="D467" s="336"/>
      <c r="E467" s="336">
        <f>(E464-E463)/E463</f>
        <v>6.828343481271068E-2</v>
      </c>
      <c r="F467" s="336">
        <f>(F464-F463)/F463</f>
        <v>6.4521567399629151E-2</v>
      </c>
      <c r="G467" s="336">
        <f>(G464-G463)/G463</f>
        <v>0.1690097799511002</v>
      </c>
      <c r="H467" s="336"/>
      <c r="I467" s="336"/>
      <c r="J467" s="338"/>
      <c r="K467" s="433"/>
      <c r="L467" s="279"/>
      <c r="M467" s="465">
        <f>(M464-M463)/M463</f>
        <v>7.2477673144028726E-2</v>
      </c>
      <c r="N467" s="466">
        <f>(N464-N463)/N463</f>
        <v>6.2465414537287232E-2</v>
      </c>
      <c r="O467" s="444"/>
      <c r="P467" s="340"/>
      <c r="Q467" s="341"/>
      <c r="R467" s="336">
        <f>(R464-R463)/R463</f>
        <v>0.11009019482832988</v>
      </c>
      <c r="S467" s="470"/>
      <c r="T467" s="339"/>
      <c r="U467" s="340"/>
      <c r="V467" s="470"/>
      <c r="W467" s="315"/>
    </row>
    <row r="468" spans="1:23" ht="13.3" thickBot="1" x14ac:dyDescent="0.25">
      <c r="A468" s="611"/>
      <c r="B468" s="418" t="s">
        <v>58</v>
      </c>
      <c r="C468" s="411">
        <f>C465/C459-1</f>
        <v>6.9930069930070893E-3</v>
      </c>
      <c r="D468" s="353"/>
      <c r="E468" s="353">
        <f>E465/E459-1</f>
        <v>6.6225165562914245E-3</v>
      </c>
      <c r="F468" s="353">
        <f>F465/F459-1</f>
        <v>6.1728395061726449E-3</v>
      </c>
      <c r="G468" s="353">
        <f>G465/G459-1</f>
        <v>5.464480874316946E-3</v>
      </c>
      <c r="H468" s="353"/>
      <c r="I468" s="353"/>
      <c r="J468" s="355"/>
      <c r="K468" s="434"/>
      <c r="L468" s="509"/>
      <c r="M468" s="467">
        <f>M465/M459-1</f>
        <v>6.1728395061726449E-3</v>
      </c>
      <c r="N468" s="292">
        <f>N465/N459-1</f>
        <v>6.1728395061726449E-3</v>
      </c>
      <c r="O468" s="445"/>
      <c r="P468" s="357"/>
      <c r="Q468" s="358"/>
      <c r="R468" s="353">
        <f>R465/R459-1</f>
        <v>5.6497175141243527E-3</v>
      </c>
      <c r="S468" s="471"/>
      <c r="T468" s="356"/>
      <c r="U468" s="357"/>
      <c r="V468" s="471"/>
      <c r="W468" s="359"/>
    </row>
    <row r="469" spans="1:23" x14ac:dyDescent="0.2">
      <c r="A469" s="611">
        <v>43583</v>
      </c>
      <c r="B469" s="419" t="s">
        <v>53</v>
      </c>
      <c r="C469" s="408">
        <v>1541.59</v>
      </c>
      <c r="D469" s="347"/>
      <c r="E469" s="346">
        <v>1555.43</v>
      </c>
      <c r="F469" s="346">
        <v>1670.84</v>
      </c>
      <c r="G469" s="346">
        <v>1710.52</v>
      </c>
      <c r="H469" s="347"/>
      <c r="I469" s="347"/>
      <c r="J469" s="290"/>
      <c r="K469" s="431"/>
      <c r="L469" s="346"/>
      <c r="M469" s="256">
        <v>1530.86</v>
      </c>
      <c r="N469" s="462">
        <v>1545.28</v>
      </c>
      <c r="O469" s="442"/>
      <c r="P469" s="348"/>
      <c r="Q469" s="349"/>
      <c r="R469" s="346">
        <v>1608.68</v>
      </c>
      <c r="S469" s="346"/>
      <c r="T469" s="290"/>
      <c r="U469" s="348"/>
      <c r="V469" s="347"/>
      <c r="W469" s="346">
        <v>1246.92</v>
      </c>
    </row>
    <row r="470" spans="1:23" x14ac:dyDescent="0.2">
      <c r="A470" s="611"/>
      <c r="B470" s="415" t="s">
        <v>54</v>
      </c>
      <c r="C470" s="409">
        <v>1573</v>
      </c>
      <c r="D470" s="249"/>
      <c r="E470" s="250">
        <v>1651</v>
      </c>
      <c r="F470" s="250">
        <v>1781</v>
      </c>
      <c r="G470" s="250">
        <v>2002</v>
      </c>
      <c r="H470" s="249"/>
      <c r="I470" s="249"/>
      <c r="J470" s="330"/>
      <c r="K470" s="432"/>
      <c r="L470" s="250"/>
      <c r="M470" s="463">
        <v>1644</v>
      </c>
      <c r="N470" s="464">
        <v>1644</v>
      </c>
      <c r="O470" s="446"/>
      <c r="P470" s="331"/>
      <c r="Q470" s="332"/>
      <c r="R470" s="250">
        <v>1788</v>
      </c>
      <c r="S470" s="496"/>
      <c r="T470" s="330"/>
      <c r="U470" s="334"/>
      <c r="V470" s="469"/>
      <c r="W470" s="315"/>
    </row>
    <row r="471" spans="1:23" x14ac:dyDescent="0.2">
      <c r="A471" s="611"/>
      <c r="B471" s="415" t="s">
        <v>55</v>
      </c>
      <c r="C471" s="409">
        <v>1.45</v>
      </c>
      <c r="D471" s="249"/>
      <c r="E471" s="250">
        <v>1.53</v>
      </c>
      <c r="F471" s="250">
        <v>1.64</v>
      </c>
      <c r="G471" s="250">
        <v>1.85</v>
      </c>
      <c r="H471" s="249"/>
      <c r="I471" s="249"/>
      <c r="J471" s="330"/>
      <c r="K471" s="432"/>
      <c r="L471" s="250"/>
      <c r="M471" s="463">
        <v>1.64</v>
      </c>
      <c r="N471" s="464">
        <v>1.64</v>
      </c>
      <c r="O471" s="443"/>
      <c r="P471" s="334"/>
      <c r="Q471" s="335"/>
      <c r="R471" s="250">
        <v>1.79</v>
      </c>
      <c r="S471" s="469"/>
      <c r="T471" s="333"/>
      <c r="U471" s="334"/>
      <c r="V471" s="497"/>
      <c r="W471" s="315"/>
    </row>
    <row r="472" spans="1:23" x14ac:dyDescent="0.2">
      <c r="A472" s="611"/>
      <c r="B472" s="415" t="s">
        <v>56</v>
      </c>
      <c r="C472" s="410">
        <f>(C470-C469)/C470</f>
        <v>1.9968213604577293E-2</v>
      </c>
      <c r="D472" s="336"/>
      <c r="E472" s="336">
        <f>(E470-E469)/E470</f>
        <v>5.7886129618413044E-2</v>
      </c>
      <c r="F472" s="336">
        <f>(F470-F469)/F470</f>
        <v>6.1852891633913575E-2</v>
      </c>
      <c r="G472" s="336">
        <f>(G470-G469)/G470</f>
        <v>0.14559440559440559</v>
      </c>
      <c r="H472" s="336"/>
      <c r="I472" s="336"/>
      <c r="J472" s="338"/>
      <c r="K472" s="433"/>
      <c r="L472" s="336"/>
      <c r="M472" s="465">
        <f>(M470-M469)/M470</f>
        <v>6.881995133819957E-2</v>
      </c>
      <c r="N472" s="466">
        <f>(N470-N469)/N470</f>
        <v>6.0048661800486632E-2</v>
      </c>
      <c r="O472" s="444"/>
      <c r="P472" s="340"/>
      <c r="Q472" s="341"/>
      <c r="R472" s="336">
        <f>(R470-R469)/R470</f>
        <v>0.10029082774049214</v>
      </c>
      <c r="S472" s="470"/>
      <c r="T472" s="339"/>
      <c r="U472" s="340"/>
      <c r="V472" s="470"/>
      <c r="W472" s="315"/>
    </row>
    <row r="473" spans="1:23" x14ac:dyDescent="0.2">
      <c r="A473" s="611"/>
      <c r="B473" s="415" t="s">
        <v>57</v>
      </c>
      <c r="C473" s="410">
        <f>(C470-C469)/C469</f>
        <v>2.0375067300644194E-2</v>
      </c>
      <c r="D473" s="336"/>
      <c r="E473" s="336">
        <f>(E470-E469)/E469</f>
        <v>6.1442816455899614E-2</v>
      </c>
      <c r="F473" s="336">
        <f>(F470-F469)/F469</f>
        <v>6.5930909003854399E-2</v>
      </c>
      <c r="G473" s="336">
        <f>(G470-G469)/G469</f>
        <v>0.17040432149287937</v>
      </c>
      <c r="H473" s="336"/>
      <c r="I473" s="336"/>
      <c r="J473" s="338"/>
      <c r="K473" s="433"/>
      <c r="L473" s="336"/>
      <c r="M473" s="465">
        <f>(M470-M469)/M469</f>
        <v>7.3906170387886619E-2</v>
      </c>
      <c r="N473" s="466">
        <f>(N470-N469)/N469</f>
        <v>6.3884862290329275E-2</v>
      </c>
      <c r="O473" s="444"/>
      <c r="P473" s="340"/>
      <c r="Q473" s="341"/>
      <c r="R473" s="336">
        <f>(R470-R469)/R469</f>
        <v>0.11147027376482578</v>
      </c>
      <c r="S473" s="470"/>
      <c r="T473" s="339"/>
      <c r="U473" s="340"/>
      <c r="V473" s="470"/>
      <c r="W473" s="315"/>
    </row>
    <row r="474" spans="1:23" ht="13.3" thickBot="1" x14ac:dyDescent="0.25">
      <c r="A474" s="611"/>
      <c r="B474" s="418" t="s">
        <v>58</v>
      </c>
      <c r="C474" s="411">
        <f>C471/C465-1</f>
        <v>6.9444444444444198E-3</v>
      </c>
      <c r="D474" s="353"/>
      <c r="E474" s="353">
        <f>E471/E465-1</f>
        <v>6.5789473684210176E-3</v>
      </c>
      <c r="F474" s="353">
        <f>F471/F465-1</f>
        <v>6.1349693251533388E-3</v>
      </c>
      <c r="G474" s="353">
        <f>G471/G465-1</f>
        <v>5.4347826086955653E-3</v>
      </c>
      <c r="H474" s="353"/>
      <c r="I474" s="353"/>
      <c r="J474" s="355"/>
      <c r="K474" s="434"/>
      <c r="L474" s="353"/>
      <c r="M474" s="467">
        <f>M471/M465-1</f>
        <v>6.1349693251533388E-3</v>
      </c>
      <c r="N474" s="292">
        <f>N471/N465-1</f>
        <v>6.1349693251533388E-3</v>
      </c>
      <c r="O474" s="445"/>
      <c r="P474" s="357"/>
      <c r="Q474" s="358"/>
      <c r="R474" s="353">
        <f>R471/R465-1</f>
        <v>5.6179775280897903E-3</v>
      </c>
      <c r="S474" s="471"/>
      <c r="T474" s="356"/>
      <c r="U474" s="357"/>
      <c r="V474" s="471"/>
      <c r="W474" s="359"/>
    </row>
    <row r="475" spans="1:23" x14ac:dyDescent="0.2">
      <c r="A475" s="611">
        <v>43590</v>
      </c>
      <c r="B475" s="419" t="s">
        <v>53</v>
      </c>
      <c r="C475" s="408">
        <v>1552.01</v>
      </c>
      <c r="D475" s="347"/>
      <c r="E475" s="346">
        <v>1565.39</v>
      </c>
      <c r="F475" s="346">
        <v>1680.84</v>
      </c>
      <c r="G475" s="346">
        <v>1719.6</v>
      </c>
      <c r="H475" s="347"/>
      <c r="I475" s="347"/>
      <c r="J475" s="290"/>
      <c r="K475" s="431"/>
      <c r="L475" s="346">
        <v>1810.79</v>
      </c>
      <c r="M475" s="256">
        <v>1540.01</v>
      </c>
      <c r="N475" s="462">
        <v>1554.51</v>
      </c>
      <c r="O475" s="442"/>
      <c r="P475" s="348"/>
      <c r="Q475" s="349"/>
      <c r="R475" s="346">
        <v>1617.49</v>
      </c>
      <c r="S475" s="346"/>
      <c r="T475" s="290"/>
      <c r="U475" s="348"/>
      <c r="V475" s="347"/>
      <c r="W475" s="346">
        <v>1254.22</v>
      </c>
    </row>
    <row r="476" spans="1:23" x14ac:dyDescent="0.2">
      <c r="A476" s="611"/>
      <c r="B476" s="415" t="s">
        <v>54</v>
      </c>
      <c r="C476" s="409">
        <v>1586</v>
      </c>
      <c r="D476" s="249"/>
      <c r="E476" s="250">
        <v>1664</v>
      </c>
      <c r="F476" s="250">
        <v>1781</v>
      </c>
      <c r="G476" s="250">
        <v>2015</v>
      </c>
      <c r="H476" s="249"/>
      <c r="I476" s="249"/>
      <c r="J476" s="330"/>
      <c r="K476" s="432"/>
      <c r="L476" s="250">
        <v>2106</v>
      </c>
      <c r="M476" s="463">
        <v>1644</v>
      </c>
      <c r="N476" s="464">
        <v>1644</v>
      </c>
      <c r="O476" s="446"/>
      <c r="P476" s="331"/>
      <c r="Q476" s="332"/>
      <c r="R476" s="250">
        <v>1800</v>
      </c>
      <c r="S476" s="496"/>
      <c r="T476" s="330"/>
      <c r="U476" s="334"/>
      <c r="V476" s="469"/>
      <c r="W476" s="315"/>
    </row>
    <row r="477" spans="1:23" x14ac:dyDescent="0.2">
      <c r="A477" s="611"/>
      <c r="B477" s="415" t="s">
        <v>55</v>
      </c>
      <c r="C477" s="409">
        <v>1.46</v>
      </c>
      <c r="D477" s="249"/>
      <c r="E477" s="250">
        <v>1.54</v>
      </c>
      <c r="F477" s="250">
        <v>1.65</v>
      </c>
      <c r="G477" s="250">
        <v>1.86</v>
      </c>
      <c r="H477" s="249"/>
      <c r="I477" s="249"/>
      <c r="J477" s="330"/>
      <c r="K477" s="432"/>
      <c r="L477" s="250">
        <v>1.94</v>
      </c>
      <c r="M477" s="463">
        <v>1.65</v>
      </c>
      <c r="N477" s="464">
        <v>1.65</v>
      </c>
      <c r="O477" s="443"/>
      <c r="P477" s="334"/>
      <c r="Q477" s="335"/>
      <c r="R477" s="250">
        <v>1.8</v>
      </c>
      <c r="S477" s="469"/>
      <c r="T477" s="333"/>
      <c r="U477" s="334"/>
      <c r="V477" s="497"/>
      <c r="W477" s="315"/>
    </row>
    <row r="478" spans="1:23" x14ac:dyDescent="0.2">
      <c r="A478" s="611"/>
      <c r="B478" s="415" t="s">
        <v>56</v>
      </c>
      <c r="C478" s="410">
        <f>(C476-C475)/C476</f>
        <v>2.1431273644388404E-2</v>
      </c>
      <c r="D478" s="336"/>
      <c r="E478" s="336">
        <f>(E476-E475)/E476</f>
        <v>5.9260817307692247E-2</v>
      </c>
      <c r="F478" s="336">
        <f>(F476-F475)/F476</f>
        <v>5.6238068500842273E-2</v>
      </c>
      <c r="G478" s="336">
        <f>(G476-G475)/G476</f>
        <v>0.14660049627791569</v>
      </c>
      <c r="H478" s="336"/>
      <c r="I478" s="336"/>
      <c r="J478" s="338"/>
      <c r="K478" s="433"/>
      <c r="L478" s="336">
        <f>(L476-L475)/L476</f>
        <v>0.14017568850902187</v>
      </c>
      <c r="M478" s="465">
        <f>(M476-M475)/M476</f>
        <v>6.3254257907542591E-2</v>
      </c>
      <c r="N478" s="466">
        <f>(N476-N475)/N476</f>
        <v>5.4434306569343074E-2</v>
      </c>
      <c r="O478" s="444"/>
      <c r="P478" s="340"/>
      <c r="Q478" s="341"/>
      <c r="R478" s="336">
        <f>(R476-R475)/R476</f>
        <v>0.10139444444444444</v>
      </c>
      <c r="S478" s="470"/>
      <c r="T478" s="339"/>
      <c r="U478" s="340"/>
      <c r="V478" s="470"/>
      <c r="W478" s="315"/>
    </row>
    <row r="479" spans="1:23" x14ac:dyDescent="0.2">
      <c r="A479" s="611"/>
      <c r="B479" s="415" t="s">
        <v>57</v>
      </c>
      <c r="C479" s="410">
        <f>(C476-C475)/C475</f>
        <v>2.1900632083556169E-2</v>
      </c>
      <c r="D479" s="336"/>
      <c r="E479" s="336">
        <f>(E476-E475)/E475</f>
        <v>6.2993886507515626E-2</v>
      </c>
      <c r="F479" s="336">
        <f>(F476-F475)/F475</f>
        <v>5.9589252992551398E-2</v>
      </c>
      <c r="G479" s="336">
        <f>(G476-G475)/G475</f>
        <v>0.17178413584554553</v>
      </c>
      <c r="H479" s="336"/>
      <c r="I479" s="336"/>
      <c r="J479" s="338"/>
      <c r="K479" s="433"/>
      <c r="L479" s="336">
        <f>(L476-L475)/L475</f>
        <v>0.16302829151917123</v>
      </c>
      <c r="M479" s="465">
        <f>(M476-M475)/M475</f>
        <v>6.7525535548470475E-2</v>
      </c>
      <c r="N479" s="466">
        <f>(N476-N475)/N475</f>
        <v>5.7567979620587843E-2</v>
      </c>
      <c r="O479" s="444"/>
      <c r="P479" s="340"/>
      <c r="Q479" s="341"/>
      <c r="R479" s="336">
        <f>(R476-R475)/R475</f>
        <v>0.11283531892005515</v>
      </c>
      <c r="S479" s="470"/>
      <c r="T479" s="339"/>
      <c r="U479" s="340"/>
      <c r="V479" s="470"/>
      <c r="W479" s="315"/>
    </row>
    <row r="480" spans="1:23" ht="13.3" thickBot="1" x14ac:dyDescent="0.25">
      <c r="A480" s="611"/>
      <c r="B480" s="418" t="s">
        <v>58</v>
      </c>
      <c r="C480" s="411">
        <f>C477/C471-1</f>
        <v>6.8965517241379448E-3</v>
      </c>
      <c r="D480" s="353"/>
      <c r="E480" s="353">
        <f>E477/E471-1</f>
        <v>6.5359477124182774E-3</v>
      </c>
      <c r="F480" s="353">
        <f>F477/F471-1</f>
        <v>6.0975609756097615E-3</v>
      </c>
      <c r="G480" s="353">
        <f>G477/G471-1</f>
        <v>5.4054054054053502E-3</v>
      </c>
      <c r="H480" s="353"/>
      <c r="I480" s="353"/>
      <c r="J480" s="355"/>
      <c r="K480" s="434"/>
      <c r="L480" s="353"/>
      <c r="M480" s="467">
        <f>M477/M471-1</f>
        <v>6.0975609756097615E-3</v>
      </c>
      <c r="N480" s="292">
        <f>N477/N471-1</f>
        <v>6.0975609756097615E-3</v>
      </c>
      <c r="O480" s="445"/>
      <c r="P480" s="357"/>
      <c r="Q480" s="358"/>
      <c r="R480" s="353">
        <f>R477/R471-1</f>
        <v>5.5865921787709993E-3</v>
      </c>
      <c r="S480" s="471"/>
      <c r="T480" s="356"/>
      <c r="U480" s="357"/>
      <c r="V480" s="471"/>
      <c r="W480" s="359"/>
    </row>
    <row r="481" spans="1:23" x14ac:dyDescent="0.2">
      <c r="A481" s="611">
        <v>43597</v>
      </c>
      <c r="B481" s="419" t="s">
        <v>53</v>
      </c>
      <c r="C481" s="408">
        <v>1562.43</v>
      </c>
      <c r="D481" s="347"/>
      <c r="E481" s="346">
        <v>1575.35</v>
      </c>
      <c r="F481" s="346">
        <v>1690.84</v>
      </c>
      <c r="G481" s="346">
        <v>1728.68</v>
      </c>
      <c r="H481" s="347"/>
      <c r="I481" s="347"/>
      <c r="J481" s="290"/>
      <c r="K481" s="431"/>
      <c r="L481" s="346">
        <v>1820.06</v>
      </c>
      <c r="M481" s="256">
        <v>1549.16</v>
      </c>
      <c r="N481" s="462">
        <v>1563.74</v>
      </c>
      <c r="O481" s="442"/>
      <c r="P481" s="348"/>
      <c r="Q481" s="349"/>
      <c r="R481" s="346">
        <v>1626.3</v>
      </c>
      <c r="S481" s="346"/>
      <c r="T481" s="290"/>
      <c r="U481" s="348"/>
      <c r="V481" s="347"/>
      <c r="W481" s="346">
        <v>1261.68</v>
      </c>
    </row>
    <row r="482" spans="1:23" x14ac:dyDescent="0.2">
      <c r="A482" s="611"/>
      <c r="B482" s="415" t="s">
        <v>54</v>
      </c>
      <c r="C482" s="409">
        <v>1586</v>
      </c>
      <c r="D482" s="249"/>
      <c r="E482" s="250">
        <v>1677</v>
      </c>
      <c r="F482" s="250">
        <v>1794</v>
      </c>
      <c r="G482" s="250">
        <v>2028</v>
      </c>
      <c r="H482" s="249"/>
      <c r="I482" s="249"/>
      <c r="J482" s="330"/>
      <c r="K482" s="432"/>
      <c r="L482" s="250">
        <v>2106</v>
      </c>
      <c r="M482" s="463">
        <v>1656</v>
      </c>
      <c r="N482" s="464">
        <v>1656</v>
      </c>
      <c r="O482" s="446"/>
      <c r="P482" s="331"/>
      <c r="Q482" s="332"/>
      <c r="R482" s="250">
        <v>1812</v>
      </c>
      <c r="S482" s="496"/>
      <c r="T482" s="330"/>
      <c r="U482" s="334"/>
      <c r="V482" s="469"/>
      <c r="W482" s="315"/>
    </row>
    <row r="483" spans="1:23" x14ac:dyDescent="0.2">
      <c r="A483" s="611"/>
      <c r="B483" s="415" t="s">
        <v>55</v>
      </c>
      <c r="C483" s="409">
        <v>1.47</v>
      </c>
      <c r="D483" s="249"/>
      <c r="E483" s="250">
        <v>1.55</v>
      </c>
      <c r="F483" s="250">
        <v>1.66</v>
      </c>
      <c r="G483" s="250">
        <v>1.87</v>
      </c>
      <c r="H483" s="249"/>
      <c r="I483" s="249"/>
      <c r="J483" s="330"/>
      <c r="K483" s="432"/>
      <c r="L483" s="250">
        <v>1.95</v>
      </c>
      <c r="M483" s="463">
        <v>1.66</v>
      </c>
      <c r="N483" s="464">
        <v>1.66</v>
      </c>
      <c r="O483" s="443"/>
      <c r="P483" s="334"/>
      <c r="Q483" s="335"/>
      <c r="R483" s="250">
        <v>1.81</v>
      </c>
      <c r="S483" s="469"/>
      <c r="T483" s="333"/>
      <c r="U483" s="334"/>
      <c r="V483" s="497"/>
      <c r="W483" s="315"/>
    </row>
    <row r="484" spans="1:23" x14ac:dyDescent="0.2">
      <c r="A484" s="611"/>
      <c r="B484" s="415" t="s">
        <v>56</v>
      </c>
      <c r="C484" s="410">
        <f>(C482-C481)/C482</f>
        <v>1.4861286254728838E-2</v>
      </c>
      <c r="D484" s="336"/>
      <c r="E484" s="336">
        <f>(E482-E481)/E482</f>
        <v>6.06141920095409E-2</v>
      </c>
      <c r="F484" s="336">
        <f>(F482-F481)/F482</f>
        <v>5.7502787068004504E-2</v>
      </c>
      <c r="G484" s="336">
        <f>(G482-G481)/G482</f>
        <v>0.14759368836291911</v>
      </c>
      <c r="H484" s="336"/>
      <c r="I484" s="336"/>
      <c r="J484" s="338"/>
      <c r="K484" s="433"/>
      <c r="L484" s="336">
        <f>(L482-L481)/L482</f>
        <v>0.13577397910731245</v>
      </c>
      <c r="M484" s="465">
        <f>(M482-M481)/M482</f>
        <v>6.4516908212560342E-2</v>
      </c>
      <c r="N484" s="466">
        <f>(N482-N481)/N482</f>
        <v>5.5712560386473424E-2</v>
      </c>
      <c r="O484" s="444"/>
      <c r="P484" s="340"/>
      <c r="Q484" s="341"/>
      <c r="R484" s="336">
        <f>(R482-R481)/R482</f>
        <v>0.10248344370860929</v>
      </c>
      <c r="S484" s="470"/>
      <c r="T484" s="339"/>
      <c r="U484" s="340"/>
      <c r="V484" s="470"/>
      <c r="W484" s="315"/>
    </row>
    <row r="485" spans="1:23" x14ac:dyDescent="0.2">
      <c r="A485" s="611"/>
      <c r="B485" s="415" t="s">
        <v>57</v>
      </c>
      <c r="C485" s="410">
        <f>(C482-C481)/C481</f>
        <v>1.5085475829317112E-2</v>
      </c>
      <c r="D485" s="336"/>
      <c r="E485" s="336">
        <f>(E482-E481)/E481</f>
        <v>6.4525343574443839E-2</v>
      </c>
      <c r="F485" s="336">
        <f>(F482-F481)/F481</f>
        <v>6.1011095077003197E-2</v>
      </c>
      <c r="G485" s="336">
        <f>(G482-G481)/G481</f>
        <v>0.17314945507554894</v>
      </c>
      <c r="H485" s="336"/>
      <c r="I485" s="336"/>
      <c r="J485" s="338"/>
      <c r="K485" s="433"/>
      <c r="L485" s="336">
        <f>(L482-L481)/L481</f>
        <v>0.1571047108337088</v>
      </c>
      <c r="M485" s="465">
        <f>(M482-M481)/M481</f>
        <v>6.896640760153884E-2</v>
      </c>
      <c r="N485" s="466">
        <f>(N482-N481)/N481</f>
        <v>5.8999577934950816E-2</v>
      </c>
      <c r="O485" s="444"/>
      <c r="P485" s="340"/>
      <c r="Q485" s="341"/>
      <c r="R485" s="336">
        <f>(R482-R481)/R481</f>
        <v>0.11418557461722932</v>
      </c>
      <c r="S485" s="470"/>
      <c r="T485" s="339"/>
      <c r="U485" s="340"/>
      <c r="V485" s="470"/>
      <c r="W485" s="315"/>
    </row>
    <row r="486" spans="1:23" ht="13.3" thickBot="1" x14ac:dyDescent="0.25">
      <c r="A486" s="611"/>
      <c r="B486" s="418" t="s">
        <v>58</v>
      </c>
      <c r="C486" s="411">
        <f>C483/C477-1</f>
        <v>6.8493150684931781E-3</v>
      </c>
      <c r="D486" s="353"/>
      <c r="E486" s="353">
        <f>E483/E477-1</f>
        <v>6.4935064935065512E-3</v>
      </c>
      <c r="F486" s="353">
        <f>F483/F477-1</f>
        <v>6.0606060606060996E-3</v>
      </c>
      <c r="G486" s="353">
        <f>G483/G477-1</f>
        <v>5.3763440860215006E-3</v>
      </c>
      <c r="H486" s="353"/>
      <c r="I486" s="353"/>
      <c r="J486" s="355"/>
      <c r="K486" s="434"/>
      <c r="L486" s="353">
        <f>L483/L477-1</f>
        <v>5.1546391752577136E-3</v>
      </c>
      <c r="M486" s="467">
        <f>M483/M477-1</f>
        <v>6.0606060606060996E-3</v>
      </c>
      <c r="N486" s="292">
        <f>N483/N477-1</f>
        <v>6.0606060606060996E-3</v>
      </c>
      <c r="O486" s="445"/>
      <c r="P486" s="357"/>
      <c r="Q486" s="358"/>
      <c r="R486" s="353">
        <f>R483/R477-1</f>
        <v>5.5555555555555358E-3</v>
      </c>
      <c r="S486" s="471"/>
      <c r="T486" s="356"/>
      <c r="U486" s="357"/>
      <c r="V486" s="471"/>
      <c r="W486" s="359"/>
    </row>
    <row r="487" spans="1:23" x14ac:dyDescent="0.2">
      <c r="A487" s="611">
        <v>43604</v>
      </c>
      <c r="B487" s="419" t="s">
        <v>53</v>
      </c>
      <c r="C487" s="408">
        <v>1572.85</v>
      </c>
      <c r="D487" s="347"/>
      <c r="E487" s="346">
        <v>1585.31</v>
      </c>
      <c r="F487" s="346">
        <v>1700.84</v>
      </c>
      <c r="G487" s="346">
        <v>1737.76</v>
      </c>
      <c r="H487" s="347"/>
      <c r="I487" s="347"/>
      <c r="J487" s="290"/>
      <c r="K487" s="431"/>
      <c r="L487" s="346">
        <v>1829.33</v>
      </c>
      <c r="M487" s="256">
        <v>1558.31</v>
      </c>
      <c r="N487" s="462">
        <v>1572.97</v>
      </c>
      <c r="O487" s="442"/>
      <c r="P487" s="348"/>
      <c r="Q487" s="349"/>
      <c r="R487" s="346">
        <v>1635.11</v>
      </c>
      <c r="S487" s="346"/>
      <c r="T487" s="290"/>
      <c r="U487" s="348"/>
      <c r="V487" s="347"/>
      <c r="W487" s="346">
        <v>1269.06</v>
      </c>
    </row>
    <row r="488" spans="1:23" x14ac:dyDescent="0.2">
      <c r="A488" s="611"/>
      <c r="B488" s="415" t="s">
        <v>54</v>
      </c>
      <c r="C488" s="409">
        <v>1599</v>
      </c>
      <c r="D488" s="249"/>
      <c r="E488" s="250">
        <v>1690</v>
      </c>
      <c r="F488" s="250">
        <v>1807</v>
      </c>
      <c r="G488" s="250">
        <v>2041</v>
      </c>
      <c r="H488" s="249"/>
      <c r="I488" s="249"/>
      <c r="J488" s="330"/>
      <c r="K488" s="432"/>
      <c r="L488" s="250">
        <v>2119</v>
      </c>
      <c r="M488" s="463">
        <v>1668</v>
      </c>
      <c r="N488" s="464">
        <v>1668</v>
      </c>
      <c r="O488" s="446"/>
      <c r="P488" s="331"/>
      <c r="Q488" s="332"/>
      <c r="R488" s="250">
        <v>1824</v>
      </c>
      <c r="S488" s="496"/>
      <c r="T488" s="330"/>
      <c r="U488" s="334"/>
      <c r="V488" s="469"/>
      <c r="W488" s="315"/>
    </row>
    <row r="489" spans="1:23" x14ac:dyDescent="0.2">
      <c r="A489" s="611"/>
      <c r="B489" s="415" t="s">
        <v>55</v>
      </c>
      <c r="C489" s="409">
        <v>1.48</v>
      </c>
      <c r="D489" s="249"/>
      <c r="E489" s="250">
        <v>1.56</v>
      </c>
      <c r="F489" s="250">
        <v>1.67</v>
      </c>
      <c r="G489" s="250">
        <v>1.88</v>
      </c>
      <c r="H489" s="249"/>
      <c r="I489" s="249"/>
      <c r="J489" s="330"/>
      <c r="K489" s="432"/>
      <c r="L489" s="250">
        <v>1.96</v>
      </c>
      <c r="M489" s="463">
        <v>1.67</v>
      </c>
      <c r="N489" s="464">
        <v>1.67</v>
      </c>
      <c r="O489" s="443"/>
      <c r="P489" s="334"/>
      <c r="Q489" s="335"/>
      <c r="R489" s="250">
        <v>1.82</v>
      </c>
      <c r="S489" s="469"/>
      <c r="T489" s="333"/>
      <c r="U489" s="334"/>
      <c r="V489" s="497"/>
      <c r="W489" s="315"/>
    </row>
    <row r="490" spans="1:23" x14ac:dyDescent="0.2">
      <c r="A490" s="611"/>
      <c r="B490" s="415" t="s">
        <v>56</v>
      </c>
      <c r="C490" s="410">
        <f>(C488-C487)/C488</f>
        <v>1.6353971232020068E-2</v>
      </c>
      <c r="D490" s="336"/>
      <c r="E490" s="336">
        <f>(E488-E487)/E488</f>
        <v>6.1946745562130208E-2</v>
      </c>
      <c r="F490" s="336">
        <f>(F488-F487)/F488</f>
        <v>5.8749308245711167E-2</v>
      </c>
      <c r="G490" s="336">
        <f>(G488-G487)/G488</f>
        <v>0.14857422831945125</v>
      </c>
      <c r="H490" s="336"/>
      <c r="I490" s="336"/>
      <c r="J490" s="338"/>
      <c r="K490" s="433"/>
      <c r="L490" s="336">
        <f>(L488-L487)/L488</f>
        <v>0.13670127418593681</v>
      </c>
      <c r="M490" s="465">
        <f>(M488-M487)/M488</f>
        <v>6.5761390887290203E-2</v>
      </c>
      <c r="N490" s="466">
        <f>(N488-N487)/N488</f>
        <v>5.6972422062350106E-2</v>
      </c>
      <c r="O490" s="444"/>
      <c r="P490" s="340"/>
      <c r="Q490" s="341"/>
      <c r="R490" s="336">
        <f>(R488-R487)/R488</f>
        <v>0.10355811403508777</v>
      </c>
      <c r="S490" s="470"/>
      <c r="T490" s="339"/>
      <c r="U490" s="340"/>
      <c r="V490" s="470"/>
      <c r="W490" s="315"/>
    </row>
    <row r="491" spans="1:23" x14ac:dyDescent="0.2">
      <c r="A491" s="611"/>
      <c r="B491" s="415" t="s">
        <v>57</v>
      </c>
      <c r="C491" s="410">
        <f>(C488-C487)/C487</f>
        <v>1.6625870235559712E-2</v>
      </c>
      <c r="D491" s="336"/>
      <c r="E491" s="336">
        <f>(E488-E487)/E487</f>
        <v>6.6037557323173429E-2</v>
      </c>
      <c r="F491" s="336">
        <f>(F488-F487)/F487</f>
        <v>6.2416217868817812E-2</v>
      </c>
      <c r="G491" s="336">
        <f>(G488-G487)/G487</f>
        <v>0.17450050639904247</v>
      </c>
      <c r="H491" s="336"/>
      <c r="I491" s="336"/>
      <c r="J491" s="338"/>
      <c r="K491" s="433"/>
      <c r="L491" s="336">
        <f>(L488-L487)/L487</f>
        <v>0.15834759174123864</v>
      </c>
      <c r="M491" s="465">
        <f>(M488-M487)/M487</f>
        <v>7.0390358786120905E-2</v>
      </c>
      <c r="N491" s="466">
        <f>(N488-N487)/N487</f>
        <v>6.0414375353630374E-2</v>
      </c>
      <c r="O491" s="444"/>
      <c r="P491" s="340"/>
      <c r="Q491" s="341"/>
      <c r="R491" s="336">
        <f>(R488-R487)/R487</f>
        <v>0.11552127991388965</v>
      </c>
      <c r="S491" s="470"/>
      <c r="T491" s="339"/>
      <c r="U491" s="340"/>
      <c r="V491" s="470"/>
      <c r="W491" s="315"/>
    </row>
    <row r="492" spans="1:23" ht="13.3" thickBot="1" x14ac:dyDescent="0.25">
      <c r="A492" s="611"/>
      <c r="B492" s="418" t="s">
        <v>58</v>
      </c>
      <c r="C492" s="411">
        <f>C489/C483-1</f>
        <v>6.8027210884353817E-3</v>
      </c>
      <c r="D492" s="353"/>
      <c r="E492" s="353">
        <f>E489/E483-1</f>
        <v>6.4516129032257119E-3</v>
      </c>
      <c r="F492" s="353">
        <f>F489/F483-1</f>
        <v>6.0240963855422436E-3</v>
      </c>
      <c r="G492" s="353">
        <f>G489/G483-1</f>
        <v>5.3475935828874999E-3</v>
      </c>
      <c r="H492" s="353"/>
      <c r="I492" s="353"/>
      <c r="J492" s="355"/>
      <c r="K492" s="434"/>
      <c r="L492" s="353">
        <f>L489/L483-1</f>
        <v>5.12820512820511E-3</v>
      </c>
      <c r="M492" s="467">
        <f>M489/M483-1</f>
        <v>6.0240963855422436E-3</v>
      </c>
      <c r="N492" s="292">
        <f>N489/N483-1</f>
        <v>6.0240963855422436E-3</v>
      </c>
      <c r="O492" s="445"/>
      <c r="P492" s="357"/>
      <c r="Q492" s="358"/>
      <c r="R492" s="353">
        <f>R489/R483-1</f>
        <v>5.5248618784531356E-3</v>
      </c>
      <c r="S492" s="471"/>
      <c r="T492" s="356"/>
      <c r="U492" s="357"/>
      <c r="V492" s="471"/>
      <c r="W492" s="359"/>
    </row>
    <row r="493" spans="1:23" x14ac:dyDescent="0.2">
      <c r="A493" s="611">
        <v>43611</v>
      </c>
      <c r="B493" s="419" t="s">
        <v>53</v>
      </c>
      <c r="C493" s="408">
        <v>1583.27</v>
      </c>
      <c r="D493" s="347"/>
      <c r="E493" s="346">
        <v>1595.27</v>
      </c>
      <c r="F493" s="346">
        <v>1710.84</v>
      </c>
      <c r="G493" s="346">
        <v>1746.84</v>
      </c>
      <c r="H493" s="347"/>
      <c r="I493" s="347"/>
      <c r="J493" s="290"/>
      <c r="K493" s="431"/>
      <c r="L493" s="346">
        <v>1838.51</v>
      </c>
      <c r="M493" s="256">
        <v>1567.46</v>
      </c>
      <c r="N493" s="462">
        <v>1582.2</v>
      </c>
      <c r="O493" s="442"/>
      <c r="P493" s="348"/>
      <c r="Q493" s="349"/>
      <c r="R493" s="346">
        <v>1643.92</v>
      </c>
      <c r="S493" s="346"/>
      <c r="T493" s="290"/>
      <c r="U493" s="348"/>
      <c r="V493" s="347"/>
      <c r="W493" s="346">
        <v>1269.06</v>
      </c>
    </row>
    <row r="494" spans="1:23" x14ac:dyDescent="0.2">
      <c r="A494" s="611"/>
      <c r="B494" s="415" t="s">
        <v>54</v>
      </c>
      <c r="C494" s="409">
        <v>1612</v>
      </c>
      <c r="D494" s="249"/>
      <c r="E494" s="250">
        <v>1703</v>
      </c>
      <c r="F494" s="250">
        <v>1820</v>
      </c>
      <c r="G494" s="250">
        <v>2041</v>
      </c>
      <c r="H494" s="249"/>
      <c r="I494" s="249"/>
      <c r="J494" s="330"/>
      <c r="K494" s="432"/>
      <c r="L494" s="250">
        <v>2132</v>
      </c>
      <c r="M494" s="463">
        <v>1680</v>
      </c>
      <c r="N494" s="464">
        <v>1680</v>
      </c>
      <c r="O494" s="446"/>
      <c r="P494" s="331"/>
      <c r="Q494" s="332"/>
      <c r="R494" s="250">
        <v>1824</v>
      </c>
      <c r="S494" s="496"/>
      <c r="T494" s="330"/>
      <c r="U494" s="334"/>
      <c r="V494" s="469"/>
      <c r="W494" s="315"/>
    </row>
    <row r="495" spans="1:23" x14ac:dyDescent="0.2">
      <c r="A495" s="611"/>
      <c r="B495" s="415" t="s">
        <v>55</v>
      </c>
      <c r="C495" s="409">
        <v>1.49</v>
      </c>
      <c r="D495" s="249"/>
      <c r="E495" s="250">
        <v>1.57</v>
      </c>
      <c r="F495" s="250">
        <v>1.68</v>
      </c>
      <c r="G495" s="250">
        <v>1.89</v>
      </c>
      <c r="H495" s="249"/>
      <c r="I495" s="249"/>
      <c r="J495" s="330"/>
      <c r="K495" s="432"/>
      <c r="L495" s="250">
        <v>1.97</v>
      </c>
      <c r="M495" s="463">
        <v>1.68</v>
      </c>
      <c r="N495" s="464">
        <v>1.68</v>
      </c>
      <c r="O495" s="443"/>
      <c r="P495" s="334"/>
      <c r="Q495" s="335"/>
      <c r="R495" s="250">
        <v>1.83</v>
      </c>
      <c r="S495" s="469"/>
      <c r="T495" s="333"/>
      <c r="U495" s="334"/>
      <c r="V495" s="497"/>
      <c r="W495" s="315"/>
    </row>
    <row r="496" spans="1:23" x14ac:dyDescent="0.2">
      <c r="A496" s="611"/>
      <c r="B496" s="415" t="s">
        <v>56</v>
      </c>
      <c r="C496" s="410">
        <f>(C494-C493)/C494</f>
        <v>1.78225806451613E-2</v>
      </c>
      <c r="D496" s="336"/>
      <c r="E496" s="336">
        <f>(E494-E493)/E494</f>
        <v>6.3258954785672353E-2</v>
      </c>
      <c r="F496" s="336">
        <f>(F494-F493)/F494</f>
        <v>5.9978021978022024E-2</v>
      </c>
      <c r="G496" s="336">
        <f>(G494-G493)/G494</f>
        <v>0.14412542871141601</v>
      </c>
      <c r="H496" s="336"/>
      <c r="I496" s="336"/>
      <c r="J496" s="338"/>
      <c r="K496" s="433"/>
      <c r="L496" s="336">
        <f>(L494-L493)/L494</f>
        <v>0.13765947467166981</v>
      </c>
      <c r="M496" s="465">
        <f>(M494-M493)/M494</f>
        <v>6.6988095238095222E-2</v>
      </c>
      <c r="N496" s="466">
        <f>(N494-N493)/N494</f>
        <v>5.8214285714285691E-2</v>
      </c>
      <c r="O496" s="444"/>
      <c r="P496" s="340"/>
      <c r="Q496" s="341"/>
      <c r="R496" s="336">
        <f>(R494-R493)/R494</f>
        <v>9.8728070175438554E-2</v>
      </c>
      <c r="S496" s="470"/>
      <c r="T496" s="339"/>
      <c r="U496" s="340"/>
      <c r="V496" s="470"/>
      <c r="W496" s="315"/>
    </row>
    <row r="497" spans="1:23" x14ac:dyDescent="0.2">
      <c r="A497" s="611"/>
      <c r="B497" s="415" t="s">
        <v>57</v>
      </c>
      <c r="C497" s="410">
        <f>(C494-C493)/C493</f>
        <v>1.8145988997454648E-2</v>
      </c>
      <c r="D497" s="336"/>
      <c r="E497" s="336">
        <f>(E494-E493)/E493</f>
        <v>6.7530888188206392E-2</v>
      </c>
      <c r="F497" s="336">
        <f>(F494-F493)/F493</f>
        <v>6.3804914544901975E-2</v>
      </c>
      <c r="G497" s="336">
        <f>(G494-G493)/G493</f>
        <v>0.16839550273636972</v>
      </c>
      <c r="H497" s="336"/>
      <c r="I497" s="336"/>
      <c r="J497" s="338"/>
      <c r="K497" s="433"/>
      <c r="L497" s="336">
        <f>(L494-L493)/L493</f>
        <v>0.15963470418980588</v>
      </c>
      <c r="M497" s="465">
        <f>(M494-M493)/M493</f>
        <v>7.1797685427379299E-2</v>
      </c>
      <c r="N497" s="466">
        <f>(N494-N493)/N493</f>
        <v>6.1812665908229016E-2</v>
      </c>
      <c r="O497" s="444"/>
      <c r="P497" s="340"/>
      <c r="Q497" s="341"/>
      <c r="R497" s="336">
        <f>(R494-R493)/R493</f>
        <v>0.10954304345710249</v>
      </c>
      <c r="S497" s="470"/>
      <c r="T497" s="339"/>
      <c r="U497" s="340"/>
      <c r="V497" s="470"/>
      <c r="W497" s="315"/>
    </row>
    <row r="498" spans="1:23" ht="13.3" thickBot="1" x14ac:dyDescent="0.25">
      <c r="A498" s="611"/>
      <c r="B498" s="418" t="s">
        <v>58</v>
      </c>
      <c r="C498" s="411">
        <f>C495/C489-1</f>
        <v>6.7567567567567988E-3</v>
      </c>
      <c r="D498" s="353"/>
      <c r="E498" s="353">
        <f>E495/E489-1</f>
        <v>6.4102564102563875E-3</v>
      </c>
      <c r="F498" s="353">
        <f>F495/F489-1</f>
        <v>5.9880239520957446E-3</v>
      </c>
      <c r="G498" s="353">
        <f>G495/G489-1</f>
        <v>5.3191489361701372E-3</v>
      </c>
      <c r="H498" s="353"/>
      <c r="I498" s="353"/>
      <c r="J498" s="355"/>
      <c r="K498" s="434"/>
      <c r="L498" s="353">
        <f>L495/L489-1</f>
        <v>5.1020408163264808E-3</v>
      </c>
      <c r="M498" s="467">
        <f>M495/M489-1</f>
        <v>5.9880239520957446E-3</v>
      </c>
      <c r="N498" s="292">
        <f>N495/N489-1</f>
        <v>5.9880239520957446E-3</v>
      </c>
      <c r="O498" s="445"/>
      <c r="P498" s="357"/>
      <c r="Q498" s="358"/>
      <c r="R498" s="353">
        <f>R495/R489-1</f>
        <v>5.494505494505475E-3</v>
      </c>
      <c r="S498" s="471"/>
      <c r="T498" s="356"/>
      <c r="U498" s="357"/>
      <c r="V498" s="471"/>
      <c r="W498" s="359"/>
    </row>
    <row r="499" spans="1:23" x14ac:dyDescent="0.2">
      <c r="A499" s="611">
        <v>43618</v>
      </c>
      <c r="B499" s="419" t="s">
        <v>53</v>
      </c>
      <c r="C499" s="408">
        <v>1593.69</v>
      </c>
      <c r="D499" s="347"/>
      <c r="E499" s="346">
        <v>1605.23</v>
      </c>
      <c r="F499" s="346">
        <v>1720.84</v>
      </c>
      <c r="G499" s="346">
        <v>1755.92</v>
      </c>
      <c r="H499" s="347"/>
      <c r="I499" s="347"/>
      <c r="J499" s="290"/>
      <c r="K499" s="431"/>
      <c r="L499" s="346">
        <v>1847.69</v>
      </c>
      <c r="M499" s="256">
        <v>1576.61</v>
      </c>
      <c r="N499" s="462">
        <v>1591.43</v>
      </c>
      <c r="O499" s="442"/>
      <c r="P499" s="348"/>
      <c r="Q499" s="349"/>
      <c r="R499" s="346">
        <v>1652.73</v>
      </c>
      <c r="S499" s="346"/>
      <c r="T499" s="290"/>
      <c r="U499" s="348"/>
      <c r="V499" s="347"/>
      <c r="W499" s="346">
        <v>1269.06</v>
      </c>
    </row>
    <row r="500" spans="1:23" x14ac:dyDescent="0.2">
      <c r="A500" s="611"/>
      <c r="B500" s="415" t="s">
        <v>54</v>
      </c>
      <c r="C500" s="409">
        <v>1625</v>
      </c>
      <c r="D500" s="249"/>
      <c r="E500" s="250">
        <v>1716</v>
      </c>
      <c r="F500" s="250">
        <v>1833</v>
      </c>
      <c r="G500" s="250">
        <v>2054</v>
      </c>
      <c r="H500" s="249"/>
      <c r="I500" s="249"/>
      <c r="J500" s="330"/>
      <c r="K500" s="432"/>
      <c r="L500" s="250">
        <v>2145</v>
      </c>
      <c r="M500" s="463">
        <v>1692</v>
      </c>
      <c r="N500" s="464">
        <v>1692</v>
      </c>
      <c r="O500" s="446"/>
      <c r="P500" s="331"/>
      <c r="Q500" s="332"/>
      <c r="R500" s="250">
        <v>1836</v>
      </c>
      <c r="S500" s="496"/>
      <c r="T500" s="330"/>
      <c r="U500" s="334"/>
      <c r="V500" s="469"/>
      <c r="W500" s="315"/>
    </row>
    <row r="501" spans="1:23" x14ac:dyDescent="0.2">
      <c r="A501" s="611"/>
      <c r="B501" s="415" t="s">
        <v>55</v>
      </c>
      <c r="C501" s="409">
        <v>1.5</v>
      </c>
      <c r="D501" s="249"/>
      <c r="E501" s="250">
        <v>1.58</v>
      </c>
      <c r="F501" s="250">
        <v>1.69</v>
      </c>
      <c r="G501" s="250">
        <v>1.9</v>
      </c>
      <c r="H501" s="249"/>
      <c r="I501" s="249"/>
      <c r="J501" s="330"/>
      <c r="K501" s="432"/>
      <c r="L501" s="250">
        <v>1.98</v>
      </c>
      <c r="M501" s="463">
        <v>1.69</v>
      </c>
      <c r="N501" s="464">
        <v>1.69</v>
      </c>
      <c r="O501" s="443"/>
      <c r="P501" s="334"/>
      <c r="Q501" s="335"/>
      <c r="R501" s="250">
        <v>1.84</v>
      </c>
      <c r="S501" s="469"/>
      <c r="T501" s="333"/>
      <c r="U501" s="334"/>
      <c r="V501" s="497"/>
      <c r="W501" s="315"/>
    </row>
    <row r="502" spans="1:23" x14ac:dyDescent="0.2">
      <c r="A502" s="611"/>
      <c r="B502" s="415" t="s">
        <v>56</v>
      </c>
      <c r="C502" s="410">
        <f>(C500-C499)/C500</f>
        <v>1.9267692307692274E-2</v>
      </c>
      <c r="D502" s="336"/>
      <c r="E502" s="336">
        <f>(E500-E499)/E500</f>
        <v>6.4551282051282036E-2</v>
      </c>
      <c r="F502" s="336">
        <f>(F500-F499)/F500</f>
        <v>6.1189307146754003E-2</v>
      </c>
      <c r="G502" s="336">
        <f>(G500-G499)/G500</f>
        <v>0.14512171372930863</v>
      </c>
      <c r="H502" s="336"/>
      <c r="I502" s="336"/>
      <c r="J502" s="338"/>
      <c r="K502" s="433"/>
      <c r="L502" s="336">
        <f>(L500-L499)/L500</f>
        <v>0.13860606060606059</v>
      </c>
      <c r="M502" s="465">
        <f>(M500-M499)/M500</f>
        <v>6.8197399527186814E-2</v>
      </c>
      <c r="N502" s="466">
        <f>(N500-N499)/N500</f>
        <v>5.9438534278959773E-2</v>
      </c>
      <c r="O502" s="444"/>
      <c r="P502" s="340"/>
      <c r="Q502" s="341"/>
      <c r="R502" s="336">
        <f>(R500-R499)/R500</f>
        <v>9.9820261437908481E-2</v>
      </c>
      <c r="S502" s="470"/>
      <c r="T502" s="339"/>
      <c r="U502" s="340"/>
      <c r="V502" s="470"/>
      <c r="W502" s="315"/>
    </row>
    <row r="503" spans="1:23" x14ac:dyDescent="0.2">
      <c r="A503" s="611"/>
      <c r="B503" s="415" t="s">
        <v>57</v>
      </c>
      <c r="C503" s="410">
        <f>(C500-C499)/C499</f>
        <v>1.9646229818848046E-2</v>
      </c>
      <c r="D503" s="336"/>
      <c r="E503" s="336">
        <f>(E500-E499)/E499</f>
        <v>6.9005687658466375E-2</v>
      </c>
      <c r="F503" s="336">
        <f>(F500-F499)/F499</f>
        <v>6.5177471467422934E-2</v>
      </c>
      <c r="G503" s="336">
        <f>(G500-G499)/G499</f>
        <v>0.16975716433550497</v>
      </c>
      <c r="H503" s="336"/>
      <c r="I503" s="336"/>
      <c r="J503" s="338"/>
      <c r="K503" s="433"/>
      <c r="L503" s="336">
        <f>(L500-L499)/L499</f>
        <v>0.16090902694716103</v>
      </c>
      <c r="M503" s="465">
        <f>(M500-M499)/M499</f>
        <v>7.3188676971476838E-2</v>
      </c>
      <c r="N503" s="466">
        <f>(N500-N499)/N499</f>
        <v>6.3194736809033342E-2</v>
      </c>
      <c r="O503" s="444"/>
      <c r="P503" s="340"/>
      <c r="Q503" s="341"/>
      <c r="R503" s="336">
        <f>(R500-R499)/R499</f>
        <v>0.11088925595832348</v>
      </c>
      <c r="S503" s="470"/>
      <c r="T503" s="339"/>
      <c r="U503" s="340"/>
      <c r="V503" s="470"/>
      <c r="W503" s="315"/>
    </row>
    <row r="504" spans="1:23" ht="13.3" thickBot="1" x14ac:dyDescent="0.25">
      <c r="A504" s="611"/>
      <c r="B504" s="418" t="s">
        <v>58</v>
      </c>
      <c r="C504" s="411">
        <f>C501/C495-1</f>
        <v>6.7114093959732557E-3</v>
      </c>
      <c r="D504" s="353"/>
      <c r="E504" s="353">
        <f>E501/E495-1</f>
        <v>6.3694267515923553E-3</v>
      </c>
      <c r="F504" s="353">
        <f>F501/F495-1</f>
        <v>5.9523809523809312E-3</v>
      </c>
      <c r="G504" s="353">
        <f>G501/G495-1</f>
        <v>5.2910052910053462E-3</v>
      </c>
      <c r="H504" s="353"/>
      <c r="I504" s="353"/>
      <c r="J504" s="355"/>
      <c r="K504" s="434"/>
      <c r="L504" s="353">
        <f>L501/L495-1</f>
        <v>5.0761421319795996E-3</v>
      </c>
      <c r="M504" s="467">
        <f>M501/M495-1</f>
        <v>5.9523809523809312E-3</v>
      </c>
      <c r="N504" s="292">
        <f>N501/N495-1</f>
        <v>5.9523809523809312E-3</v>
      </c>
      <c r="O504" s="445"/>
      <c r="P504" s="357"/>
      <c r="Q504" s="358"/>
      <c r="R504" s="353">
        <f>R501/R495-1</f>
        <v>5.464480874316946E-3</v>
      </c>
      <c r="S504" s="471"/>
      <c r="T504" s="356"/>
      <c r="U504" s="357"/>
      <c r="V504" s="471"/>
      <c r="W504" s="359"/>
    </row>
    <row r="505" spans="1:23" x14ac:dyDescent="0.2">
      <c r="A505" s="611">
        <v>43625</v>
      </c>
      <c r="B505" s="419" t="s">
        <v>53</v>
      </c>
      <c r="C505" s="408">
        <v>1593.69</v>
      </c>
      <c r="D505" s="347"/>
      <c r="E505" s="346">
        <v>1605.23</v>
      </c>
      <c r="F505" s="346">
        <v>1710.84</v>
      </c>
      <c r="G505" s="346">
        <v>1755.92</v>
      </c>
      <c r="H505" s="347"/>
      <c r="I505" s="347"/>
      <c r="J505" s="290"/>
      <c r="K505" s="431"/>
      <c r="L505" s="346">
        <v>1847.69</v>
      </c>
      <c r="M505" s="256">
        <v>1567.46</v>
      </c>
      <c r="N505" s="462">
        <v>1582.2</v>
      </c>
      <c r="O505" s="442"/>
      <c r="P505" s="348"/>
      <c r="Q505" s="349"/>
      <c r="R505" s="346">
        <v>1652.73</v>
      </c>
      <c r="S505" s="346"/>
      <c r="T505" s="290"/>
      <c r="U505" s="348"/>
      <c r="V505" s="347"/>
      <c r="W505" s="346">
        <v>1269.06</v>
      </c>
    </row>
    <row r="506" spans="1:23" x14ac:dyDescent="0.2">
      <c r="A506" s="611"/>
      <c r="B506" s="415" t="s">
        <v>54</v>
      </c>
      <c r="C506" s="409">
        <v>1625</v>
      </c>
      <c r="D506" s="249"/>
      <c r="E506" s="250">
        <v>1716</v>
      </c>
      <c r="F506" s="250">
        <v>1820</v>
      </c>
      <c r="G506" s="250">
        <v>2054</v>
      </c>
      <c r="H506" s="249"/>
      <c r="I506" s="249"/>
      <c r="J506" s="330"/>
      <c r="K506" s="432"/>
      <c r="L506" s="250">
        <v>2145</v>
      </c>
      <c r="M506" s="463">
        <v>1680</v>
      </c>
      <c r="N506" s="464">
        <v>1680</v>
      </c>
      <c r="O506" s="446"/>
      <c r="P506" s="331"/>
      <c r="Q506" s="332"/>
      <c r="R506" s="250">
        <v>1836</v>
      </c>
      <c r="S506" s="496"/>
      <c r="T506" s="330"/>
      <c r="U506" s="334"/>
      <c r="V506" s="469"/>
      <c r="W506" s="315"/>
    </row>
    <row r="507" spans="1:23" x14ac:dyDescent="0.2">
      <c r="A507" s="611"/>
      <c r="B507" s="415" t="s">
        <v>55</v>
      </c>
      <c r="C507" s="409">
        <v>1.5</v>
      </c>
      <c r="D507" s="249"/>
      <c r="E507" s="250">
        <v>1.58</v>
      </c>
      <c r="F507" s="250">
        <v>1.68</v>
      </c>
      <c r="G507" s="250">
        <v>1.9</v>
      </c>
      <c r="H507" s="249"/>
      <c r="I507" s="249"/>
      <c r="J507" s="330"/>
      <c r="K507" s="432"/>
      <c r="L507" s="250">
        <v>1.98</v>
      </c>
      <c r="M507" s="463">
        <v>1.68</v>
      </c>
      <c r="N507" s="464">
        <v>1.68</v>
      </c>
      <c r="O507" s="443"/>
      <c r="P507" s="334"/>
      <c r="Q507" s="335"/>
      <c r="R507" s="250">
        <v>1.84</v>
      </c>
      <c r="S507" s="469"/>
      <c r="T507" s="333"/>
      <c r="U507" s="334"/>
      <c r="V507" s="497"/>
      <c r="W507" s="315"/>
    </row>
    <row r="508" spans="1:23" x14ac:dyDescent="0.2">
      <c r="A508" s="611"/>
      <c r="B508" s="415" t="s">
        <v>56</v>
      </c>
      <c r="C508" s="410">
        <f>(C506-C505)/C506</f>
        <v>1.9267692307692274E-2</v>
      </c>
      <c r="D508" s="336"/>
      <c r="E508" s="336">
        <f>(E506-E505)/E506</f>
        <v>6.4551282051282036E-2</v>
      </c>
      <c r="F508" s="336">
        <f>(F506-F505)/F506</f>
        <v>5.9978021978022024E-2</v>
      </c>
      <c r="G508" s="336">
        <f>(G506-G505)/G506</f>
        <v>0.14512171372930863</v>
      </c>
      <c r="H508" s="336"/>
      <c r="I508" s="336"/>
      <c r="J508" s="338"/>
      <c r="K508" s="433"/>
      <c r="L508" s="336">
        <f>(L506-L505)/L506</f>
        <v>0.13860606060606059</v>
      </c>
      <c r="M508" s="465">
        <f>(M506-M505)/M506</f>
        <v>6.6988095238095222E-2</v>
      </c>
      <c r="N508" s="466">
        <f>(N506-N505)/N506</f>
        <v>5.8214285714285691E-2</v>
      </c>
      <c r="O508" s="444"/>
      <c r="P508" s="340"/>
      <c r="Q508" s="341"/>
      <c r="R508" s="336">
        <f>(R506-R505)/R506</f>
        <v>9.9820261437908481E-2</v>
      </c>
      <c r="S508" s="470"/>
      <c r="T508" s="339"/>
      <c r="U508" s="340"/>
      <c r="V508" s="470"/>
      <c r="W508" s="315"/>
    </row>
    <row r="509" spans="1:23" x14ac:dyDescent="0.2">
      <c r="A509" s="611"/>
      <c r="B509" s="415" t="s">
        <v>57</v>
      </c>
      <c r="C509" s="410">
        <f>(C506-C505)/C505</f>
        <v>1.9646229818848046E-2</v>
      </c>
      <c r="D509" s="336"/>
      <c r="E509" s="336">
        <f>(E506-E505)/E505</f>
        <v>6.9005687658466375E-2</v>
      </c>
      <c r="F509" s="336">
        <f>(F506-F505)/F505</f>
        <v>6.3804914544901975E-2</v>
      </c>
      <c r="G509" s="336">
        <f>(G506-G505)/G505</f>
        <v>0.16975716433550497</v>
      </c>
      <c r="H509" s="336"/>
      <c r="I509" s="336"/>
      <c r="J509" s="338"/>
      <c r="K509" s="433"/>
      <c r="L509" s="336">
        <f>(L506-L505)/L505</f>
        <v>0.16090902694716103</v>
      </c>
      <c r="M509" s="465">
        <f>(M506-M505)/M505</f>
        <v>7.1797685427379299E-2</v>
      </c>
      <c r="N509" s="466">
        <f>(N506-N505)/N505</f>
        <v>6.1812665908229016E-2</v>
      </c>
      <c r="O509" s="444"/>
      <c r="P509" s="340"/>
      <c r="Q509" s="341"/>
      <c r="R509" s="336">
        <f>(R506-R505)/R505</f>
        <v>0.11088925595832348</v>
      </c>
      <c r="S509" s="470"/>
      <c r="T509" s="339"/>
      <c r="U509" s="340"/>
      <c r="V509" s="470"/>
      <c r="W509" s="315"/>
    </row>
    <row r="510" spans="1:23" ht="13.3" thickBot="1" x14ac:dyDescent="0.25">
      <c r="A510" s="611"/>
      <c r="B510" s="418" t="s">
        <v>58</v>
      </c>
      <c r="C510" s="411">
        <f>C507/C501-1</f>
        <v>0</v>
      </c>
      <c r="D510" s="353"/>
      <c r="E510" s="353">
        <f>E507/E501-1</f>
        <v>0</v>
      </c>
      <c r="F510" s="353">
        <f>F507/F501-1</f>
        <v>-5.9171597633136397E-3</v>
      </c>
      <c r="G510" s="353">
        <f>G507/G501-1</f>
        <v>0</v>
      </c>
      <c r="H510" s="353"/>
      <c r="I510" s="353"/>
      <c r="J510" s="355"/>
      <c r="K510" s="434"/>
      <c r="L510" s="353">
        <f>L507/L501-1</f>
        <v>0</v>
      </c>
      <c r="M510" s="467">
        <f>M507/M501-1</f>
        <v>-5.9171597633136397E-3</v>
      </c>
      <c r="N510" s="292">
        <f>N507/N501-1</f>
        <v>-5.9171597633136397E-3</v>
      </c>
      <c r="O510" s="445"/>
      <c r="P510" s="357"/>
      <c r="Q510" s="358"/>
      <c r="R510" s="353">
        <f>R507/R501-1</f>
        <v>0</v>
      </c>
      <c r="S510" s="471"/>
      <c r="T510" s="356"/>
      <c r="U510" s="357"/>
      <c r="V510" s="471"/>
      <c r="W510" s="359"/>
    </row>
    <row r="511" spans="1:23" x14ac:dyDescent="0.2">
      <c r="A511" s="611">
        <v>43632</v>
      </c>
      <c r="B511" s="419" t="s">
        <v>53</v>
      </c>
      <c r="C511" s="408">
        <v>1583.27</v>
      </c>
      <c r="D511" s="347"/>
      <c r="E511" s="346">
        <v>1595.27</v>
      </c>
      <c r="F511" s="346">
        <v>1700.84</v>
      </c>
      <c r="G511" s="346">
        <v>1746.84</v>
      </c>
      <c r="H511" s="347"/>
      <c r="I511" s="347"/>
      <c r="J511" s="290"/>
      <c r="K511" s="431"/>
      <c r="L511" s="346">
        <v>1838.51</v>
      </c>
      <c r="M511" s="256">
        <v>1558.31</v>
      </c>
      <c r="N511" s="462">
        <v>1572.97</v>
      </c>
      <c r="O511" s="442"/>
      <c r="P511" s="348"/>
      <c r="Q511" s="349"/>
      <c r="R511" s="346">
        <v>1643.92</v>
      </c>
      <c r="S511" s="346"/>
      <c r="T511" s="290"/>
      <c r="U511" s="348"/>
      <c r="V511" s="347"/>
      <c r="W511" s="346">
        <v>1269.06</v>
      </c>
    </row>
    <row r="512" spans="1:23" x14ac:dyDescent="0.2">
      <c r="A512" s="611"/>
      <c r="B512" s="415" t="s">
        <v>54</v>
      </c>
      <c r="C512" s="409">
        <v>1612</v>
      </c>
      <c r="D512" s="249"/>
      <c r="E512" s="250">
        <v>1703</v>
      </c>
      <c r="F512" s="250">
        <v>1807</v>
      </c>
      <c r="G512" s="250">
        <v>2041</v>
      </c>
      <c r="H512" s="249"/>
      <c r="I512" s="249"/>
      <c r="J512" s="330"/>
      <c r="K512" s="432"/>
      <c r="L512" s="250">
        <v>2132</v>
      </c>
      <c r="M512" s="463">
        <v>1668</v>
      </c>
      <c r="N512" s="464">
        <v>1668</v>
      </c>
      <c r="O512" s="446"/>
      <c r="P512" s="331"/>
      <c r="Q512" s="332"/>
      <c r="R512" s="250">
        <v>1824</v>
      </c>
      <c r="S512" s="496"/>
      <c r="T512" s="330"/>
      <c r="U512" s="334"/>
      <c r="V512" s="469"/>
      <c r="W512" s="315"/>
    </row>
    <row r="513" spans="1:23" x14ac:dyDescent="0.2">
      <c r="A513" s="611"/>
      <c r="B513" s="415" t="s">
        <v>55</v>
      </c>
      <c r="C513" s="409">
        <v>1.49</v>
      </c>
      <c r="D513" s="249"/>
      <c r="E513" s="250">
        <v>1.57</v>
      </c>
      <c r="F513" s="250">
        <v>1.67</v>
      </c>
      <c r="G513" s="250">
        <v>1.89</v>
      </c>
      <c r="H513" s="249"/>
      <c r="I513" s="249"/>
      <c r="J513" s="330"/>
      <c r="K513" s="432"/>
      <c r="L513" s="250">
        <v>1.97</v>
      </c>
      <c r="M513" s="463">
        <v>1.67</v>
      </c>
      <c r="N513" s="464">
        <v>1.67</v>
      </c>
      <c r="O513" s="443"/>
      <c r="P513" s="334"/>
      <c r="Q513" s="335"/>
      <c r="R513" s="250">
        <v>1.83</v>
      </c>
      <c r="S513" s="469"/>
      <c r="T513" s="333"/>
      <c r="U513" s="334"/>
      <c r="V513" s="497"/>
      <c r="W513" s="315"/>
    </row>
    <row r="514" spans="1:23" x14ac:dyDescent="0.2">
      <c r="A514" s="611"/>
      <c r="B514" s="415" t="s">
        <v>56</v>
      </c>
      <c r="C514" s="410">
        <f>(C512-C511)/C512</f>
        <v>1.78225806451613E-2</v>
      </c>
      <c r="D514" s="336"/>
      <c r="E514" s="336">
        <f>(E512-E511)/E512</f>
        <v>6.3258954785672353E-2</v>
      </c>
      <c r="F514" s="336">
        <f>(F512-F511)/F512</f>
        <v>5.8749308245711167E-2</v>
      </c>
      <c r="G514" s="336">
        <f>(G512-G511)/G512</f>
        <v>0.14412542871141601</v>
      </c>
      <c r="H514" s="336"/>
      <c r="I514" s="336"/>
      <c r="J514" s="338"/>
      <c r="K514" s="433"/>
      <c r="L514" s="336">
        <f>(L512-L511)/L512</f>
        <v>0.13765947467166981</v>
      </c>
      <c r="M514" s="465">
        <f>(M512-M511)/M512</f>
        <v>6.5761390887290203E-2</v>
      </c>
      <c r="N514" s="466">
        <f>(N512-N511)/N512</f>
        <v>5.6972422062350106E-2</v>
      </c>
      <c r="O514" s="444"/>
      <c r="P514" s="340"/>
      <c r="Q514" s="341"/>
      <c r="R514" s="336">
        <f>(R512-R511)/R512</f>
        <v>9.8728070175438554E-2</v>
      </c>
      <c r="S514" s="470"/>
      <c r="T514" s="339"/>
      <c r="U514" s="340"/>
      <c r="V514" s="470"/>
      <c r="W514" s="315"/>
    </row>
    <row r="515" spans="1:23" x14ac:dyDescent="0.2">
      <c r="A515" s="611"/>
      <c r="B515" s="415" t="s">
        <v>57</v>
      </c>
      <c r="C515" s="410">
        <f>(C512-C511)/C511</f>
        <v>1.8145988997454648E-2</v>
      </c>
      <c r="D515" s="336"/>
      <c r="E515" s="336">
        <f>(E512-E511)/E511</f>
        <v>6.7530888188206392E-2</v>
      </c>
      <c r="F515" s="336">
        <f>(F512-F511)/F511</f>
        <v>6.2416217868817812E-2</v>
      </c>
      <c r="G515" s="336">
        <f>(G512-G511)/G511</f>
        <v>0.16839550273636972</v>
      </c>
      <c r="H515" s="336"/>
      <c r="I515" s="336"/>
      <c r="J515" s="338"/>
      <c r="K515" s="433"/>
      <c r="L515" s="336">
        <f>(L512-L511)/L511</f>
        <v>0.15963470418980588</v>
      </c>
      <c r="M515" s="465">
        <f>(M512-M511)/M511</f>
        <v>7.0390358786120905E-2</v>
      </c>
      <c r="N515" s="466">
        <f>(N512-N511)/N511</f>
        <v>6.0414375353630374E-2</v>
      </c>
      <c r="O515" s="444"/>
      <c r="P515" s="340"/>
      <c r="Q515" s="341"/>
      <c r="R515" s="336">
        <f>(R512-R511)/R511</f>
        <v>0.10954304345710249</v>
      </c>
      <c r="S515" s="470"/>
      <c r="T515" s="339"/>
      <c r="U515" s="340"/>
      <c r="V515" s="470"/>
      <c r="W515" s="315"/>
    </row>
    <row r="516" spans="1:23" ht="13.3" thickBot="1" x14ac:dyDescent="0.25">
      <c r="A516" s="611"/>
      <c r="B516" s="418" t="s">
        <v>58</v>
      </c>
      <c r="C516" s="411">
        <f>C513/C507-1</f>
        <v>-6.6666666666667096E-3</v>
      </c>
      <c r="D516" s="353"/>
      <c r="E516" s="353">
        <f>E513/E507-1</f>
        <v>-6.3291139240506666E-3</v>
      </c>
      <c r="F516" s="353">
        <f>F513/F507-1</f>
        <v>-5.9523809523809312E-3</v>
      </c>
      <c r="G516" s="353">
        <f>G513/G507-1</f>
        <v>-5.2631578947368585E-3</v>
      </c>
      <c r="H516" s="353"/>
      <c r="I516" s="353"/>
      <c r="J516" s="355"/>
      <c r="K516" s="434"/>
      <c r="L516" s="353">
        <f>L513/L507-1</f>
        <v>-5.050505050505083E-3</v>
      </c>
      <c r="M516" s="467">
        <f>M513/M507-1</f>
        <v>-5.9523809523809312E-3</v>
      </c>
      <c r="N516" s="292">
        <f>N513/N507-1</f>
        <v>-5.9523809523809312E-3</v>
      </c>
      <c r="O516" s="445"/>
      <c r="P516" s="357"/>
      <c r="Q516" s="358"/>
      <c r="R516" s="353">
        <f>R513/R507-1</f>
        <v>-5.4347826086956763E-3</v>
      </c>
      <c r="S516" s="471"/>
      <c r="T516" s="356"/>
      <c r="U516" s="357"/>
      <c r="V516" s="471"/>
      <c r="W516" s="359"/>
    </row>
    <row r="517" spans="1:23" x14ac:dyDescent="0.2">
      <c r="A517" s="611">
        <v>43667</v>
      </c>
      <c r="B517" s="419" t="s">
        <v>53</v>
      </c>
      <c r="C517" s="408">
        <v>1572.85</v>
      </c>
      <c r="D517" s="347"/>
      <c r="E517" s="346">
        <v>1585.31</v>
      </c>
      <c r="F517" s="346">
        <v>1690.84</v>
      </c>
      <c r="G517" s="346">
        <v>1737.76</v>
      </c>
      <c r="H517" s="347"/>
      <c r="I517" s="347"/>
      <c r="J517" s="290"/>
      <c r="K517" s="431"/>
      <c r="L517" s="346">
        <v>1829.33</v>
      </c>
      <c r="M517" s="256">
        <v>1549.16</v>
      </c>
      <c r="N517" s="462">
        <v>1563.74</v>
      </c>
      <c r="O517" s="442"/>
      <c r="P517" s="348"/>
      <c r="Q517" s="349"/>
      <c r="R517" s="346">
        <v>1635.11</v>
      </c>
      <c r="S517" s="346"/>
      <c r="T517" s="290"/>
      <c r="U517" s="348"/>
      <c r="V517" s="347"/>
      <c r="W517" s="346">
        <v>1269.06</v>
      </c>
    </row>
    <row r="518" spans="1:23" x14ac:dyDescent="0.2">
      <c r="A518" s="611"/>
      <c r="B518" s="415" t="s">
        <v>54</v>
      </c>
      <c r="C518" s="409">
        <v>1599</v>
      </c>
      <c r="D518" s="249"/>
      <c r="E518" s="250">
        <v>1690</v>
      </c>
      <c r="F518" s="250">
        <v>1794</v>
      </c>
      <c r="G518" s="250">
        <v>2041</v>
      </c>
      <c r="H518" s="249"/>
      <c r="I518" s="249"/>
      <c r="J518" s="330"/>
      <c r="K518" s="432"/>
      <c r="L518" s="250">
        <v>2119</v>
      </c>
      <c r="M518" s="463">
        <v>1656</v>
      </c>
      <c r="N518" s="464">
        <v>1656</v>
      </c>
      <c r="O518" s="446"/>
      <c r="P518" s="331"/>
      <c r="Q518" s="332"/>
      <c r="R518" s="250">
        <v>1824</v>
      </c>
      <c r="S518" s="496"/>
      <c r="T518" s="330"/>
      <c r="U518" s="334"/>
      <c r="V518" s="469"/>
      <c r="W518" s="315"/>
    </row>
    <row r="519" spans="1:23" x14ac:dyDescent="0.2">
      <c r="A519" s="611"/>
      <c r="B519" s="415" t="s">
        <v>55</v>
      </c>
      <c r="C519" s="409">
        <v>1.48</v>
      </c>
      <c r="D519" s="249"/>
      <c r="E519" s="250">
        <v>1.56</v>
      </c>
      <c r="F519" s="250">
        <v>1.66</v>
      </c>
      <c r="G519" s="250">
        <v>1.88</v>
      </c>
      <c r="H519" s="249"/>
      <c r="I519" s="249"/>
      <c r="J519" s="330"/>
      <c r="K519" s="432"/>
      <c r="L519" s="250">
        <v>1.96</v>
      </c>
      <c r="M519" s="463">
        <v>1.66</v>
      </c>
      <c r="N519" s="464">
        <v>1.66</v>
      </c>
      <c r="O519" s="443"/>
      <c r="P519" s="334"/>
      <c r="Q519" s="335"/>
      <c r="R519" s="250">
        <v>1.82</v>
      </c>
      <c r="S519" s="469"/>
      <c r="T519" s="333"/>
      <c r="U519" s="334"/>
      <c r="V519" s="497"/>
      <c r="W519" s="315"/>
    </row>
    <row r="520" spans="1:23" x14ac:dyDescent="0.2">
      <c r="A520" s="611"/>
      <c r="B520" s="415" t="s">
        <v>56</v>
      </c>
      <c r="C520" s="410">
        <f>(C518-C517)/C518</f>
        <v>1.6353971232020068E-2</v>
      </c>
      <c r="D520" s="336"/>
      <c r="E520" s="336">
        <f>(E518-E517)/E518</f>
        <v>6.1946745562130208E-2</v>
      </c>
      <c r="F520" s="336">
        <f>(F518-F517)/F518</f>
        <v>5.7502787068004504E-2</v>
      </c>
      <c r="G520" s="336">
        <f>(G518-G517)/G518</f>
        <v>0.14857422831945125</v>
      </c>
      <c r="H520" s="336"/>
      <c r="I520" s="336"/>
      <c r="J520" s="338"/>
      <c r="K520" s="433"/>
      <c r="L520" s="336">
        <f>(L518-L517)/L518</f>
        <v>0.13670127418593681</v>
      </c>
      <c r="M520" s="465">
        <f>(M518-M517)/M518</f>
        <v>6.4516908212560342E-2</v>
      </c>
      <c r="N520" s="466">
        <f>(N518-N517)/N518</f>
        <v>5.5712560386473424E-2</v>
      </c>
      <c r="O520" s="444"/>
      <c r="P520" s="340"/>
      <c r="Q520" s="341"/>
      <c r="R520" s="336">
        <f>(R518-R517)/R518</f>
        <v>0.10355811403508777</v>
      </c>
      <c r="S520" s="470"/>
      <c r="T520" s="339"/>
      <c r="U520" s="340"/>
      <c r="V520" s="470"/>
      <c r="W520" s="315"/>
    </row>
    <row r="521" spans="1:23" x14ac:dyDescent="0.2">
      <c r="A521" s="611"/>
      <c r="B521" s="415" t="s">
        <v>57</v>
      </c>
      <c r="C521" s="410">
        <f>(C518-C517)/C517</f>
        <v>1.6625870235559712E-2</v>
      </c>
      <c r="D521" s="336"/>
      <c r="E521" s="336">
        <f>(E518-E517)/E517</f>
        <v>6.6037557323173429E-2</v>
      </c>
      <c r="F521" s="336">
        <f>(F518-F517)/F517</f>
        <v>6.1011095077003197E-2</v>
      </c>
      <c r="G521" s="336">
        <f>(G518-G517)/G517</f>
        <v>0.17450050639904247</v>
      </c>
      <c r="H521" s="336"/>
      <c r="I521" s="336"/>
      <c r="J521" s="338"/>
      <c r="K521" s="433"/>
      <c r="L521" s="336">
        <f>(L518-L517)/L517</f>
        <v>0.15834759174123864</v>
      </c>
      <c r="M521" s="465">
        <f>(M518-M517)/M517</f>
        <v>6.896640760153884E-2</v>
      </c>
      <c r="N521" s="466">
        <f>(N518-N517)/N517</f>
        <v>5.8999577934950816E-2</v>
      </c>
      <c r="O521" s="444"/>
      <c r="P521" s="340"/>
      <c r="Q521" s="341"/>
      <c r="R521" s="336">
        <f>(R518-R517)/R517</f>
        <v>0.11552127991388965</v>
      </c>
      <c r="S521" s="470"/>
      <c r="T521" s="339"/>
      <c r="U521" s="340"/>
      <c r="V521" s="470"/>
      <c r="W521" s="315"/>
    </row>
    <row r="522" spans="1:23" ht="13.3" thickBot="1" x14ac:dyDescent="0.25">
      <c r="A522" s="611"/>
      <c r="B522" s="418" t="s">
        <v>58</v>
      </c>
      <c r="C522" s="411">
        <f>C519/C513-1</f>
        <v>-6.7114093959731447E-3</v>
      </c>
      <c r="D522" s="353"/>
      <c r="E522" s="353">
        <f>E519/E513-1</f>
        <v>-6.3694267515923553E-3</v>
      </c>
      <c r="F522" s="353">
        <f>F519/F513-1</f>
        <v>-5.9880239520958556E-3</v>
      </c>
      <c r="G522" s="353">
        <f>G519/G513-1</f>
        <v>-5.2910052910053462E-3</v>
      </c>
      <c r="H522" s="353"/>
      <c r="I522" s="353"/>
      <c r="J522" s="355"/>
      <c r="K522" s="434"/>
      <c r="L522" s="353">
        <f>L519/L513-1</f>
        <v>-5.0761421319797106E-3</v>
      </c>
      <c r="M522" s="467">
        <f>M519/M513-1</f>
        <v>-5.9880239520958556E-3</v>
      </c>
      <c r="N522" s="292">
        <f>N519/N513-1</f>
        <v>-5.9880239520958556E-3</v>
      </c>
      <c r="O522" s="445"/>
      <c r="P522" s="357"/>
      <c r="Q522" s="358"/>
      <c r="R522" s="353">
        <f>R519/R513-1</f>
        <v>-5.464480874316946E-3</v>
      </c>
      <c r="S522" s="471"/>
      <c r="T522" s="356"/>
      <c r="U522" s="357"/>
      <c r="V522" s="471"/>
      <c r="W522" s="359"/>
    </row>
    <row r="523" spans="1:23" x14ac:dyDescent="0.2">
      <c r="A523" s="611">
        <v>43688</v>
      </c>
      <c r="B523" s="419" t="s">
        <v>53</v>
      </c>
      <c r="C523" s="408">
        <v>1562.43</v>
      </c>
      <c r="D523" s="347"/>
      <c r="E523" s="346">
        <v>1575.35</v>
      </c>
      <c r="F523" s="346">
        <v>1680.84</v>
      </c>
      <c r="G523" s="346">
        <v>1728.68</v>
      </c>
      <c r="H523" s="347"/>
      <c r="I523" s="347"/>
      <c r="J523" s="290"/>
      <c r="K523" s="431"/>
      <c r="L523" s="346">
        <v>1820.15</v>
      </c>
      <c r="M523" s="256">
        <v>1540.01</v>
      </c>
      <c r="N523" s="462">
        <v>1554.51</v>
      </c>
      <c r="O523" s="442"/>
      <c r="P523" s="348"/>
      <c r="Q523" s="349"/>
      <c r="R523" s="346">
        <v>1626.3</v>
      </c>
      <c r="S523" s="346"/>
      <c r="T523" s="290"/>
      <c r="U523" s="348"/>
      <c r="V523" s="347"/>
      <c r="W523" s="346">
        <v>1269.06</v>
      </c>
    </row>
    <row r="524" spans="1:23" x14ac:dyDescent="0.2">
      <c r="A524" s="611"/>
      <c r="B524" s="415" t="s">
        <v>54</v>
      </c>
      <c r="C524" s="409">
        <v>1586</v>
      </c>
      <c r="D524" s="249"/>
      <c r="E524" s="250">
        <v>1677</v>
      </c>
      <c r="F524" s="250">
        <v>1781</v>
      </c>
      <c r="G524" s="250">
        <v>2028</v>
      </c>
      <c r="H524" s="249"/>
      <c r="I524" s="249"/>
      <c r="J524" s="330"/>
      <c r="K524" s="432"/>
      <c r="L524" s="250">
        <v>2106</v>
      </c>
      <c r="M524" s="463">
        <v>1644</v>
      </c>
      <c r="N524" s="464">
        <v>1644</v>
      </c>
      <c r="O524" s="446"/>
      <c r="P524" s="331"/>
      <c r="Q524" s="332"/>
      <c r="R524" s="250">
        <v>1812</v>
      </c>
      <c r="S524" s="496"/>
      <c r="T524" s="330"/>
      <c r="U524" s="334"/>
      <c r="V524" s="469"/>
      <c r="W524" s="315"/>
    </row>
    <row r="525" spans="1:23" x14ac:dyDescent="0.2">
      <c r="A525" s="611"/>
      <c r="B525" s="415" t="s">
        <v>55</v>
      </c>
      <c r="C525" s="409">
        <v>1.47</v>
      </c>
      <c r="D525" s="249"/>
      <c r="E525" s="250">
        <v>1.55</v>
      </c>
      <c r="F525" s="250">
        <v>1.65</v>
      </c>
      <c r="G525" s="250">
        <v>1.87</v>
      </c>
      <c r="H525" s="249"/>
      <c r="I525" s="249"/>
      <c r="J525" s="330"/>
      <c r="K525" s="432"/>
      <c r="L525" s="250">
        <v>1.95</v>
      </c>
      <c r="M525" s="463">
        <v>1.65</v>
      </c>
      <c r="N525" s="464">
        <v>1.65</v>
      </c>
      <c r="O525" s="443"/>
      <c r="P525" s="334"/>
      <c r="Q525" s="335"/>
      <c r="R525" s="250">
        <v>1.81</v>
      </c>
      <c r="S525" s="469"/>
      <c r="T525" s="333"/>
      <c r="U525" s="334"/>
      <c r="V525" s="497"/>
      <c r="W525" s="315"/>
    </row>
    <row r="526" spans="1:23" x14ac:dyDescent="0.2">
      <c r="A526" s="611"/>
      <c r="B526" s="415" t="s">
        <v>56</v>
      </c>
      <c r="C526" s="410">
        <f>(C524-C523)/C524</f>
        <v>1.4861286254728838E-2</v>
      </c>
      <c r="D526" s="336"/>
      <c r="E526" s="336">
        <f>(E524-E523)/E524</f>
        <v>6.06141920095409E-2</v>
      </c>
      <c r="F526" s="336">
        <f>(F524-F523)/F524</f>
        <v>5.6238068500842273E-2</v>
      </c>
      <c r="G526" s="336">
        <f>(G524-G523)/G524</f>
        <v>0.14759368836291911</v>
      </c>
      <c r="H526" s="336"/>
      <c r="I526" s="336"/>
      <c r="J526" s="338"/>
      <c r="K526" s="433"/>
      <c r="L526" s="336">
        <f>(L524-L523)/L524</f>
        <v>0.13573124406457734</v>
      </c>
      <c r="M526" s="465">
        <f>(M524-M523)/M524</f>
        <v>6.3254257907542591E-2</v>
      </c>
      <c r="N526" s="466">
        <f>(N524-N523)/N524</f>
        <v>5.4434306569343074E-2</v>
      </c>
      <c r="O526" s="444"/>
      <c r="P526" s="340"/>
      <c r="Q526" s="341"/>
      <c r="R526" s="336">
        <f>(R524-R523)/R524</f>
        <v>0.10248344370860929</v>
      </c>
      <c r="S526" s="470"/>
      <c r="T526" s="339"/>
      <c r="U526" s="340"/>
      <c r="V526" s="470"/>
      <c r="W526" s="315"/>
    </row>
    <row r="527" spans="1:23" x14ac:dyDescent="0.2">
      <c r="A527" s="611"/>
      <c r="B527" s="415" t="s">
        <v>57</v>
      </c>
      <c r="C527" s="410">
        <f>(C524-C523)/C523</f>
        <v>1.5085475829317112E-2</v>
      </c>
      <c r="D527" s="336"/>
      <c r="E527" s="336">
        <f>(E524-E523)/E523</f>
        <v>6.4525343574443839E-2</v>
      </c>
      <c r="F527" s="336">
        <f>(F524-F523)/F523</f>
        <v>5.9589252992551398E-2</v>
      </c>
      <c r="G527" s="336">
        <f>(G524-G523)/G523</f>
        <v>0.17314945507554894</v>
      </c>
      <c r="H527" s="336"/>
      <c r="I527" s="336"/>
      <c r="J527" s="338"/>
      <c r="K527" s="433"/>
      <c r="L527" s="336">
        <f>(L524-L523)/L523</f>
        <v>0.1570474960854874</v>
      </c>
      <c r="M527" s="465">
        <f>(M524-M523)/M523</f>
        <v>6.7525535548470475E-2</v>
      </c>
      <c r="N527" s="466">
        <f>(N524-N523)/N523</f>
        <v>5.7567979620587843E-2</v>
      </c>
      <c r="O527" s="444"/>
      <c r="P527" s="340"/>
      <c r="Q527" s="341"/>
      <c r="R527" s="336">
        <f>(R524-R523)/R523</f>
        <v>0.11418557461722932</v>
      </c>
      <c r="S527" s="470"/>
      <c r="T527" s="339"/>
      <c r="U527" s="340"/>
      <c r="V527" s="470"/>
      <c r="W527" s="315"/>
    </row>
    <row r="528" spans="1:23" ht="13.3" thickBot="1" x14ac:dyDescent="0.25">
      <c r="A528" s="611"/>
      <c r="B528" s="418" t="s">
        <v>58</v>
      </c>
      <c r="C528" s="411">
        <f>C525/C519-1</f>
        <v>-6.7567567567567988E-3</v>
      </c>
      <c r="D528" s="353"/>
      <c r="E528" s="353">
        <f>E525/E519-1</f>
        <v>-6.4102564102563875E-3</v>
      </c>
      <c r="F528" s="353">
        <f>F525/F519-1</f>
        <v>-6.0240963855421326E-3</v>
      </c>
      <c r="G528" s="353">
        <f>G525/G519-1</f>
        <v>-5.3191489361701372E-3</v>
      </c>
      <c r="H528" s="353"/>
      <c r="I528" s="353"/>
      <c r="J528" s="355"/>
      <c r="K528" s="434"/>
      <c r="L528" s="353">
        <f>L525/L519-1</f>
        <v>-5.1020408163264808E-3</v>
      </c>
      <c r="M528" s="467">
        <f>M525/M519-1</f>
        <v>-6.0240963855421326E-3</v>
      </c>
      <c r="N528" s="292">
        <f>N525/N519-1</f>
        <v>-6.0240963855421326E-3</v>
      </c>
      <c r="O528" s="445"/>
      <c r="P528" s="357"/>
      <c r="Q528" s="358"/>
      <c r="R528" s="353">
        <f>R525/R519-1</f>
        <v>-5.494505494505475E-3</v>
      </c>
      <c r="S528" s="471"/>
      <c r="T528" s="356"/>
      <c r="U528" s="357"/>
      <c r="V528" s="471"/>
      <c r="W528" s="359"/>
    </row>
    <row r="529" spans="1:23" x14ac:dyDescent="0.2">
      <c r="A529" s="611">
        <v>43723</v>
      </c>
      <c r="B529" s="419" t="s">
        <v>53</v>
      </c>
      <c r="C529" s="408">
        <v>1572.85</v>
      </c>
      <c r="D529" s="347"/>
      <c r="E529" s="346">
        <v>1585.31</v>
      </c>
      <c r="F529" s="346">
        <v>1690.84</v>
      </c>
      <c r="G529" s="346">
        <v>1737.76</v>
      </c>
      <c r="H529" s="347"/>
      <c r="I529" s="347"/>
      <c r="J529" s="290"/>
      <c r="K529" s="431"/>
      <c r="L529" s="346">
        <v>1829.33</v>
      </c>
      <c r="M529" s="256">
        <v>1549.16</v>
      </c>
      <c r="N529" s="462">
        <v>1563.74</v>
      </c>
      <c r="O529" s="442"/>
      <c r="P529" s="348"/>
      <c r="Q529" s="349"/>
      <c r="R529" s="346">
        <v>1635.11</v>
      </c>
      <c r="S529" s="346"/>
      <c r="T529" s="290"/>
      <c r="U529" s="348"/>
      <c r="V529" s="347"/>
      <c r="W529" s="346">
        <v>1269.06</v>
      </c>
    </row>
    <row r="530" spans="1:23" x14ac:dyDescent="0.2">
      <c r="A530" s="611"/>
      <c r="B530" s="415" t="s">
        <v>54</v>
      </c>
      <c r="C530" s="409">
        <v>1599</v>
      </c>
      <c r="D530" s="249"/>
      <c r="E530" s="250">
        <v>1690</v>
      </c>
      <c r="F530" s="250">
        <v>1794</v>
      </c>
      <c r="G530" s="250">
        <v>2041</v>
      </c>
      <c r="H530" s="249"/>
      <c r="I530" s="249"/>
      <c r="J530" s="330"/>
      <c r="K530" s="432"/>
      <c r="L530" s="250">
        <v>2119</v>
      </c>
      <c r="M530" s="463">
        <v>1656</v>
      </c>
      <c r="N530" s="464">
        <v>1656</v>
      </c>
      <c r="O530" s="446"/>
      <c r="P530" s="331"/>
      <c r="Q530" s="332"/>
      <c r="R530" s="250">
        <v>1824</v>
      </c>
      <c r="S530" s="496"/>
      <c r="T530" s="330"/>
      <c r="U530" s="334"/>
      <c r="V530" s="469"/>
      <c r="W530" s="315"/>
    </row>
    <row r="531" spans="1:23" x14ac:dyDescent="0.2">
      <c r="A531" s="611"/>
      <c r="B531" s="415" t="s">
        <v>55</v>
      </c>
      <c r="C531" s="409">
        <v>1.48</v>
      </c>
      <c r="D531" s="249"/>
      <c r="E531" s="250">
        <v>1.56</v>
      </c>
      <c r="F531" s="250">
        <v>1.66</v>
      </c>
      <c r="G531" s="250">
        <v>1.88</v>
      </c>
      <c r="H531" s="249"/>
      <c r="I531" s="249"/>
      <c r="J531" s="330"/>
      <c r="K531" s="432"/>
      <c r="L531" s="250">
        <v>1.96</v>
      </c>
      <c r="M531" s="463">
        <v>1.66</v>
      </c>
      <c r="N531" s="464">
        <v>1.66</v>
      </c>
      <c r="O531" s="443"/>
      <c r="P531" s="334"/>
      <c r="Q531" s="335"/>
      <c r="R531" s="250">
        <v>1.82</v>
      </c>
      <c r="S531" s="469"/>
      <c r="T531" s="333"/>
      <c r="U531" s="334"/>
      <c r="V531" s="497"/>
      <c r="W531" s="315"/>
    </row>
    <row r="532" spans="1:23" x14ac:dyDescent="0.2">
      <c r="A532" s="611"/>
      <c r="B532" s="415" t="s">
        <v>56</v>
      </c>
      <c r="C532" s="410">
        <f>(C530-C529)/C530</f>
        <v>1.6353971232020068E-2</v>
      </c>
      <c r="D532" s="336"/>
      <c r="E532" s="336">
        <f>(E530-E529)/E530</f>
        <v>6.1946745562130208E-2</v>
      </c>
      <c r="F532" s="336">
        <f>(F530-F529)/F530</f>
        <v>5.7502787068004504E-2</v>
      </c>
      <c r="G532" s="336">
        <f>(G530-G529)/G530</f>
        <v>0.14857422831945125</v>
      </c>
      <c r="H532" s="336"/>
      <c r="I532" s="336"/>
      <c r="J532" s="338"/>
      <c r="K532" s="433"/>
      <c r="L532" s="336">
        <f>(L530-L529)/L530</f>
        <v>0.13670127418593681</v>
      </c>
      <c r="M532" s="465">
        <f>(M530-M529)/M530</f>
        <v>6.4516908212560342E-2</v>
      </c>
      <c r="N532" s="466">
        <f>(N530-N529)/N530</f>
        <v>5.5712560386473424E-2</v>
      </c>
      <c r="O532" s="444"/>
      <c r="P532" s="340"/>
      <c r="Q532" s="341"/>
      <c r="R532" s="336">
        <f>(R530-R529)/R530</f>
        <v>0.10355811403508777</v>
      </c>
      <c r="S532" s="470"/>
      <c r="T532" s="339"/>
      <c r="U532" s="340"/>
      <c r="V532" s="470"/>
      <c r="W532" s="315"/>
    </row>
    <row r="533" spans="1:23" x14ac:dyDescent="0.2">
      <c r="A533" s="611"/>
      <c r="B533" s="415" t="s">
        <v>57</v>
      </c>
      <c r="C533" s="410">
        <f>(C530-C529)/C529</f>
        <v>1.6625870235559712E-2</v>
      </c>
      <c r="D533" s="336"/>
      <c r="E533" s="336">
        <f>(E530-E529)/E529</f>
        <v>6.6037557323173429E-2</v>
      </c>
      <c r="F533" s="336">
        <f>(F530-F529)/F529</f>
        <v>6.1011095077003197E-2</v>
      </c>
      <c r="G533" s="336">
        <f>(G530-G529)/G529</f>
        <v>0.17450050639904247</v>
      </c>
      <c r="H533" s="336"/>
      <c r="I533" s="336"/>
      <c r="J533" s="338"/>
      <c r="K533" s="433"/>
      <c r="L533" s="336">
        <f>(L530-L529)/L529</f>
        <v>0.15834759174123864</v>
      </c>
      <c r="M533" s="465">
        <f>(M530-M529)/M529</f>
        <v>6.896640760153884E-2</v>
      </c>
      <c r="N533" s="466">
        <f>(N530-N529)/N529</f>
        <v>5.8999577934950816E-2</v>
      </c>
      <c r="O533" s="444"/>
      <c r="P533" s="340"/>
      <c r="Q533" s="341"/>
      <c r="R533" s="336">
        <f>(R530-R529)/R529</f>
        <v>0.11552127991388965</v>
      </c>
      <c r="S533" s="470"/>
      <c r="T533" s="339"/>
      <c r="U533" s="340"/>
      <c r="V533" s="470"/>
      <c r="W533" s="315"/>
    </row>
    <row r="534" spans="1:23" ht="13.3" thickBot="1" x14ac:dyDescent="0.25">
      <c r="A534" s="611"/>
      <c r="B534" s="418" t="s">
        <v>58</v>
      </c>
      <c r="C534" s="411">
        <f>C531/C525-1</f>
        <v>6.8027210884353817E-3</v>
      </c>
      <c r="D534" s="353"/>
      <c r="E534" s="353">
        <f>E531/E525-1</f>
        <v>6.4516129032257119E-3</v>
      </c>
      <c r="F534" s="353">
        <f>F531/F525-1</f>
        <v>6.0606060606060996E-3</v>
      </c>
      <c r="G534" s="353">
        <f>G531/G525-1</f>
        <v>5.3475935828874999E-3</v>
      </c>
      <c r="H534" s="353"/>
      <c r="I534" s="353"/>
      <c r="J534" s="355"/>
      <c r="K534" s="434"/>
      <c r="L534" s="353">
        <f>L531/L525-1</f>
        <v>5.12820512820511E-3</v>
      </c>
      <c r="M534" s="467">
        <f>M531/M525-1</f>
        <v>6.0606060606060996E-3</v>
      </c>
      <c r="N534" s="292">
        <f>N531/N525-1</f>
        <v>6.0606060606060996E-3</v>
      </c>
      <c r="O534" s="445"/>
      <c r="P534" s="357"/>
      <c r="Q534" s="358"/>
      <c r="R534" s="353">
        <f>R531/R525-1</f>
        <v>5.5248618784531356E-3</v>
      </c>
      <c r="S534" s="471"/>
      <c r="T534" s="356"/>
      <c r="U534" s="357"/>
      <c r="V534" s="471"/>
      <c r="W534" s="359"/>
    </row>
    <row r="535" spans="1:23" x14ac:dyDescent="0.2">
      <c r="A535" s="611">
        <v>43730</v>
      </c>
      <c r="B535" s="419" t="s">
        <v>53</v>
      </c>
      <c r="C535" s="408">
        <v>1583.27</v>
      </c>
      <c r="D535" s="347"/>
      <c r="E535" s="346">
        <v>1595.27</v>
      </c>
      <c r="F535" s="346">
        <v>1700.84</v>
      </c>
      <c r="G535" s="346">
        <v>1746.84</v>
      </c>
      <c r="H535" s="347"/>
      <c r="I535" s="347"/>
      <c r="J535" s="290"/>
      <c r="K535" s="431"/>
      <c r="L535" s="346">
        <v>1838.51</v>
      </c>
      <c r="M535" s="256">
        <v>1558.31</v>
      </c>
      <c r="N535" s="462">
        <v>1572.97</v>
      </c>
      <c r="O535" s="442"/>
      <c r="P535" s="348"/>
      <c r="Q535" s="349"/>
      <c r="R535" s="346">
        <v>1643.92</v>
      </c>
      <c r="S535" s="346"/>
      <c r="T535" s="290"/>
      <c r="U535" s="348"/>
      <c r="V535" s="347"/>
      <c r="W535" s="346">
        <v>1269.06</v>
      </c>
    </row>
    <row r="536" spans="1:23" x14ac:dyDescent="0.2">
      <c r="A536" s="611"/>
      <c r="B536" s="415" t="s">
        <v>54</v>
      </c>
      <c r="C536" s="409">
        <v>1612</v>
      </c>
      <c r="D536" s="249"/>
      <c r="E536" s="250">
        <v>1703</v>
      </c>
      <c r="F536" s="250">
        <v>1807</v>
      </c>
      <c r="G536" s="250">
        <v>2041</v>
      </c>
      <c r="H536" s="249"/>
      <c r="I536" s="249"/>
      <c r="J536" s="330"/>
      <c r="K536" s="432"/>
      <c r="L536" s="250">
        <v>2132</v>
      </c>
      <c r="M536" s="463">
        <v>1668</v>
      </c>
      <c r="N536" s="464">
        <v>1668</v>
      </c>
      <c r="O536" s="446"/>
      <c r="P536" s="331"/>
      <c r="Q536" s="332"/>
      <c r="R536" s="250">
        <v>1824</v>
      </c>
      <c r="S536" s="496"/>
      <c r="T536" s="330"/>
      <c r="U536" s="334"/>
      <c r="V536" s="469"/>
      <c r="W536" s="315"/>
    </row>
    <row r="537" spans="1:23" x14ac:dyDescent="0.2">
      <c r="A537" s="611"/>
      <c r="B537" s="415" t="s">
        <v>55</v>
      </c>
      <c r="C537" s="409">
        <v>1.49</v>
      </c>
      <c r="D537" s="249"/>
      <c r="E537" s="250">
        <v>1.57</v>
      </c>
      <c r="F537" s="250">
        <v>1.67</v>
      </c>
      <c r="G537" s="250">
        <v>1.89</v>
      </c>
      <c r="H537" s="249"/>
      <c r="I537" s="249"/>
      <c r="J537" s="330"/>
      <c r="K537" s="432"/>
      <c r="L537" s="250">
        <v>1.97</v>
      </c>
      <c r="M537" s="463">
        <v>1.67</v>
      </c>
      <c r="N537" s="464">
        <v>1.67</v>
      </c>
      <c r="O537" s="443"/>
      <c r="P537" s="334"/>
      <c r="Q537" s="335"/>
      <c r="R537" s="250">
        <v>1.83</v>
      </c>
      <c r="S537" s="469"/>
      <c r="T537" s="333"/>
      <c r="U537" s="334"/>
      <c r="V537" s="497"/>
      <c r="W537" s="315"/>
    </row>
    <row r="538" spans="1:23" x14ac:dyDescent="0.2">
      <c r="A538" s="611"/>
      <c r="B538" s="415" t="s">
        <v>56</v>
      </c>
      <c r="C538" s="410">
        <f>(C536-C535)/C536</f>
        <v>1.78225806451613E-2</v>
      </c>
      <c r="D538" s="336"/>
      <c r="E538" s="336">
        <f>(E536-E535)/E536</f>
        <v>6.3258954785672353E-2</v>
      </c>
      <c r="F538" s="336">
        <f>(F536-F535)/F536</f>
        <v>5.8749308245711167E-2</v>
      </c>
      <c r="G538" s="336">
        <f>(G536-G535)/G536</f>
        <v>0.14412542871141601</v>
      </c>
      <c r="H538" s="336"/>
      <c r="I538" s="336"/>
      <c r="J538" s="338"/>
      <c r="K538" s="433"/>
      <c r="L538" s="336">
        <f>(L536-L535)/L536</f>
        <v>0.13765947467166981</v>
      </c>
      <c r="M538" s="465">
        <f>(M536-M535)/M536</f>
        <v>6.5761390887290203E-2</v>
      </c>
      <c r="N538" s="466">
        <f>(N536-N535)/N536</f>
        <v>5.6972422062350106E-2</v>
      </c>
      <c r="O538" s="444"/>
      <c r="P538" s="340"/>
      <c r="Q538" s="341"/>
      <c r="R538" s="336">
        <f>(R536-R535)/R536</f>
        <v>9.8728070175438554E-2</v>
      </c>
      <c r="S538" s="470"/>
      <c r="T538" s="339"/>
      <c r="U538" s="340"/>
      <c r="V538" s="470"/>
      <c r="W538" s="315"/>
    </row>
    <row r="539" spans="1:23" x14ac:dyDescent="0.2">
      <c r="A539" s="611"/>
      <c r="B539" s="415" t="s">
        <v>57</v>
      </c>
      <c r="C539" s="410">
        <f>(C536-C535)/C535</f>
        <v>1.8145988997454648E-2</v>
      </c>
      <c r="D539" s="336"/>
      <c r="E539" s="336">
        <f>(E536-E535)/E535</f>
        <v>6.7530888188206392E-2</v>
      </c>
      <c r="F539" s="336">
        <f>(F536-F535)/F535</f>
        <v>6.2416217868817812E-2</v>
      </c>
      <c r="G539" s="336">
        <f>(G536-G535)/G535</f>
        <v>0.16839550273636972</v>
      </c>
      <c r="H539" s="336"/>
      <c r="I539" s="336"/>
      <c r="J539" s="338"/>
      <c r="K539" s="433"/>
      <c r="L539" s="336">
        <f>(L536-L535)/L535</f>
        <v>0.15963470418980588</v>
      </c>
      <c r="M539" s="465">
        <f>(M536-M535)/M535</f>
        <v>7.0390358786120905E-2</v>
      </c>
      <c r="N539" s="466">
        <f>(N536-N535)/N535</f>
        <v>6.0414375353630374E-2</v>
      </c>
      <c r="O539" s="444"/>
      <c r="P539" s="340"/>
      <c r="Q539" s="341"/>
      <c r="R539" s="336">
        <f>(R536-R535)/R535</f>
        <v>0.10954304345710249</v>
      </c>
      <c r="S539" s="470"/>
      <c r="T539" s="339"/>
      <c r="U539" s="340"/>
      <c r="V539" s="470"/>
      <c r="W539" s="315"/>
    </row>
    <row r="540" spans="1:23" ht="13.3" thickBot="1" x14ac:dyDescent="0.25">
      <c r="A540" s="611"/>
      <c r="B540" s="418" t="s">
        <v>58</v>
      </c>
      <c r="C540" s="411">
        <f>C537/C531-1</f>
        <v>6.7567567567567988E-3</v>
      </c>
      <c r="D540" s="353"/>
      <c r="E540" s="353">
        <f>E537/E531-1</f>
        <v>6.4102564102563875E-3</v>
      </c>
      <c r="F540" s="353">
        <f>F537/F531-1</f>
        <v>6.0240963855422436E-3</v>
      </c>
      <c r="G540" s="353">
        <f>G537/G531-1</f>
        <v>5.3191489361701372E-3</v>
      </c>
      <c r="H540" s="353"/>
      <c r="I540" s="353"/>
      <c r="J540" s="355"/>
      <c r="K540" s="434"/>
      <c r="L540" s="353">
        <f>L537/L531-1</f>
        <v>5.1020408163264808E-3</v>
      </c>
      <c r="M540" s="467">
        <f>M537/M531-1</f>
        <v>6.0240963855422436E-3</v>
      </c>
      <c r="N540" s="292">
        <f>N537/N531-1</f>
        <v>6.0240963855422436E-3</v>
      </c>
      <c r="O540" s="445"/>
      <c r="P540" s="357"/>
      <c r="Q540" s="358"/>
      <c r="R540" s="353">
        <f>R537/R531-1</f>
        <v>5.494505494505475E-3</v>
      </c>
      <c r="S540" s="471"/>
      <c r="T540" s="356"/>
      <c r="U540" s="357"/>
      <c r="V540" s="471"/>
      <c r="W540" s="359"/>
    </row>
    <row r="541" spans="1:23" x14ac:dyDescent="0.2">
      <c r="A541" s="611">
        <v>43737</v>
      </c>
      <c r="B541" s="419" t="s">
        <v>53</v>
      </c>
      <c r="C541" s="408">
        <v>1593.69</v>
      </c>
      <c r="D541" s="347"/>
      <c r="E541" s="346">
        <v>1605.23</v>
      </c>
      <c r="F541" s="346">
        <v>1710.84</v>
      </c>
      <c r="G541" s="346">
        <v>1755.92</v>
      </c>
      <c r="H541" s="347"/>
      <c r="I541" s="347"/>
      <c r="J541" s="290"/>
      <c r="K541" s="431"/>
      <c r="L541" s="346">
        <v>1847.69</v>
      </c>
      <c r="M541" s="256">
        <v>1567.46</v>
      </c>
      <c r="N541" s="462">
        <v>1582.2</v>
      </c>
      <c r="O541" s="442"/>
      <c r="P541" s="348"/>
      <c r="Q541" s="349"/>
      <c r="R541" s="346">
        <v>1652.73</v>
      </c>
      <c r="S541" s="346"/>
      <c r="T541" s="290"/>
      <c r="U541" s="348"/>
      <c r="V541" s="347"/>
      <c r="W541" s="346">
        <v>1269.06</v>
      </c>
    </row>
    <row r="542" spans="1:23" x14ac:dyDescent="0.2">
      <c r="A542" s="611"/>
      <c r="B542" s="415" t="s">
        <v>54</v>
      </c>
      <c r="C542" s="409">
        <v>1625</v>
      </c>
      <c r="D542" s="249"/>
      <c r="E542" s="250">
        <v>1716</v>
      </c>
      <c r="F542" s="250">
        <v>1820</v>
      </c>
      <c r="G542" s="250">
        <v>2054</v>
      </c>
      <c r="H542" s="249"/>
      <c r="I542" s="249"/>
      <c r="J542" s="330"/>
      <c r="K542" s="432"/>
      <c r="L542" s="250">
        <v>2145</v>
      </c>
      <c r="M542" s="463">
        <v>1680</v>
      </c>
      <c r="N542" s="464">
        <v>1680</v>
      </c>
      <c r="O542" s="446"/>
      <c r="P542" s="331"/>
      <c r="Q542" s="332"/>
      <c r="R542" s="250">
        <v>1836</v>
      </c>
      <c r="S542" s="496"/>
      <c r="T542" s="330"/>
      <c r="U542" s="334"/>
      <c r="V542" s="469"/>
      <c r="W542" s="315"/>
    </row>
    <row r="543" spans="1:23" x14ac:dyDescent="0.2">
      <c r="A543" s="611"/>
      <c r="B543" s="415" t="s">
        <v>55</v>
      </c>
      <c r="C543" s="409">
        <v>1.5</v>
      </c>
      <c r="D543" s="249"/>
      <c r="E543" s="250">
        <v>1.58</v>
      </c>
      <c r="F543" s="250">
        <v>1.68</v>
      </c>
      <c r="G543" s="250">
        <v>1.9</v>
      </c>
      <c r="H543" s="249"/>
      <c r="I543" s="249"/>
      <c r="J543" s="330"/>
      <c r="K543" s="432"/>
      <c r="L543" s="250">
        <v>1.98</v>
      </c>
      <c r="M543" s="463">
        <v>1.68</v>
      </c>
      <c r="N543" s="464">
        <v>1.68</v>
      </c>
      <c r="O543" s="443"/>
      <c r="P543" s="334"/>
      <c r="Q543" s="335"/>
      <c r="R543" s="250">
        <v>1.84</v>
      </c>
      <c r="S543" s="469"/>
      <c r="T543" s="333"/>
      <c r="U543" s="334"/>
      <c r="V543" s="497"/>
      <c r="W543" s="315"/>
    </row>
    <row r="544" spans="1:23" x14ac:dyDescent="0.2">
      <c r="A544" s="611"/>
      <c r="B544" s="415" t="s">
        <v>56</v>
      </c>
      <c r="C544" s="410">
        <f>(C542-C541)/C542</f>
        <v>1.9267692307692274E-2</v>
      </c>
      <c r="D544" s="336"/>
      <c r="E544" s="336">
        <f>(E542-E541)/E542</f>
        <v>6.4551282051282036E-2</v>
      </c>
      <c r="F544" s="336">
        <f>(F542-F541)/F542</f>
        <v>5.9978021978022024E-2</v>
      </c>
      <c r="G544" s="336">
        <f>(G542-G541)/G542</f>
        <v>0.14512171372930863</v>
      </c>
      <c r="H544" s="336"/>
      <c r="I544" s="336"/>
      <c r="J544" s="338"/>
      <c r="K544" s="433"/>
      <c r="L544" s="336">
        <f>(L542-L541)/L542</f>
        <v>0.13860606060606059</v>
      </c>
      <c r="M544" s="465">
        <f>(M542-M541)/M542</f>
        <v>6.6988095238095222E-2</v>
      </c>
      <c r="N544" s="466">
        <f>(N542-N541)/N542</f>
        <v>5.8214285714285691E-2</v>
      </c>
      <c r="O544" s="444"/>
      <c r="P544" s="340"/>
      <c r="Q544" s="341"/>
      <c r="R544" s="336">
        <f>(R542-R541)/R542</f>
        <v>9.9820261437908481E-2</v>
      </c>
      <c r="S544" s="470"/>
      <c r="T544" s="339"/>
      <c r="U544" s="340"/>
      <c r="V544" s="470"/>
      <c r="W544" s="315"/>
    </row>
    <row r="545" spans="1:23" x14ac:dyDescent="0.2">
      <c r="A545" s="611"/>
      <c r="B545" s="415" t="s">
        <v>57</v>
      </c>
      <c r="C545" s="410">
        <f>(C542-C541)/C541</f>
        <v>1.9646229818848046E-2</v>
      </c>
      <c r="D545" s="336"/>
      <c r="E545" s="336">
        <f>(E542-E541)/E541</f>
        <v>6.9005687658466375E-2</v>
      </c>
      <c r="F545" s="336">
        <f>(F542-F541)/F541</f>
        <v>6.3804914544901975E-2</v>
      </c>
      <c r="G545" s="336">
        <f>(G542-G541)/G541</f>
        <v>0.16975716433550497</v>
      </c>
      <c r="H545" s="336"/>
      <c r="I545" s="336"/>
      <c r="J545" s="338"/>
      <c r="K545" s="433"/>
      <c r="L545" s="336">
        <f>(L542-L541)/L541</f>
        <v>0.16090902694716103</v>
      </c>
      <c r="M545" s="465">
        <f>(M542-M541)/M541</f>
        <v>7.1797685427379299E-2</v>
      </c>
      <c r="N545" s="466">
        <f>(N542-N541)/N541</f>
        <v>6.1812665908229016E-2</v>
      </c>
      <c r="O545" s="444"/>
      <c r="P545" s="340"/>
      <c r="Q545" s="341"/>
      <c r="R545" s="336">
        <f>(R542-R541)/R541</f>
        <v>0.11088925595832348</v>
      </c>
      <c r="S545" s="470"/>
      <c r="T545" s="339"/>
      <c r="U545" s="340"/>
      <c r="V545" s="470"/>
      <c r="W545" s="315"/>
    </row>
    <row r="546" spans="1:23" ht="13.3" thickBot="1" x14ac:dyDescent="0.25">
      <c r="A546" s="611"/>
      <c r="B546" s="418" t="s">
        <v>58</v>
      </c>
      <c r="C546" s="411">
        <f>C543/C537-1</f>
        <v>6.7114093959732557E-3</v>
      </c>
      <c r="D546" s="353"/>
      <c r="E546" s="353">
        <f>E543/E537-1</f>
        <v>6.3694267515923553E-3</v>
      </c>
      <c r="F546" s="353">
        <f>F543/F537-1</f>
        <v>5.9880239520957446E-3</v>
      </c>
      <c r="G546" s="353">
        <f>G543/G537-1</f>
        <v>5.2910052910053462E-3</v>
      </c>
      <c r="H546" s="353"/>
      <c r="I546" s="353"/>
      <c r="J546" s="355"/>
      <c r="K546" s="434"/>
      <c r="L546" s="353">
        <f>L543/L537-1</f>
        <v>5.0761421319795996E-3</v>
      </c>
      <c r="M546" s="467">
        <f>M543/M537-1</f>
        <v>5.9880239520957446E-3</v>
      </c>
      <c r="N546" s="292">
        <f>N543/N537-1</f>
        <v>5.9880239520957446E-3</v>
      </c>
      <c r="O546" s="445"/>
      <c r="P546" s="357"/>
      <c r="Q546" s="358"/>
      <c r="R546" s="353">
        <f>R543/R537-1</f>
        <v>5.464480874316946E-3</v>
      </c>
      <c r="S546" s="471"/>
      <c r="T546" s="356"/>
      <c r="U546" s="357"/>
      <c r="V546" s="471"/>
      <c r="W546" s="359"/>
    </row>
    <row r="547" spans="1:23" x14ac:dyDescent="0.2">
      <c r="A547" s="611">
        <v>43793</v>
      </c>
      <c r="B547" s="419" t="s">
        <v>53</v>
      </c>
      <c r="C547" s="408">
        <v>1604.11</v>
      </c>
      <c r="D547" s="347"/>
      <c r="E547" s="346">
        <v>1615.19</v>
      </c>
      <c r="F547" s="346">
        <v>1720.84</v>
      </c>
      <c r="G547" s="346">
        <v>1765</v>
      </c>
      <c r="H547" s="347"/>
      <c r="I547" s="347"/>
      <c r="J547" s="290"/>
      <c r="K547" s="431"/>
      <c r="L547" s="346">
        <v>1856.87</v>
      </c>
      <c r="M547" s="256">
        <v>1576.61</v>
      </c>
      <c r="N547" s="462">
        <v>1591.43</v>
      </c>
      <c r="O547" s="442"/>
      <c r="P547" s="348"/>
      <c r="Q547" s="349"/>
      <c r="R547" s="346">
        <v>1661.54</v>
      </c>
      <c r="S547" s="346"/>
      <c r="T547" s="290"/>
      <c r="U547" s="348"/>
      <c r="V547" s="347"/>
      <c r="W547" s="346">
        <v>1269.06</v>
      </c>
    </row>
    <row r="548" spans="1:23" x14ac:dyDescent="0.2">
      <c r="A548" s="611"/>
      <c r="B548" s="415" t="s">
        <v>54</v>
      </c>
      <c r="C548" s="409">
        <v>1638</v>
      </c>
      <c r="D548" s="249"/>
      <c r="E548" s="250">
        <v>1716</v>
      </c>
      <c r="F548" s="250">
        <v>1820</v>
      </c>
      <c r="G548" s="250">
        <v>2054</v>
      </c>
      <c r="H548" s="249"/>
      <c r="I548" s="249"/>
      <c r="J548" s="330"/>
      <c r="K548" s="432"/>
      <c r="L548" s="250">
        <v>2145</v>
      </c>
      <c r="M548" s="463">
        <v>1680</v>
      </c>
      <c r="N548" s="464">
        <v>1680</v>
      </c>
      <c r="O548" s="446"/>
      <c r="P548" s="331"/>
      <c r="Q548" s="332"/>
      <c r="R548" s="250">
        <v>1836</v>
      </c>
      <c r="S548" s="496"/>
      <c r="T548" s="330"/>
      <c r="U548" s="334"/>
      <c r="V548" s="469"/>
      <c r="W548" s="315"/>
    </row>
    <row r="549" spans="1:23" x14ac:dyDescent="0.2">
      <c r="A549" s="611"/>
      <c r="B549" s="415" t="s">
        <v>55</v>
      </c>
      <c r="C549" s="409">
        <v>1.51</v>
      </c>
      <c r="D549" s="249"/>
      <c r="E549" s="250">
        <v>1.59</v>
      </c>
      <c r="F549" s="250">
        <v>1.69</v>
      </c>
      <c r="G549" s="250">
        <v>1.91</v>
      </c>
      <c r="H549" s="249"/>
      <c r="I549" s="249"/>
      <c r="J549" s="330"/>
      <c r="K549" s="432"/>
      <c r="L549" s="250">
        <v>1.99</v>
      </c>
      <c r="M549" s="463">
        <v>1.69</v>
      </c>
      <c r="N549" s="464">
        <v>1.69</v>
      </c>
      <c r="O549" s="443"/>
      <c r="P549" s="334"/>
      <c r="Q549" s="335"/>
      <c r="R549" s="250">
        <v>1.85</v>
      </c>
      <c r="S549" s="469"/>
      <c r="T549" s="333"/>
      <c r="U549" s="334"/>
      <c r="V549" s="497"/>
      <c r="W549" s="315"/>
    </row>
    <row r="550" spans="1:23" x14ac:dyDescent="0.2">
      <c r="A550" s="611"/>
      <c r="B550" s="415" t="s">
        <v>56</v>
      </c>
      <c r="C550" s="410">
        <f>(C548-C547)/C548</f>
        <v>2.068986568986575E-2</v>
      </c>
      <c r="D550" s="336"/>
      <c r="E550" s="336">
        <f>(E548-E547)/E548</f>
        <v>5.8747086247086217E-2</v>
      </c>
      <c r="F550" s="336">
        <f>(F548-F547)/F548</f>
        <v>5.4483516483516528E-2</v>
      </c>
      <c r="G550" s="336">
        <f>(G548-G547)/G548</f>
        <v>0.14070107108081792</v>
      </c>
      <c r="H550" s="336"/>
      <c r="I550" s="336"/>
      <c r="J550" s="338"/>
      <c r="K550" s="433"/>
      <c r="L550" s="336">
        <f>(L548-L547)/L548</f>
        <v>0.13432634032634039</v>
      </c>
      <c r="M550" s="465">
        <f>(M548-M547)/M548</f>
        <v>6.1541666666666724E-2</v>
      </c>
      <c r="N550" s="466">
        <f>(N548-N547)/N548</f>
        <v>5.2720238095238056E-2</v>
      </c>
      <c r="O550" s="444"/>
      <c r="P550" s="340"/>
      <c r="Q550" s="341"/>
      <c r="R550" s="336">
        <f>(R548-R547)/R548</f>
        <v>9.5021786492374749E-2</v>
      </c>
      <c r="S550" s="470"/>
      <c r="T550" s="339"/>
      <c r="U550" s="340"/>
      <c r="V550" s="470"/>
      <c r="W550" s="315"/>
    </row>
    <row r="551" spans="1:23" x14ac:dyDescent="0.2">
      <c r="A551" s="611"/>
      <c r="B551" s="415" t="s">
        <v>57</v>
      </c>
      <c r="C551" s="410">
        <f>(C548-C547)/C547</f>
        <v>2.1126980069945393E-2</v>
      </c>
      <c r="D551" s="336"/>
      <c r="E551" s="336">
        <f>(E548-E547)/E547</f>
        <v>6.2413709842185715E-2</v>
      </c>
      <c r="F551" s="336">
        <f>(F548-F547)/F547</f>
        <v>5.7623021315171712E-2</v>
      </c>
      <c r="G551" s="336">
        <f>(G548-G547)/G547</f>
        <v>0.16373937677053824</v>
      </c>
      <c r="H551" s="336"/>
      <c r="I551" s="336"/>
      <c r="J551" s="338"/>
      <c r="K551" s="433"/>
      <c r="L551" s="336">
        <f>(L548-L547)/L547</f>
        <v>0.15516972108979096</v>
      </c>
      <c r="M551" s="465">
        <f>(M548-M547)/M547</f>
        <v>6.5577409758913185E-2</v>
      </c>
      <c r="N551" s="466">
        <f>(N548-N547)/N547</f>
        <v>5.5654348604713959E-2</v>
      </c>
      <c r="O551" s="444"/>
      <c r="P551" s="340"/>
      <c r="Q551" s="341"/>
      <c r="R551" s="336">
        <f>(R548-R547)/R547</f>
        <v>0.10499897685279923</v>
      </c>
      <c r="S551" s="470"/>
      <c r="T551" s="339"/>
      <c r="U551" s="340"/>
      <c r="V551" s="470"/>
      <c r="W551" s="315"/>
    </row>
    <row r="552" spans="1:23" ht="13.3" thickBot="1" x14ac:dyDescent="0.25">
      <c r="A552" s="611"/>
      <c r="B552" s="418" t="s">
        <v>58</v>
      </c>
      <c r="C552" s="411">
        <f>C549/C543-1</f>
        <v>6.6666666666665986E-3</v>
      </c>
      <c r="D552" s="353"/>
      <c r="E552" s="353">
        <f>E549/E543-1</f>
        <v>6.3291139240506666E-3</v>
      </c>
      <c r="F552" s="353">
        <f>F549/F543-1</f>
        <v>5.9523809523809312E-3</v>
      </c>
      <c r="G552" s="353">
        <f>G549/G543-1</f>
        <v>5.2631578947368585E-3</v>
      </c>
      <c r="H552" s="353"/>
      <c r="I552" s="353"/>
      <c r="J552" s="355"/>
      <c r="K552" s="434"/>
      <c r="L552" s="353">
        <f>L549/L543-1</f>
        <v>5.050505050504972E-3</v>
      </c>
      <c r="M552" s="467">
        <f>M549/M543-1</f>
        <v>5.9523809523809312E-3</v>
      </c>
      <c r="N552" s="292">
        <f>N549/N543-1</f>
        <v>5.9523809523809312E-3</v>
      </c>
      <c r="O552" s="445"/>
      <c r="P552" s="357"/>
      <c r="Q552" s="358"/>
      <c r="R552" s="353">
        <f>R549/R543-1</f>
        <v>5.4347826086955653E-3</v>
      </c>
      <c r="S552" s="471"/>
      <c r="T552" s="356"/>
      <c r="U552" s="357"/>
      <c r="V552" s="471"/>
      <c r="W552" s="359"/>
    </row>
    <row r="553" spans="1:23" x14ac:dyDescent="0.2">
      <c r="A553" s="611">
        <v>43800</v>
      </c>
      <c r="B553" s="419" t="s">
        <v>53</v>
      </c>
      <c r="C553" s="408">
        <v>1614.53</v>
      </c>
      <c r="D553" s="347"/>
      <c r="E553" s="346">
        <v>1625.15</v>
      </c>
      <c r="F553" s="346">
        <v>1730.84</v>
      </c>
      <c r="G553" s="346">
        <v>1774.08</v>
      </c>
      <c r="H553" s="347"/>
      <c r="I553" s="347"/>
      <c r="J553" s="290"/>
      <c r="K553" s="431"/>
      <c r="L553" s="346">
        <v>1866.05</v>
      </c>
      <c r="M553" s="256">
        <v>1585.76</v>
      </c>
      <c r="N553" s="462">
        <v>1600.66</v>
      </c>
      <c r="O553" s="442"/>
      <c r="P553" s="348"/>
      <c r="Q553" s="349"/>
      <c r="R553" s="346">
        <v>1670.35</v>
      </c>
      <c r="S553" s="346"/>
      <c r="T553" s="290"/>
      <c r="U553" s="348"/>
      <c r="V553" s="347"/>
      <c r="W553" s="346">
        <v>1269.06</v>
      </c>
    </row>
    <row r="554" spans="1:23" x14ac:dyDescent="0.2">
      <c r="A554" s="611"/>
      <c r="B554" s="415" t="s">
        <v>54</v>
      </c>
      <c r="C554" s="409">
        <v>1651</v>
      </c>
      <c r="D554" s="249"/>
      <c r="E554" s="250">
        <v>1729</v>
      </c>
      <c r="F554" s="250">
        <v>1846</v>
      </c>
      <c r="G554" s="250">
        <v>2080</v>
      </c>
      <c r="H554" s="249"/>
      <c r="I554" s="249"/>
      <c r="J554" s="330"/>
      <c r="K554" s="432"/>
      <c r="L554" s="250">
        <v>2171</v>
      </c>
      <c r="M554" s="463">
        <v>1704</v>
      </c>
      <c r="N554" s="464">
        <v>1704</v>
      </c>
      <c r="O554" s="446"/>
      <c r="P554" s="331"/>
      <c r="Q554" s="332"/>
      <c r="R554" s="250">
        <v>1860</v>
      </c>
      <c r="S554" s="496"/>
      <c r="T554" s="330"/>
      <c r="U554" s="334"/>
      <c r="V554" s="469"/>
      <c r="W554" s="315"/>
    </row>
    <row r="555" spans="1:23" x14ac:dyDescent="0.2">
      <c r="A555" s="611"/>
      <c r="B555" s="415" t="s">
        <v>55</v>
      </c>
      <c r="C555" s="409">
        <v>1.52</v>
      </c>
      <c r="D555" s="249"/>
      <c r="E555" s="250">
        <v>1.6</v>
      </c>
      <c r="F555" s="250">
        <v>1.7</v>
      </c>
      <c r="G555" s="250">
        <v>1.92</v>
      </c>
      <c r="H555" s="249"/>
      <c r="I555" s="249"/>
      <c r="J555" s="330"/>
      <c r="K555" s="432"/>
      <c r="L555" s="250">
        <v>2</v>
      </c>
      <c r="M555" s="463">
        <v>1.7</v>
      </c>
      <c r="N555" s="464">
        <v>1.7</v>
      </c>
      <c r="O555" s="443"/>
      <c r="P555" s="334"/>
      <c r="Q555" s="335"/>
      <c r="R555" s="250">
        <v>1.86</v>
      </c>
      <c r="S555" s="469"/>
      <c r="T555" s="333"/>
      <c r="U555" s="334"/>
      <c r="V555" s="497"/>
      <c r="W555" s="315"/>
    </row>
    <row r="556" spans="1:23" x14ac:dyDescent="0.2">
      <c r="A556" s="611"/>
      <c r="B556" s="415" t="s">
        <v>56</v>
      </c>
      <c r="C556" s="410">
        <f>(C554-C553)/C554</f>
        <v>2.2089642640823758E-2</v>
      </c>
      <c r="D556" s="336"/>
      <c r="E556" s="336">
        <f>(E554-E553)/E554</f>
        <v>6.0063620589936327E-2</v>
      </c>
      <c r="F556" s="336">
        <f>(F554-F553)/F554</f>
        <v>6.2383531960996795E-2</v>
      </c>
      <c r="G556" s="336">
        <f>(G554-G553)/G554</f>
        <v>0.14707692307692311</v>
      </c>
      <c r="H556" s="336"/>
      <c r="I556" s="336"/>
      <c r="J556" s="338"/>
      <c r="K556" s="433"/>
      <c r="L556" s="336">
        <f>(L554-L553)/L554</f>
        <v>0.14046522339935516</v>
      </c>
      <c r="M556" s="465">
        <f>(M554-M553)/M554</f>
        <v>6.9389671361502356E-2</v>
      </c>
      <c r="N556" s="466">
        <f>(N554-N553)/N554</f>
        <v>6.0645539906103239E-2</v>
      </c>
      <c r="O556" s="444"/>
      <c r="P556" s="340"/>
      <c r="Q556" s="341"/>
      <c r="R556" s="336">
        <f>(R554-R553)/R554</f>
        <v>0.1019623655913979</v>
      </c>
      <c r="S556" s="470"/>
      <c r="T556" s="339"/>
      <c r="U556" s="340"/>
      <c r="V556" s="470"/>
      <c r="W556" s="315"/>
    </row>
    <row r="557" spans="1:23" x14ac:dyDescent="0.2">
      <c r="A557" s="611"/>
      <c r="B557" s="415" t="s">
        <v>57</v>
      </c>
      <c r="C557" s="410">
        <f>(C554-C553)/C553</f>
        <v>2.2588617120772005E-2</v>
      </c>
      <c r="D557" s="336"/>
      <c r="E557" s="336">
        <f>(E554-E553)/E553</f>
        <v>6.3901793680583269E-2</v>
      </c>
      <c r="F557" s="336">
        <f>(F554-F553)/F553</f>
        <v>6.6534168380670708E-2</v>
      </c>
      <c r="G557" s="336">
        <f>(G554-G553)/G553</f>
        <v>0.17243867243867247</v>
      </c>
      <c r="H557" s="336"/>
      <c r="I557" s="336"/>
      <c r="J557" s="338"/>
      <c r="K557" s="433"/>
      <c r="L557" s="336">
        <f>(L554-L553)/L553</f>
        <v>0.16342005841215404</v>
      </c>
      <c r="M557" s="465">
        <f>(M554-M553)/M553</f>
        <v>7.4563616184037937E-2</v>
      </c>
      <c r="N557" s="466">
        <f>(N554-N553)/N553</f>
        <v>6.4560868641685254E-2</v>
      </c>
      <c r="O557" s="444"/>
      <c r="P557" s="340"/>
      <c r="Q557" s="341"/>
      <c r="R557" s="336">
        <f>(R554-R553)/R553</f>
        <v>0.11353907863621403</v>
      </c>
      <c r="S557" s="470"/>
      <c r="T557" s="339"/>
      <c r="U557" s="340"/>
      <c r="V557" s="470"/>
      <c r="W557" s="315"/>
    </row>
    <row r="558" spans="1:23" ht="13.3" thickBot="1" x14ac:dyDescent="0.25">
      <c r="A558" s="611"/>
      <c r="B558" s="418" t="s">
        <v>58</v>
      </c>
      <c r="C558" s="411">
        <f>C555/C549-1</f>
        <v>6.6225165562914245E-3</v>
      </c>
      <c r="D558" s="353"/>
      <c r="E558" s="353">
        <f>E555/E549-1</f>
        <v>6.2893081761006275E-3</v>
      </c>
      <c r="F558" s="353">
        <f>F555/F549-1</f>
        <v>5.9171597633136397E-3</v>
      </c>
      <c r="G558" s="353">
        <f>G555/G549-1</f>
        <v>5.2356020942407877E-3</v>
      </c>
      <c r="H558" s="353"/>
      <c r="I558" s="353"/>
      <c r="J558" s="355"/>
      <c r="K558" s="434"/>
      <c r="L558" s="353">
        <f>L555/L549-1</f>
        <v>5.0251256281406143E-3</v>
      </c>
      <c r="M558" s="467">
        <f>M555/M549-1</f>
        <v>5.9171597633136397E-3</v>
      </c>
      <c r="N558" s="292">
        <f>N555/N549-1</f>
        <v>5.9171597633136397E-3</v>
      </c>
      <c r="O558" s="445"/>
      <c r="P558" s="357"/>
      <c r="Q558" s="358"/>
      <c r="R558" s="353">
        <f>R555/R549-1</f>
        <v>5.4054054054053502E-3</v>
      </c>
      <c r="S558" s="471"/>
      <c r="T558" s="356"/>
      <c r="U558" s="357"/>
      <c r="V558" s="471"/>
      <c r="W558" s="359"/>
    </row>
    <row r="559" spans="1:23" x14ac:dyDescent="0.2">
      <c r="A559" s="611">
        <v>43807</v>
      </c>
      <c r="B559" s="419" t="s">
        <v>53</v>
      </c>
      <c r="C559" s="408">
        <v>1624.95</v>
      </c>
      <c r="D559" s="347"/>
      <c r="E559" s="346">
        <v>1635.11</v>
      </c>
      <c r="F559" s="346">
        <v>1740.84</v>
      </c>
      <c r="G559" s="346">
        <v>1783.16</v>
      </c>
      <c r="H559" s="347"/>
      <c r="I559" s="347"/>
      <c r="J559" s="290"/>
      <c r="K559" s="431"/>
      <c r="L559" s="346">
        <v>1875.23</v>
      </c>
      <c r="M559" s="256">
        <v>1594.91</v>
      </c>
      <c r="N559" s="462">
        <v>1609.89</v>
      </c>
      <c r="O559" s="442"/>
      <c r="P559" s="348"/>
      <c r="Q559" s="349"/>
      <c r="R559" s="346">
        <v>1679.16</v>
      </c>
      <c r="S559" s="346"/>
      <c r="T559" s="290"/>
      <c r="U559" s="348"/>
      <c r="V559" s="347"/>
      <c r="W559" s="346">
        <v>1269.06</v>
      </c>
    </row>
    <row r="560" spans="1:23" x14ac:dyDescent="0.2">
      <c r="A560" s="611"/>
      <c r="B560" s="415" t="s">
        <v>54</v>
      </c>
      <c r="C560" s="409">
        <v>1651</v>
      </c>
      <c r="D560" s="249"/>
      <c r="E560" s="250">
        <v>1742</v>
      </c>
      <c r="F560" s="250">
        <v>1846</v>
      </c>
      <c r="G560" s="250">
        <v>2093</v>
      </c>
      <c r="H560" s="249"/>
      <c r="I560" s="249"/>
      <c r="J560" s="330"/>
      <c r="K560" s="432"/>
      <c r="L560" s="250">
        <v>2171</v>
      </c>
      <c r="M560" s="463">
        <v>1704</v>
      </c>
      <c r="N560" s="464">
        <v>1704</v>
      </c>
      <c r="O560" s="446"/>
      <c r="P560" s="331"/>
      <c r="Q560" s="332"/>
      <c r="R560" s="250">
        <v>1872</v>
      </c>
      <c r="S560" s="496"/>
      <c r="T560" s="330"/>
      <c r="U560" s="334"/>
      <c r="V560" s="469"/>
      <c r="W560" s="315"/>
    </row>
    <row r="561" spans="1:23" x14ac:dyDescent="0.2">
      <c r="A561" s="611"/>
      <c r="B561" s="415" t="s">
        <v>55</v>
      </c>
      <c r="C561" s="409">
        <v>1.53</v>
      </c>
      <c r="D561" s="249"/>
      <c r="E561" s="250">
        <v>1.61</v>
      </c>
      <c r="F561" s="250">
        <v>1.71</v>
      </c>
      <c r="G561" s="250">
        <v>1.93</v>
      </c>
      <c r="H561" s="249"/>
      <c r="I561" s="249"/>
      <c r="J561" s="330"/>
      <c r="K561" s="432"/>
      <c r="L561" s="250">
        <v>2.0099999999999998</v>
      </c>
      <c r="M561" s="463">
        <v>1.71</v>
      </c>
      <c r="N561" s="464">
        <v>1.71</v>
      </c>
      <c r="O561" s="443"/>
      <c r="P561" s="334"/>
      <c r="Q561" s="335"/>
      <c r="R561" s="250">
        <v>1.87</v>
      </c>
      <c r="S561" s="469"/>
      <c r="T561" s="333"/>
      <c r="U561" s="334"/>
      <c r="V561" s="497"/>
      <c r="W561" s="315"/>
    </row>
    <row r="562" spans="1:23" x14ac:dyDescent="0.2">
      <c r="A562" s="611"/>
      <c r="B562" s="415" t="s">
        <v>56</v>
      </c>
      <c r="C562" s="410">
        <f>(C560-C559)/C560</f>
        <v>1.5778316172016933E-2</v>
      </c>
      <c r="D562" s="336"/>
      <c r="E562" s="336">
        <f>(E560-E559)/E560</f>
        <v>6.1360505166475371E-2</v>
      </c>
      <c r="F562" s="336">
        <f>(F560-F559)/F560</f>
        <v>5.6966413867822363E-2</v>
      </c>
      <c r="G562" s="336">
        <f>(G560-G559)/G560</f>
        <v>0.14803631151457233</v>
      </c>
      <c r="H562" s="336"/>
      <c r="I562" s="336"/>
      <c r="J562" s="338"/>
      <c r="K562" s="433"/>
      <c r="L562" s="336">
        <f>(L560-L559)/L560</f>
        <v>0.13623675725472131</v>
      </c>
      <c r="M562" s="465">
        <f>(M560-M559)/M560</f>
        <v>6.4019953051643139E-2</v>
      </c>
      <c r="N562" s="466">
        <f>(N560-N559)/N560</f>
        <v>5.5228873239436559E-2</v>
      </c>
      <c r="O562" s="444"/>
      <c r="P562" s="340"/>
      <c r="Q562" s="341"/>
      <c r="R562" s="336">
        <f>(R560-R559)/R560</f>
        <v>0.10301282051282047</v>
      </c>
      <c r="S562" s="470"/>
      <c r="T562" s="339"/>
      <c r="U562" s="340"/>
      <c r="V562" s="470"/>
      <c r="W562" s="315"/>
    </row>
    <row r="563" spans="1:23" x14ac:dyDescent="0.2">
      <c r="A563" s="611"/>
      <c r="B563" s="415" t="s">
        <v>57</v>
      </c>
      <c r="C563" s="410">
        <f>(C560-C559)/C559</f>
        <v>1.6031262500384599E-2</v>
      </c>
      <c r="D563" s="336"/>
      <c r="E563" s="336">
        <f>(E560-E559)/E559</f>
        <v>6.5371748689690673E-2</v>
      </c>
      <c r="F563" s="336">
        <f>(F560-F559)/F559</f>
        <v>6.0407619310218104E-2</v>
      </c>
      <c r="G563" s="336">
        <f>(G560-G559)/G559</f>
        <v>0.17375894479463419</v>
      </c>
      <c r="H563" s="336"/>
      <c r="I563" s="336"/>
      <c r="J563" s="338"/>
      <c r="K563" s="433"/>
      <c r="L563" s="336">
        <f>(L560-L559)/L559</f>
        <v>0.1577246524426337</v>
      </c>
      <c r="M563" s="465">
        <f>(M560-M559)/M559</f>
        <v>6.8398843821908389E-2</v>
      </c>
      <c r="N563" s="466">
        <f>(N560-N559)/N559</f>
        <v>5.8457410133611547E-2</v>
      </c>
      <c r="O563" s="444"/>
      <c r="P563" s="340"/>
      <c r="Q563" s="341"/>
      <c r="R563" s="336">
        <f>(R560-R559)/R559</f>
        <v>0.11484313585364105</v>
      </c>
      <c r="S563" s="470"/>
      <c r="T563" s="339"/>
      <c r="U563" s="340"/>
      <c r="V563" s="470"/>
      <c r="W563" s="315"/>
    </row>
    <row r="564" spans="1:23" ht="13.3" thickBot="1" x14ac:dyDescent="0.25">
      <c r="A564" s="611"/>
      <c r="B564" s="418" t="s">
        <v>58</v>
      </c>
      <c r="C564" s="411">
        <f>C561/C555-1</f>
        <v>6.5789473684210176E-3</v>
      </c>
      <c r="D564" s="353"/>
      <c r="E564" s="353">
        <f>E561/E555-1</f>
        <v>6.2500000000000888E-3</v>
      </c>
      <c r="F564" s="353">
        <f>F561/F555-1</f>
        <v>5.8823529411764497E-3</v>
      </c>
      <c r="G564" s="353">
        <f>G561/G555-1</f>
        <v>5.2083333333332593E-3</v>
      </c>
      <c r="H564" s="353"/>
      <c r="I564" s="353"/>
      <c r="J564" s="355"/>
      <c r="K564" s="434"/>
      <c r="L564" s="353">
        <f>L561/L555-1</f>
        <v>4.9999999999998934E-3</v>
      </c>
      <c r="M564" s="467">
        <f>M561/M555-1</f>
        <v>5.8823529411764497E-3</v>
      </c>
      <c r="N564" s="292">
        <f>N561/N555-1</f>
        <v>5.8823529411764497E-3</v>
      </c>
      <c r="O564" s="445"/>
      <c r="P564" s="357"/>
      <c r="Q564" s="358"/>
      <c r="R564" s="353">
        <f>R561/R555-1</f>
        <v>5.3763440860215006E-3</v>
      </c>
      <c r="S564" s="471"/>
      <c r="T564" s="356"/>
      <c r="U564" s="357"/>
      <c r="V564" s="471"/>
      <c r="W564" s="359"/>
    </row>
    <row r="565" spans="1:23" x14ac:dyDescent="0.2">
      <c r="A565" s="611">
        <v>43814</v>
      </c>
      <c r="B565" s="419" t="s">
        <v>53</v>
      </c>
      <c r="C565" s="408">
        <v>1635.37</v>
      </c>
      <c r="D565" s="347"/>
      <c r="E565" s="346">
        <v>1645.07</v>
      </c>
      <c r="F565" s="346">
        <v>1750.84</v>
      </c>
      <c r="G565" s="346">
        <v>1792.24</v>
      </c>
      <c r="H565" s="347"/>
      <c r="I565" s="347"/>
      <c r="J565" s="290"/>
      <c r="K565" s="431"/>
      <c r="L565" s="346">
        <v>1884.41</v>
      </c>
      <c r="M565" s="256">
        <v>1604.06</v>
      </c>
      <c r="N565" s="462">
        <v>1619.12</v>
      </c>
      <c r="O565" s="442"/>
      <c r="P565" s="348"/>
      <c r="Q565" s="349"/>
      <c r="R565" s="346">
        <v>1687.97</v>
      </c>
      <c r="S565" s="346"/>
      <c r="T565" s="290"/>
      <c r="U565" s="348"/>
      <c r="V565" s="347"/>
      <c r="W565" s="346">
        <v>1269.06</v>
      </c>
    </row>
    <row r="566" spans="1:23" x14ac:dyDescent="0.2">
      <c r="A566" s="611"/>
      <c r="B566" s="415" t="s">
        <v>54</v>
      </c>
      <c r="C566" s="409">
        <v>1664</v>
      </c>
      <c r="D566" s="249"/>
      <c r="E566" s="250">
        <v>1755</v>
      </c>
      <c r="F566" s="250">
        <v>1859</v>
      </c>
      <c r="G566" s="250">
        <v>2106</v>
      </c>
      <c r="H566" s="249"/>
      <c r="I566" s="249"/>
      <c r="J566" s="330"/>
      <c r="K566" s="432"/>
      <c r="L566" s="250">
        <v>2184</v>
      </c>
      <c r="M566" s="463">
        <v>1716</v>
      </c>
      <c r="N566" s="464">
        <v>1716</v>
      </c>
      <c r="O566" s="446"/>
      <c r="P566" s="331"/>
      <c r="Q566" s="332"/>
      <c r="R566" s="250">
        <v>1884</v>
      </c>
      <c r="S566" s="496"/>
      <c r="T566" s="330"/>
      <c r="U566" s="334"/>
      <c r="V566" s="469"/>
      <c r="W566" s="315"/>
    </row>
    <row r="567" spans="1:23" x14ac:dyDescent="0.2">
      <c r="A567" s="611"/>
      <c r="B567" s="415" t="s">
        <v>55</v>
      </c>
      <c r="C567" s="409">
        <v>1.54</v>
      </c>
      <c r="D567" s="249"/>
      <c r="E567" s="250">
        <v>1.62</v>
      </c>
      <c r="F567" s="250">
        <v>1.72</v>
      </c>
      <c r="G567" s="250">
        <v>1.94</v>
      </c>
      <c r="H567" s="249"/>
      <c r="I567" s="249"/>
      <c r="J567" s="330"/>
      <c r="K567" s="432"/>
      <c r="L567" s="250">
        <v>2.02</v>
      </c>
      <c r="M567" s="463">
        <v>1.72</v>
      </c>
      <c r="N567" s="464">
        <v>1.72</v>
      </c>
      <c r="O567" s="443"/>
      <c r="P567" s="334"/>
      <c r="Q567" s="335"/>
      <c r="R567" s="250">
        <v>1.88</v>
      </c>
      <c r="S567" s="469"/>
      <c r="T567" s="333"/>
      <c r="U567" s="334"/>
      <c r="V567" s="497"/>
      <c r="W567" s="315"/>
    </row>
    <row r="568" spans="1:23" x14ac:dyDescent="0.2">
      <c r="A568" s="611"/>
      <c r="B568" s="415" t="s">
        <v>56</v>
      </c>
      <c r="C568" s="410">
        <f>(C566-C565)/C566</f>
        <v>1.7205528846153912E-2</v>
      </c>
      <c r="D568" s="336"/>
      <c r="E568" s="336">
        <f>(E566-E565)/E566</f>
        <v>6.2638176638176668E-2</v>
      </c>
      <c r="F568" s="336">
        <f>(F566-F565)/F566</f>
        <v>5.8181818181818223E-2</v>
      </c>
      <c r="G568" s="336">
        <f>(G566-G565)/G566</f>
        <v>0.1489838556505223</v>
      </c>
      <c r="H568" s="336"/>
      <c r="I568" s="336"/>
      <c r="J568" s="338"/>
      <c r="K568" s="433"/>
      <c r="L568" s="336">
        <f>(L566-L565)/L566</f>
        <v>0.1371749084249084</v>
      </c>
      <c r="M568" s="465">
        <f>(M566-M565)/M566</f>
        <v>6.5233100233100264E-2</v>
      </c>
      <c r="N568" s="466">
        <f>(N566-N565)/N566</f>
        <v>5.6456876456876519E-2</v>
      </c>
      <c r="O568" s="444"/>
      <c r="P568" s="340"/>
      <c r="Q568" s="341"/>
      <c r="R568" s="336">
        <f>(R566-R565)/R566</f>
        <v>0.10404989384288746</v>
      </c>
      <c r="S568" s="470"/>
      <c r="T568" s="339"/>
      <c r="U568" s="340"/>
      <c r="V568" s="470"/>
      <c r="W568" s="315"/>
    </row>
    <row r="569" spans="1:23" x14ac:dyDescent="0.2">
      <c r="A569" s="611"/>
      <c r="B569" s="415" t="s">
        <v>57</v>
      </c>
      <c r="C569" s="410">
        <f>(C566-C565)/C565</f>
        <v>1.7506741593645542E-2</v>
      </c>
      <c r="D569" s="336"/>
      <c r="E569" s="336">
        <f>(E566-E565)/E565</f>
        <v>6.6823904149975424E-2</v>
      </c>
      <c r="F569" s="336">
        <f>(F566-F565)/F565</f>
        <v>6.1776061776061826E-2</v>
      </c>
      <c r="G569" s="336">
        <f>(G566-G565)/G565</f>
        <v>0.17506583939650938</v>
      </c>
      <c r="H569" s="336"/>
      <c r="I569" s="336"/>
      <c r="J569" s="338"/>
      <c r="K569" s="433"/>
      <c r="L569" s="336">
        <f>(L566-L565)/L565</f>
        <v>0.15898344840029499</v>
      </c>
      <c r="M569" s="465">
        <f>(M566-M565)/M565</f>
        <v>6.9785419498023804E-2</v>
      </c>
      <c r="N569" s="466">
        <f>(N566-N565)/N565</f>
        <v>5.9834972083601043E-2</v>
      </c>
      <c r="O569" s="444"/>
      <c r="P569" s="340"/>
      <c r="Q569" s="341"/>
      <c r="R569" s="336">
        <f>(R566-R565)/R565</f>
        <v>0.11613358057311443</v>
      </c>
      <c r="S569" s="470"/>
      <c r="T569" s="339"/>
      <c r="U569" s="340"/>
      <c r="V569" s="470"/>
      <c r="W569" s="315"/>
    </row>
    <row r="570" spans="1:23" ht="13.3" thickBot="1" x14ac:dyDescent="0.25">
      <c r="A570" s="611"/>
      <c r="B570" s="418" t="s">
        <v>58</v>
      </c>
      <c r="C570" s="411">
        <f>C567/C561-1</f>
        <v>6.5359477124182774E-3</v>
      </c>
      <c r="D570" s="353"/>
      <c r="E570" s="353">
        <f>E567/E561-1</f>
        <v>6.2111801242235032E-3</v>
      </c>
      <c r="F570" s="353">
        <f>F567/F561-1</f>
        <v>5.8479532163742132E-3</v>
      </c>
      <c r="G570" s="353">
        <f>G567/G561-1</f>
        <v>5.1813471502590858E-3</v>
      </c>
      <c r="H570" s="353"/>
      <c r="I570" s="353"/>
      <c r="J570" s="355"/>
      <c r="K570" s="434"/>
      <c r="L570" s="353">
        <f>L567/L561-1</f>
        <v>4.9751243781095411E-3</v>
      </c>
      <c r="M570" s="467">
        <f>M567/M561-1</f>
        <v>5.8479532163742132E-3</v>
      </c>
      <c r="N570" s="292">
        <f>N567/N561-1</f>
        <v>5.8479532163742132E-3</v>
      </c>
      <c r="O570" s="445"/>
      <c r="P570" s="357"/>
      <c r="Q570" s="358"/>
      <c r="R570" s="353">
        <f>R567/R561-1</f>
        <v>5.3475935828874999E-3</v>
      </c>
      <c r="S570" s="471"/>
      <c r="T570" s="356"/>
      <c r="U570" s="357"/>
      <c r="V570" s="471"/>
      <c r="W570" s="359"/>
    </row>
    <row r="571" spans="1:23" x14ac:dyDescent="0.2">
      <c r="A571" s="611">
        <v>43821</v>
      </c>
      <c r="B571" s="419" t="s">
        <v>53</v>
      </c>
      <c r="C571" s="408">
        <v>1645.79</v>
      </c>
      <c r="D571" s="347"/>
      <c r="E571" s="346">
        <v>1655.03</v>
      </c>
      <c r="F571" s="346">
        <v>1760.84</v>
      </c>
      <c r="G571" s="346">
        <v>1801.32</v>
      </c>
      <c r="H571" s="347"/>
      <c r="I571" s="347"/>
      <c r="J571" s="290"/>
      <c r="K571" s="431"/>
      <c r="L571" s="346">
        <v>1893.59</v>
      </c>
      <c r="M571" s="256">
        <v>1613.21</v>
      </c>
      <c r="N571" s="462">
        <v>1628.35</v>
      </c>
      <c r="O571" s="442"/>
      <c r="P571" s="348"/>
      <c r="Q571" s="349"/>
      <c r="R571" s="346">
        <v>1696.78</v>
      </c>
      <c r="S571" s="346"/>
      <c r="T571" s="290"/>
      <c r="U571" s="348"/>
      <c r="V571" s="347"/>
      <c r="W571" s="346">
        <v>1269.06</v>
      </c>
    </row>
    <row r="572" spans="1:23" x14ac:dyDescent="0.2">
      <c r="A572" s="611"/>
      <c r="B572" s="415" t="s">
        <v>54</v>
      </c>
      <c r="C572" s="409">
        <v>1677</v>
      </c>
      <c r="D572" s="249"/>
      <c r="E572" s="250">
        <v>1768</v>
      </c>
      <c r="F572" s="250">
        <v>1872</v>
      </c>
      <c r="G572" s="250">
        <v>2106</v>
      </c>
      <c r="H572" s="249"/>
      <c r="I572" s="249"/>
      <c r="J572" s="330"/>
      <c r="K572" s="432"/>
      <c r="L572" s="250">
        <v>2197</v>
      </c>
      <c r="M572" s="463">
        <v>1728</v>
      </c>
      <c r="N572" s="464">
        <v>1728</v>
      </c>
      <c r="O572" s="446"/>
      <c r="P572" s="331"/>
      <c r="Q572" s="332"/>
      <c r="R572" s="250">
        <v>1884</v>
      </c>
      <c r="S572" s="496"/>
      <c r="T572" s="330"/>
      <c r="U572" s="334"/>
      <c r="V572" s="469"/>
      <c r="W572" s="315"/>
    </row>
    <row r="573" spans="1:23" x14ac:dyDescent="0.2">
      <c r="A573" s="611"/>
      <c r="B573" s="415" t="s">
        <v>55</v>
      </c>
      <c r="C573" s="409">
        <v>1.55</v>
      </c>
      <c r="D573" s="249"/>
      <c r="E573" s="250">
        <v>1.63</v>
      </c>
      <c r="F573" s="250">
        <v>1.73</v>
      </c>
      <c r="G573" s="250">
        <v>1.95</v>
      </c>
      <c r="H573" s="249"/>
      <c r="I573" s="249"/>
      <c r="J573" s="330"/>
      <c r="K573" s="432"/>
      <c r="L573" s="250">
        <v>2.0299999999999998</v>
      </c>
      <c r="M573" s="463">
        <v>1.73</v>
      </c>
      <c r="N573" s="464">
        <v>1.73</v>
      </c>
      <c r="O573" s="443"/>
      <c r="P573" s="334"/>
      <c r="Q573" s="335"/>
      <c r="R573" s="250">
        <v>1.89</v>
      </c>
      <c r="S573" s="469"/>
      <c r="T573" s="333"/>
      <c r="U573" s="334"/>
      <c r="V573" s="497"/>
      <c r="W573" s="315"/>
    </row>
    <row r="574" spans="1:23" x14ac:dyDescent="0.2">
      <c r="A574" s="611"/>
      <c r="B574" s="415" t="s">
        <v>56</v>
      </c>
      <c r="C574" s="410">
        <f>(C572-C571)/C572</f>
        <v>1.8610614192009562E-2</v>
      </c>
      <c r="D574" s="336"/>
      <c r="E574" s="336">
        <f>(E572-E571)/E572</f>
        <v>6.3897058823529432E-2</v>
      </c>
      <c r="F574" s="336">
        <f>(F572-F571)/F572</f>
        <v>5.9380341880341928E-2</v>
      </c>
      <c r="G574" s="336">
        <f>(G572-G571)/G572</f>
        <v>0.14467236467236469</v>
      </c>
      <c r="H574" s="336"/>
      <c r="I574" s="336"/>
      <c r="J574" s="338"/>
      <c r="K574" s="433"/>
      <c r="L574" s="336">
        <f>(L572-L571)/L572</f>
        <v>0.13810195721438329</v>
      </c>
      <c r="M574" s="465">
        <f>(M572-M571)/M572</f>
        <v>6.6429398148148133E-2</v>
      </c>
      <c r="N574" s="466">
        <f>(N572-N571)/N572</f>
        <v>5.7667824074074128E-2</v>
      </c>
      <c r="O574" s="444"/>
      <c r="P574" s="340"/>
      <c r="Q574" s="341"/>
      <c r="R574" s="336">
        <f>(R572-R571)/R572</f>
        <v>9.937367303609343E-2</v>
      </c>
      <c r="S574" s="470"/>
      <c r="T574" s="339"/>
      <c r="U574" s="340"/>
      <c r="V574" s="470"/>
      <c r="W574" s="315"/>
    </row>
    <row r="575" spans="1:23" x14ac:dyDescent="0.2">
      <c r="A575" s="611"/>
      <c r="B575" s="415" t="s">
        <v>57</v>
      </c>
      <c r="C575" s="410">
        <f>(C572-C571)/C571</f>
        <v>1.8963537267816695E-2</v>
      </c>
      <c r="D575" s="336"/>
      <c r="E575" s="336">
        <f>(E572-E571)/E571</f>
        <v>6.8258581415442637E-2</v>
      </c>
      <c r="F575" s="336">
        <f>(F572-F571)/F571</f>
        <v>6.3128961177619819E-2</v>
      </c>
      <c r="G575" s="336">
        <f>(G572-G571)/G571</f>
        <v>0.16914262873892483</v>
      </c>
      <c r="H575" s="336"/>
      <c r="I575" s="336"/>
      <c r="J575" s="338"/>
      <c r="K575" s="433"/>
      <c r="L575" s="336">
        <f>(L572-L571)/L571</f>
        <v>0.16023003923763862</v>
      </c>
      <c r="M575" s="465">
        <f>(M572-M571)/M571</f>
        <v>7.1156266078191907E-2</v>
      </c>
      <c r="N575" s="466">
        <f>(N572-N571)/N571</f>
        <v>6.119691712469684E-2</v>
      </c>
      <c r="O575" s="444"/>
      <c r="P575" s="340"/>
      <c r="Q575" s="341"/>
      <c r="R575" s="336">
        <f>(R572-R571)/R571</f>
        <v>0.11033840568606421</v>
      </c>
      <c r="S575" s="470"/>
      <c r="T575" s="339"/>
      <c r="U575" s="340"/>
      <c r="V575" s="470"/>
      <c r="W575" s="315"/>
    </row>
    <row r="576" spans="1:23" ht="13.3" thickBot="1" x14ac:dyDescent="0.25">
      <c r="A576" s="611"/>
      <c r="B576" s="418" t="s">
        <v>58</v>
      </c>
      <c r="C576" s="411">
        <f>C573/C567-1</f>
        <v>6.4935064935065512E-3</v>
      </c>
      <c r="D576" s="353"/>
      <c r="E576" s="353">
        <f>E573/E567-1</f>
        <v>6.1728395061726449E-3</v>
      </c>
      <c r="F576" s="353">
        <f>F573/F567-1</f>
        <v>5.8139534883721034E-3</v>
      </c>
      <c r="G576" s="353">
        <f>G573/G567-1</f>
        <v>5.1546391752577136E-3</v>
      </c>
      <c r="H576" s="353"/>
      <c r="I576" s="353"/>
      <c r="J576" s="355"/>
      <c r="K576" s="434"/>
      <c r="L576" s="353">
        <f>L573/L567-1</f>
        <v>4.9504950495049549E-3</v>
      </c>
      <c r="M576" s="467">
        <f>M573/M567-1</f>
        <v>5.8139534883721034E-3</v>
      </c>
      <c r="N576" s="292">
        <f>N573/N567-1</f>
        <v>5.8139534883721034E-3</v>
      </c>
      <c r="O576" s="445"/>
      <c r="P576" s="357"/>
      <c r="Q576" s="358"/>
      <c r="R576" s="353">
        <f>R573/R567-1</f>
        <v>5.3191489361701372E-3</v>
      </c>
      <c r="S576" s="471"/>
      <c r="T576" s="356"/>
      <c r="U576" s="357"/>
      <c r="V576" s="471"/>
      <c r="W576" s="359"/>
    </row>
    <row r="577" spans="1:23" x14ac:dyDescent="0.2">
      <c r="A577" s="611">
        <v>43828</v>
      </c>
      <c r="B577" s="419" t="s">
        <v>53</v>
      </c>
      <c r="C577" s="408">
        <v>1656.21</v>
      </c>
      <c r="D577" s="347"/>
      <c r="E577" s="346">
        <v>1664.99</v>
      </c>
      <c r="F577" s="346">
        <v>1770.84</v>
      </c>
      <c r="G577" s="346">
        <v>1810.4</v>
      </c>
      <c r="H577" s="347"/>
      <c r="I577" s="347"/>
      <c r="J577" s="290"/>
      <c r="K577" s="431"/>
      <c r="L577" s="346">
        <v>1902.77</v>
      </c>
      <c r="M577" s="256">
        <v>1622.36</v>
      </c>
      <c r="N577" s="462">
        <v>1637.58</v>
      </c>
      <c r="O577" s="442"/>
      <c r="P577" s="348"/>
      <c r="Q577" s="349"/>
      <c r="R577" s="346">
        <v>1705.59</v>
      </c>
      <c r="S577" s="346"/>
      <c r="T577" s="290"/>
      <c r="U577" s="348"/>
      <c r="V577" s="347"/>
      <c r="W577" s="346">
        <v>1269.06</v>
      </c>
    </row>
    <row r="578" spans="1:23" x14ac:dyDescent="0.2">
      <c r="A578" s="611"/>
      <c r="B578" s="415" t="s">
        <v>54</v>
      </c>
      <c r="C578" s="409">
        <v>1690</v>
      </c>
      <c r="D578" s="249"/>
      <c r="E578" s="250">
        <v>1781</v>
      </c>
      <c r="F578" s="250">
        <v>1885</v>
      </c>
      <c r="G578" s="250">
        <v>2119</v>
      </c>
      <c r="H578" s="249"/>
      <c r="I578" s="249"/>
      <c r="J578" s="330"/>
      <c r="K578" s="432"/>
      <c r="L578" s="250">
        <v>2210</v>
      </c>
      <c r="M578" s="463">
        <v>1740</v>
      </c>
      <c r="N578" s="464">
        <v>1740</v>
      </c>
      <c r="O578" s="446"/>
      <c r="P578" s="331"/>
      <c r="Q578" s="332"/>
      <c r="R578" s="250">
        <v>1896</v>
      </c>
      <c r="S578" s="496"/>
      <c r="T578" s="330"/>
      <c r="U578" s="334"/>
      <c r="V578" s="469"/>
      <c r="W578" s="315"/>
    </row>
    <row r="579" spans="1:23" x14ac:dyDescent="0.2">
      <c r="A579" s="611"/>
      <c r="B579" s="415" t="s">
        <v>55</v>
      </c>
      <c r="C579" s="409">
        <v>1.56</v>
      </c>
      <c r="D579" s="249"/>
      <c r="E579" s="250">
        <v>1.64</v>
      </c>
      <c r="F579" s="250">
        <v>1.74</v>
      </c>
      <c r="G579" s="250">
        <v>1.96</v>
      </c>
      <c r="H579" s="249"/>
      <c r="I579" s="249"/>
      <c r="J579" s="330"/>
      <c r="K579" s="432"/>
      <c r="L579" s="250">
        <v>2.04</v>
      </c>
      <c r="M579" s="463">
        <v>1.74</v>
      </c>
      <c r="N579" s="464">
        <v>1.74</v>
      </c>
      <c r="O579" s="443"/>
      <c r="P579" s="334"/>
      <c r="Q579" s="335"/>
      <c r="R579" s="250">
        <v>1.9</v>
      </c>
      <c r="S579" s="469"/>
      <c r="T579" s="333"/>
      <c r="U579" s="334"/>
      <c r="V579" s="497"/>
      <c r="W579" s="315"/>
    </row>
    <row r="580" spans="1:23" x14ac:dyDescent="0.2">
      <c r="A580" s="611"/>
      <c r="B580" s="415" t="s">
        <v>56</v>
      </c>
      <c r="C580" s="410">
        <f>(C578-C577)/C578</f>
        <v>1.9994082840236665E-2</v>
      </c>
      <c r="D580" s="336"/>
      <c r="E580" s="336">
        <f>(E578-E577)/E578</f>
        <v>6.513756316676024E-2</v>
      </c>
      <c r="F580" s="336">
        <f>(F578-F577)/F578</f>
        <v>6.0562334217506675E-2</v>
      </c>
      <c r="G580" s="336">
        <f>(G578-G577)/G578</f>
        <v>0.14563473336479468</v>
      </c>
      <c r="H580" s="336"/>
      <c r="I580" s="336"/>
      <c r="J580" s="338"/>
      <c r="K580" s="433"/>
      <c r="L580" s="336">
        <f>(L578-L577)/L578</f>
        <v>0.13901809954751132</v>
      </c>
      <c r="M580" s="465">
        <f>(M578-M577)/M578</f>
        <v>6.7609195402298913E-2</v>
      </c>
      <c r="N580" s="466">
        <f>(N578-N577)/N578</f>
        <v>5.8862068965517281E-2</v>
      </c>
      <c r="O580" s="444"/>
      <c r="P580" s="340"/>
      <c r="Q580" s="341"/>
      <c r="R580" s="336">
        <f>(R578-R577)/R578</f>
        <v>0.10042721518987346</v>
      </c>
      <c r="S580" s="470"/>
      <c r="T580" s="339"/>
      <c r="U580" s="340"/>
      <c r="V580" s="470"/>
      <c r="W580" s="315"/>
    </row>
    <row r="581" spans="1:23" x14ac:dyDescent="0.2">
      <c r="A581" s="611"/>
      <c r="B581" s="415" t="s">
        <v>57</v>
      </c>
      <c r="C581" s="410">
        <f>(C578-C577)/C577</f>
        <v>2.0402002161561614E-2</v>
      </c>
      <c r="D581" s="336"/>
      <c r="E581" s="336">
        <f>(E578-E577)/E577</f>
        <v>6.9676094150715615E-2</v>
      </c>
      <c r="F581" s="336">
        <f>(F578-F577)/F577</f>
        <v>6.4466580831695736E-2</v>
      </c>
      <c r="G581" s="336">
        <f>(G578-G577)/G577</f>
        <v>0.17045956694653108</v>
      </c>
      <c r="H581" s="336"/>
      <c r="I581" s="336"/>
      <c r="J581" s="338"/>
      <c r="K581" s="433"/>
      <c r="L581" s="336">
        <f>(L578-L577)/L577</f>
        <v>0.16146460160713066</v>
      </c>
      <c r="M581" s="465">
        <f>(M578-M577)/M577</f>
        <v>7.2511649695505373E-2</v>
      </c>
      <c r="N581" s="466">
        <f>(N578-N577)/N577</f>
        <v>6.2543509324735333E-2</v>
      </c>
      <c r="O581" s="444"/>
      <c r="P581" s="340"/>
      <c r="Q581" s="341"/>
      <c r="R581" s="336">
        <f>(R578-R577)/R577</f>
        <v>0.11163878775086632</v>
      </c>
      <c r="S581" s="470"/>
      <c r="T581" s="339"/>
      <c r="U581" s="340"/>
      <c r="V581" s="470"/>
      <c r="W581" s="315"/>
    </row>
    <row r="582" spans="1:23" ht="13.3" thickBot="1" x14ac:dyDescent="0.25">
      <c r="A582" s="611"/>
      <c r="B582" s="418" t="s">
        <v>58</v>
      </c>
      <c r="C582" s="411">
        <f>C579/C573-1</f>
        <v>6.4516129032257119E-3</v>
      </c>
      <c r="D582" s="353"/>
      <c r="E582" s="353">
        <f>E579/E573-1</f>
        <v>6.1349693251533388E-3</v>
      </c>
      <c r="F582" s="353">
        <f>F579/F573-1</f>
        <v>5.7803468208093012E-3</v>
      </c>
      <c r="G582" s="353">
        <f>G579/G573-1</f>
        <v>5.12820512820511E-3</v>
      </c>
      <c r="H582" s="353"/>
      <c r="I582" s="353"/>
      <c r="J582" s="355"/>
      <c r="K582" s="434"/>
      <c r="L582" s="353">
        <f>L579/L573-1</f>
        <v>4.9261083743843415E-3</v>
      </c>
      <c r="M582" s="467">
        <f>M579/M573-1</f>
        <v>5.7803468208093012E-3</v>
      </c>
      <c r="N582" s="292">
        <f>N579/N573-1</f>
        <v>5.7803468208093012E-3</v>
      </c>
      <c r="O582" s="445"/>
      <c r="P582" s="357"/>
      <c r="Q582" s="358"/>
      <c r="R582" s="353">
        <f>R579/R573-1</f>
        <v>5.2910052910053462E-3</v>
      </c>
      <c r="S582" s="471"/>
      <c r="T582" s="356"/>
      <c r="U582" s="357"/>
      <c r="V582" s="471"/>
      <c r="W582" s="359"/>
    </row>
    <row r="583" spans="1:23" x14ac:dyDescent="0.2">
      <c r="A583" s="611">
        <v>43835</v>
      </c>
      <c r="B583" s="419" t="s">
        <v>53</v>
      </c>
      <c r="C583" s="408">
        <v>1666.63</v>
      </c>
      <c r="D583" s="347"/>
      <c r="E583" s="346">
        <v>1674.95</v>
      </c>
      <c r="F583" s="346">
        <v>1780.84</v>
      </c>
      <c r="G583" s="346">
        <v>1819.48</v>
      </c>
      <c r="H583" s="347"/>
      <c r="I583" s="347"/>
      <c r="J583" s="290"/>
      <c r="K583" s="431"/>
      <c r="L583" s="346">
        <v>1911.95</v>
      </c>
      <c r="M583" s="256">
        <v>1631.51</v>
      </c>
      <c r="N583" s="462">
        <v>1646.81</v>
      </c>
      <c r="O583" s="442"/>
      <c r="P583" s="348"/>
      <c r="Q583" s="349"/>
      <c r="R583" s="346">
        <v>1714.4</v>
      </c>
      <c r="S583" s="346"/>
      <c r="T583" s="290"/>
      <c r="U583" s="348"/>
      <c r="V583" s="347"/>
      <c r="W583" s="346">
        <v>1269.06</v>
      </c>
    </row>
    <row r="584" spans="1:23" x14ac:dyDescent="0.2">
      <c r="A584" s="611"/>
      <c r="B584" s="415" t="s">
        <v>54</v>
      </c>
      <c r="C584" s="409">
        <v>1703</v>
      </c>
      <c r="D584" s="249"/>
      <c r="E584" s="250">
        <v>1781</v>
      </c>
      <c r="F584" s="250">
        <v>1898</v>
      </c>
      <c r="G584" s="250">
        <v>2132</v>
      </c>
      <c r="H584" s="249"/>
      <c r="I584" s="249"/>
      <c r="J584" s="330"/>
      <c r="K584" s="432"/>
      <c r="L584" s="250">
        <v>2223</v>
      </c>
      <c r="M584" s="463">
        <v>1752</v>
      </c>
      <c r="N584" s="464">
        <v>1752</v>
      </c>
      <c r="O584" s="446"/>
      <c r="P584" s="331"/>
      <c r="Q584" s="332"/>
      <c r="R584" s="250">
        <v>1908</v>
      </c>
      <c r="S584" s="496"/>
      <c r="T584" s="330"/>
      <c r="U584" s="334"/>
      <c r="V584" s="469"/>
      <c r="W584" s="315"/>
    </row>
    <row r="585" spans="1:23" x14ac:dyDescent="0.2">
      <c r="A585" s="611"/>
      <c r="B585" s="415" t="s">
        <v>55</v>
      </c>
      <c r="C585" s="409">
        <v>1.57</v>
      </c>
      <c r="D585" s="249"/>
      <c r="E585" s="250">
        <v>1.65</v>
      </c>
      <c r="F585" s="250">
        <v>1.75</v>
      </c>
      <c r="G585" s="250">
        <v>1.97</v>
      </c>
      <c r="H585" s="249"/>
      <c r="I585" s="249"/>
      <c r="J585" s="330"/>
      <c r="K585" s="432"/>
      <c r="L585" s="250">
        <v>2.0499999999999998</v>
      </c>
      <c r="M585" s="463">
        <v>1.75</v>
      </c>
      <c r="N585" s="464">
        <v>1.75</v>
      </c>
      <c r="O585" s="443"/>
      <c r="P585" s="334"/>
      <c r="Q585" s="335"/>
      <c r="R585" s="250">
        <v>1.91</v>
      </c>
      <c r="S585" s="469"/>
      <c r="T585" s="333"/>
      <c r="U585" s="334"/>
      <c r="V585" s="497"/>
      <c r="W585" s="315"/>
    </row>
    <row r="586" spans="1:23" x14ac:dyDescent="0.2">
      <c r="A586" s="611"/>
      <c r="B586" s="415" t="s">
        <v>56</v>
      </c>
      <c r="C586" s="410">
        <f>(C584-C583)/C584</f>
        <v>2.1356429829712208E-2</v>
      </c>
      <c r="D586" s="336"/>
      <c r="E586" s="336">
        <f>(E584-E583)/E584</f>
        <v>5.9545199326221196E-2</v>
      </c>
      <c r="F586" s="336">
        <f>(F584-F583)/F584</f>
        <v>6.1728134878819854E-2</v>
      </c>
      <c r="G586" s="336">
        <f>(G584-G583)/G584</f>
        <v>0.14658536585365853</v>
      </c>
      <c r="H586" s="336"/>
      <c r="I586" s="336"/>
      <c r="J586" s="338"/>
      <c r="K586" s="433"/>
      <c r="L586" s="336">
        <f>(L584-L583)/L584</f>
        <v>0.13992352676563199</v>
      </c>
      <c r="M586" s="465">
        <f>(M584-M583)/M584</f>
        <v>6.8772831050228314E-2</v>
      </c>
      <c r="N586" s="466">
        <f>(N584-N583)/N584</f>
        <v>6.0039954337899576E-2</v>
      </c>
      <c r="O586" s="444"/>
      <c r="P586" s="340"/>
      <c r="Q586" s="341"/>
      <c r="R586" s="336">
        <f>(R584-R583)/R584</f>
        <v>0.10146750524109011</v>
      </c>
      <c r="S586" s="470"/>
      <c r="T586" s="339"/>
      <c r="U586" s="340"/>
      <c r="V586" s="470"/>
      <c r="W586" s="315"/>
    </row>
    <row r="587" spans="1:23" x14ac:dyDescent="0.2">
      <c r="A587" s="611"/>
      <c r="B587" s="415" t="s">
        <v>57</v>
      </c>
      <c r="C587" s="410">
        <f>(C584-C583)/C583</f>
        <v>2.1822480094562013E-2</v>
      </c>
      <c r="D587" s="336"/>
      <c r="E587" s="336">
        <f>(E584-E583)/E583</f>
        <v>6.3315322845458044E-2</v>
      </c>
      <c r="F587" s="336">
        <f>(F584-F583)/F583</f>
        <v>6.5789178140652771E-2</v>
      </c>
      <c r="G587" s="336">
        <f>(G584-G583)/G583</f>
        <v>0.17176336096027436</v>
      </c>
      <c r="H587" s="336"/>
      <c r="I587" s="336"/>
      <c r="J587" s="338"/>
      <c r="K587" s="433"/>
      <c r="L587" s="336">
        <f>(L584-L583)/L583</f>
        <v>0.16268730876853471</v>
      </c>
      <c r="M587" s="465">
        <f>(M584-M583)/M583</f>
        <v>7.3851830512837807E-2</v>
      </c>
      <c r="N587" s="466">
        <f>(N584-N583)/N583</f>
        <v>6.3875006831389206E-2</v>
      </c>
      <c r="O587" s="444"/>
      <c r="P587" s="340"/>
      <c r="Q587" s="341"/>
      <c r="R587" s="336">
        <f>(R584-R583)/R583</f>
        <v>0.11292580494633685</v>
      </c>
      <c r="S587" s="470"/>
      <c r="T587" s="339"/>
      <c r="U587" s="340"/>
      <c r="V587" s="470"/>
      <c r="W587" s="315"/>
    </row>
    <row r="588" spans="1:23" ht="13.3" thickBot="1" x14ac:dyDescent="0.25">
      <c r="A588" s="611"/>
      <c r="B588" s="418" t="s">
        <v>58</v>
      </c>
      <c r="C588" s="411">
        <f>C585/C579-1</f>
        <v>6.4102564102563875E-3</v>
      </c>
      <c r="D588" s="353"/>
      <c r="E588" s="353">
        <f>E585/E579-1</f>
        <v>6.0975609756097615E-3</v>
      </c>
      <c r="F588" s="353">
        <f>F585/F579-1</f>
        <v>5.7471264367816577E-3</v>
      </c>
      <c r="G588" s="353">
        <f>G585/G579-1</f>
        <v>5.1020408163264808E-3</v>
      </c>
      <c r="H588" s="353"/>
      <c r="I588" s="353"/>
      <c r="J588" s="355"/>
      <c r="K588" s="434"/>
      <c r="L588" s="353">
        <f>L585/L579-1</f>
        <v>4.9019607843137081E-3</v>
      </c>
      <c r="M588" s="467">
        <f>M585/M579-1</f>
        <v>5.7471264367816577E-3</v>
      </c>
      <c r="N588" s="292">
        <f>N585/N579-1</f>
        <v>5.7471264367816577E-3</v>
      </c>
      <c r="O588" s="445"/>
      <c r="P588" s="357"/>
      <c r="Q588" s="358"/>
      <c r="R588" s="353">
        <f>R585/R579-1</f>
        <v>5.2631578947368585E-3</v>
      </c>
      <c r="S588" s="471"/>
      <c r="T588" s="356"/>
      <c r="U588" s="357"/>
      <c r="V588" s="471"/>
      <c r="W588" s="359"/>
    </row>
    <row r="589" spans="1:23" x14ac:dyDescent="0.2">
      <c r="A589" s="611">
        <v>43842</v>
      </c>
      <c r="B589" s="419" t="s">
        <v>53</v>
      </c>
      <c r="C589" s="408">
        <v>1677.05</v>
      </c>
      <c r="D589" s="347"/>
      <c r="E589" s="346">
        <v>1684.91</v>
      </c>
      <c r="F589" s="346">
        <v>1790.84</v>
      </c>
      <c r="G589" s="346">
        <v>1828.56</v>
      </c>
      <c r="H589" s="347"/>
      <c r="I589" s="347"/>
      <c r="J589" s="290"/>
      <c r="K589" s="431"/>
      <c r="L589" s="346">
        <v>1921.13</v>
      </c>
      <c r="M589" s="256">
        <v>1640.66</v>
      </c>
      <c r="N589" s="462">
        <v>1656.04</v>
      </c>
      <c r="O589" s="442"/>
      <c r="P589" s="348"/>
      <c r="Q589" s="349"/>
      <c r="R589" s="346">
        <v>1714.4</v>
      </c>
      <c r="S589" s="346"/>
      <c r="T589" s="290"/>
      <c r="U589" s="348"/>
      <c r="V589" s="347"/>
      <c r="W589" s="346">
        <v>1269.06</v>
      </c>
    </row>
    <row r="590" spans="1:23" x14ac:dyDescent="0.2">
      <c r="A590" s="611"/>
      <c r="B590" s="415" t="s">
        <v>54</v>
      </c>
      <c r="C590" s="409">
        <v>1716</v>
      </c>
      <c r="D590" s="249"/>
      <c r="E590" s="250">
        <v>1794</v>
      </c>
      <c r="F590" s="250">
        <v>1911</v>
      </c>
      <c r="G590" s="250">
        <v>2145</v>
      </c>
      <c r="H590" s="249"/>
      <c r="I590" s="249"/>
      <c r="J590" s="330"/>
      <c r="K590" s="432"/>
      <c r="L590" s="250">
        <v>2236</v>
      </c>
      <c r="M590" s="463">
        <v>1764</v>
      </c>
      <c r="N590" s="464">
        <v>1764</v>
      </c>
      <c r="O590" s="446"/>
      <c r="P590" s="331"/>
      <c r="Q590" s="332"/>
      <c r="R590" s="250">
        <v>1920</v>
      </c>
      <c r="S590" s="496"/>
      <c r="T590" s="330"/>
      <c r="U590" s="334"/>
      <c r="V590" s="469"/>
      <c r="W590" s="315"/>
    </row>
    <row r="591" spans="1:23" x14ac:dyDescent="0.2">
      <c r="A591" s="611"/>
      <c r="B591" s="415" t="s">
        <v>55</v>
      </c>
      <c r="C591" s="409">
        <v>1.58</v>
      </c>
      <c r="D591" s="249"/>
      <c r="E591" s="250">
        <v>1.66</v>
      </c>
      <c r="F591" s="250">
        <v>1.76</v>
      </c>
      <c r="G591" s="250">
        <v>1.98</v>
      </c>
      <c r="H591" s="249"/>
      <c r="I591" s="249"/>
      <c r="J591" s="330"/>
      <c r="K591" s="432"/>
      <c r="L591" s="250">
        <v>2.06</v>
      </c>
      <c r="M591" s="463">
        <v>1.76</v>
      </c>
      <c r="N591" s="464">
        <v>1.76</v>
      </c>
      <c r="O591" s="443"/>
      <c r="P591" s="334"/>
      <c r="Q591" s="335"/>
      <c r="R591" s="250">
        <v>1.92</v>
      </c>
      <c r="S591" s="469"/>
      <c r="T591" s="333"/>
      <c r="U591" s="334"/>
      <c r="V591" s="497"/>
      <c r="W591" s="315"/>
    </row>
    <row r="592" spans="1:23" x14ac:dyDescent="0.2">
      <c r="A592" s="611"/>
      <c r="B592" s="415" t="s">
        <v>56</v>
      </c>
      <c r="C592" s="410">
        <f>(C590-C589)/C590</f>
        <v>2.2698135198135225E-2</v>
      </c>
      <c r="D592" s="336"/>
      <c r="E592" s="336">
        <f>(E590-E589)/E590</f>
        <v>6.0808249721293152E-2</v>
      </c>
      <c r="F592" s="336">
        <f>(F590-F589)/F590</f>
        <v>6.2878074306645784E-2</v>
      </c>
      <c r="G592" s="336">
        <f>(G590-G589)/G590</f>
        <v>0.14752447552447556</v>
      </c>
      <c r="H592" s="336"/>
      <c r="I592" s="336"/>
      <c r="J592" s="338"/>
      <c r="K592" s="433"/>
      <c r="L592" s="336">
        <f>(L590-L589)/L590</f>
        <v>0.14081842576028616</v>
      </c>
      <c r="M592" s="465">
        <f>(M590-M589)/M590</f>
        <v>6.9920634920634869E-2</v>
      </c>
      <c r="N592" s="466">
        <f>(N590-N589)/N590</f>
        <v>6.1201814058956937E-2</v>
      </c>
      <c r="O592" s="444"/>
      <c r="P592" s="340"/>
      <c r="Q592" s="341"/>
      <c r="R592" s="336">
        <f>(R590-R589)/R590</f>
        <v>0.10708333333333328</v>
      </c>
      <c r="S592" s="470"/>
      <c r="T592" s="339"/>
      <c r="U592" s="340"/>
      <c r="V592" s="470"/>
      <c r="W592" s="315"/>
    </row>
    <row r="593" spans="1:23" x14ac:dyDescent="0.2">
      <c r="A593" s="611"/>
      <c r="B593" s="415" t="s">
        <v>57</v>
      </c>
      <c r="C593" s="410">
        <f>(C590-C589)/C589</f>
        <v>2.322530634149253E-2</v>
      </c>
      <c r="D593" s="336"/>
      <c r="E593" s="336">
        <f>(E590-E589)/E589</f>
        <v>6.4745297968437435E-2</v>
      </c>
      <c r="F593" s="336">
        <f>(F590-F589)/F589</f>
        <v>6.7097004757544002E-2</v>
      </c>
      <c r="G593" s="336">
        <f>(G590-G589)/G589</f>
        <v>0.17305420658879123</v>
      </c>
      <c r="H593" s="336"/>
      <c r="I593" s="336"/>
      <c r="J593" s="338"/>
      <c r="K593" s="433"/>
      <c r="L593" s="336">
        <f>(L590-L589)/L589</f>
        <v>0.1638983306699702</v>
      </c>
      <c r="M593" s="465">
        <f>(M590-M589)/M589</f>
        <v>7.5177062889324978E-2</v>
      </c>
      <c r="N593" s="466">
        <f>(N590-N589)/N589</f>
        <v>6.5191662037148879E-2</v>
      </c>
      <c r="O593" s="444"/>
      <c r="P593" s="340"/>
      <c r="Q593" s="341"/>
      <c r="R593" s="336">
        <f>(R590-R589)/R589</f>
        <v>0.11992533831077923</v>
      </c>
      <c r="S593" s="470"/>
      <c r="T593" s="339"/>
      <c r="U593" s="340"/>
      <c r="V593" s="470"/>
      <c r="W593" s="315"/>
    </row>
    <row r="594" spans="1:23" ht="13.3" thickBot="1" x14ac:dyDescent="0.25">
      <c r="A594" s="611"/>
      <c r="B594" s="418" t="s">
        <v>58</v>
      </c>
      <c r="C594" s="411">
        <f>C591/C585-1</f>
        <v>6.3694267515923553E-3</v>
      </c>
      <c r="D594" s="353"/>
      <c r="E594" s="353">
        <f>E591/E585-1</f>
        <v>6.0606060606060996E-3</v>
      </c>
      <c r="F594" s="353">
        <f>F591/F585-1</f>
        <v>5.7142857142857828E-3</v>
      </c>
      <c r="G594" s="353">
        <f>G591/G585-1</f>
        <v>5.0761421319795996E-3</v>
      </c>
      <c r="H594" s="353"/>
      <c r="I594" s="353"/>
      <c r="J594" s="355"/>
      <c r="K594" s="434"/>
      <c r="L594" s="353">
        <f>L591/L585-1</f>
        <v>4.8780487804878092E-3</v>
      </c>
      <c r="M594" s="467">
        <f>M591/M585-1</f>
        <v>5.7142857142857828E-3</v>
      </c>
      <c r="N594" s="292">
        <f>N591/N585-1</f>
        <v>5.7142857142857828E-3</v>
      </c>
      <c r="O594" s="445"/>
      <c r="P594" s="357"/>
      <c r="Q594" s="358"/>
      <c r="R594" s="353">
        <f>R591/R585-1</f>
        <v>5.2356020942407877E-3</v>
      </c>
      <c r="S594" s="471"/>
      <c r="T594" s="356"/>
      <c r="U594" s="357"/>
      <c r="V594" s="471"/>
      <c r="W594" s="359"/>
    </row>
    <row r="595" spans="1:23" x14ac:dyDescent="0.2">
      <c r="A595" s="611">
        <v>43849</v>
      </c>
      <c r="B595" s="419" t="s">
        <v>53</v>
      </c>
      <c r="C595" s="408">
        <v>1687.47</v>
      </c>
      <c r="D595" s="347"/>
      <c r="E595" s="346">
        <v>1694.87</v>
      </c>
      <c r="F595" s="346">
        <v>1800.84</v>
      </c>
      <c r="G595" s="346">
        <v>1827.64</v>
      </c>
      <c r="H595" s="347"/>
      <c r="I595" s="347"/>
      <c r="J595" s="290"/>
      <c r="K595" s="431"/>
      <c r="L595" s="346">
        <v>1930.31</v>
      </c>
      <c r="M595" s="256">
        <v>1649.81</v>
      </c>
      <c r="N595" s="462">
        <v>1665.27</v>
      </c>
      <c r="O595" s="442"/>
      <c r="P595" s="348"/>
      <c r="Q595" s="349"/>
      <c r="R595" s="346">
        <v>1732.02</v>
      </c>
      <c r="S595" s="346"/>
      <c r="T595" s="290"/>
      <c r="U595" s="348"/>
      <c r="V595" s="347"/>
      <c r="W595" s="346">
        <v>1269.06</v>
      </c>
    </row>
    <row r="596" spans="1:23" x14ac:dyDescent="0.2">
      <c r="A596" s="611"/>
      <c r="B596" s="415" t="s">
        <v>54</v>
      </c>
      <c r="C596" s="409">
        <v>1716</v>
      </c>
      <c r="D596" s="249"/>
      <c r="E596" s="250">
        <v>1807</v>
      </c>
      <c r="F596" s="250">
        <v>1911</v>
      </c>
      <c r="G596" s="250">
        <v>2158</v>
      </c>
      <c r="H596" s="249"/>
      <c r="I596" s="249"/>
      <c r="J596" s="330"/>
      <c r="K596" s="432"/>
      <c r="L596" s="250">
        <v>2236</v>
      </c>
      <c r="M596" s="463">
        <v>1764</v>
      </c>
      <c r="N596" s="464">
        <v>1764</v>
      </c>
      <c r="O596" s="446"/>
      <c r="P596" s="331"/>
      <c r="Q596" s="332"/>
      <c r="R596" s="250">
        <v>1932</v>
      </c>
      <c r="S596" s="496"/>
      <c r="T596" s="330"/>
      <c r="U596" s="334"/>
      <c r="V596" s="469"/>
      <c r="W596" s="315"/>
    </row>
    <row r="597" spans="1:23" x14ac:dyDescent="0.2">
      <c r="A597" s="611"/>
      <c r="B597" s="415" t="s">
        <v>55</v>
      </c>
      <c r="C597" s="409">
        <v>1.59</v>
      </c>
      <c r="D597" s="249"/>
      <c r="E597" s="250">
        <v>1.67</v>
      </c>
      <c r="F597" s="250">
        <v>1.77</v>
      </c>
      <c r="G597" s="250">
        <v>1.99</v>
      </c>
      <c r="H597" s="249"/>
      <c r="I597" s="249"/>
      <c r="J597" s="330"/>
      <c r="K597" s="432"/>
      <c r="L597" s="250">
        <v>2.0699999999999998</v>
      </c>
      <c r="M597" s="463">
        <v>1.77</v>
      </c>
      <c r="N597" s="464">
        <v>1.77</v>
      </c>
      <c r="O597" s="443"/>
      <c r="P597" s="334"/>
      <c r="Q597" s="335"/>
      <c r="R597" s="250">
        <v>1.93</v>
      </c>
      <c r="S597" s="469"/>
      <c r="T597" s="333"/>
      <c r="U597" s="334"/>
      <c r="V597" s="497"/>
      <c r="W597" s="315"/>
    </row>
    <row r="598" spans="1:23" x14ac:dyDescent="0.2">
      <c r="A598" s="611"/>
      <c r="B598" s="415" t="s">
        <v>56</v>
      </c>
      <c r="C598" s="410">
        <f>(C596-C595)/C596</f>
        <v>1.6625874125874109E-2</v>
      </c>
      <c r="D598" s="336"/>
      <c r="E598" s="336">
        <f>(E596-E595)/E596</f>
        <v>6.2053126729385781E-2</v>
      </c>
      <c r="F598" s="336">
        <f>(F596-F595)/F596</f>
        <v>5.7645211930926261E-2</v>
      </c>
      <c r="G598" s="336">
        <f>(G596-G595)/G596</f>
        <v>0.15308619091751619</v>
      </c>
      <c r="H598" s="336"/>
      <c r="I598" s="336"/>
      <c r="J598" s="338"/>
      <c r="K598" s="433"/>
      <c r="L598" s="336">
        <f>(L596-L595)/L596</f>
        <v>0.13671288014311272</v>
      </c>
      <c r="M598" s="465">
        <f>(M596-M595)/M596</f>
        <v>6.4733560090702982E-2</v>
      </c>
      <c r="N598" s="466">
        <f>(N596-N595)/N596</f>
        <v>5.5969387755102053E-2</v>
      </c>
      <c r="O598" s="444"/>
      <c r="P598" s="340"/>
      <c r="Q598" s="341"/>
      <c r="R598" s="336">
        <f>(R596-R595)/R596</f>
        <v>0.10350931677018635</v>
      </c>
      <c r="S598" s="470"/>
      <c r="T598" s="339"/>
      <c r="U598" s="340"/>
      <c r="V598" s="470"/>
      <c r="W598" s="315"/>
    </row>
    <row r="599" spans="1:23" x14ac:dyDescent="0.2">
      <c r="A599" s="611"/>
      <c r="B599" s="415" t="s">
        <v>57</v>
      </c>
      <c r="C599" s="410">
        <f>(C596-C595)/C595</f>
        <v>1.690696723497305E-2</v>
      </c>
      <c r="D599" s="336"/>
      <c r="E599" s="336">
        <f>(E596-E595)/E595</f>
        <v>6.6158466431053775E-2</v>
      </c>
      <c r="F599" s="336">
        <f>(F596-F595)/F595</f>
        <v>6.1171453321783219E-2</v>
      </c>
      <c r="G599" s="336">
        <f>(G596-G595)/G595</f>
        <v>0.18075769845264925</v>
      </c>
      <c r="H599" s="336"/>
      <c r="I599" s="336"/>
      <c r="J599" s="338"/>
      <c r="K599" s="433"/>
      <c r="L599" s="336">
        <f>(L596-L595)/L595</f>
        <v>0.15836316446581122</v>
      </c>
      <c r="M599" s="465">
        <f>(M596-M595)/M595</f>
        <v>6.9214030706566246E-2</v>
      </c>
      <c r="N599" s="466">
        <f>(N596-N595)/N595</f>
        <v>5.928768307841973E-2</v>
      </c>
      <c r="O599" s="444"/>
      <c r="P599" s="340"/>
      <c r="Q599" s="341"/>
      <c r="R599" s="336">
        <f>(R596-R595)/R595</f>
        <v>0.11546056050161085</v>
      </c>
      <c r="S599" s="470"/>
      <c r="T599" s="339"/>
      <c r="U599" s="340"/>
      <c r="V599" s="470"/>
      <c r="W599" s="315"/>
    </row>
    <row r="600" spans="1:23" ht="13.3" thickBot="1" x14ac:dyDescent="0.25">
      <c r="A600" s="611"/>
      <c r="B600" s="418" t="s">
        <v>58</v>
      </c>
      <c r="C600" s="411">
        <f>C597/C591-1</f>
        <v>6.3291139240506666E-3</v>
      </c>
      <c r="D600" s="353"/>
      <c r="E600" s="353">
        <f>E597/E591-1</f>
        <v>6.0240963855422436E-3</v>
      </c>
      <c r="F600" s="353">
        <f>F597/F591-1</f>
        <v>5.6818181818181213E-3</v>
      </c>
      <c r="G600" s="353">
        <f>G597/G591-1</f>
        <v>5.050505050504972E-3</v>
      </c>
      <c r="H600" s="353"/>
      <c r="I600" s="353"/>
      <c r="J600" s="355"/>
      <c r="K600" s="434"/>
      <c r="L600" s="353">
        <f>L597/L591-1</f>
        <v>4.8543689320388328E-3</v>
      </c>
      <c r="M600" s="467">
        <f>M597/M591-1</f>
        <v>5.6818181818181213E-3</v>
      </c>
      <c r="N600" s="292">
        <f>N597/N591-1</f>
        <v>5.6818181818181213E-3</v>
      </c>
      <c r="O600" s="445"/>
      <c r="P600" s="357"/>
      <c r="Q600" s="358"/>
      <c r="R600" s="353">
        <f>R597/R591-1</f>
        <v>5.2083333333332593E-3</v>
      </c>
      <c r="S600" s="471"/>
      <c r="T600" s="356"/>
      <c r="U600" s="357"/>
      <c r="V600" s="471"/>
      <c r="W600" s="359"/>
    </row>
    <row r="601" spans="1:23" x14ac:dyDescent="0.2">
      <c r="A601" s="611">
        <v>43856</v>
      </c>
      <c r="B601" s="419" t="s">
        <v>53</v>
      </c>
      <c r="C601" s="408">
        <v>1697.89</v>
      </c>
      <c r="D601" s="347"/>
      <c r="E601" s="346">
        <v>1704.83</v>
      </c>
      <c r="F601" s="346">
        <v>1810.84</v>
      </c>
      <c r="G601" s="346">
        <v>1846.72</v>
      </c>
      <c r="H601" s="347"/>
      <c r="I601" s="347"/>
      <c r="J601" s="290"/>
      <c r="K601" s="431"/>
      <c r="L601" s="346">
        <v>1939.49</v>
      </c>
      <c r="M601" s="256">
        <v>1658.96</v>
      </c>
      <c r="N601" s="462">
        <v>1674.5</v>
      </c>
      <c r="O601" s="442"/>
      <c r="P601" s="348"/>
      <c r="Q601" s="349"/>
      <c r="R601" s="346">
        <v>1740.83</v>
      </c>
      <c r="S601" s="346"/>
      <c r="T601" s="290"/>
      <c r="U601" s="348"/>
      <c r="V601" s="347"/>
      <c r="W601" s="346">
        <v>1269.06</v>
      </c>
    </row>
    <row r="602" spans="1:23" x14ac:dyDescent="0.2">
      <c r="A602" s="611"/>
      <c r="B602" s="415" t="s">
        <v>54</v>
      </c>
      <c r="C602" s="409">
        <v>1729</v>
      </c>
      <c r="D602" s="249"/>
      <c r="E602" s="250">
        <v>1820</v>
      </c>
      <c r="F602" s="250">
        <v>1924</v>
      </c>
      <c r="G602" s="250">
        <v>2171</v>
      </c>
      <c r="H602" s="249"/>
      <c r="I602" s="249"/>
      <c r="J602" s="330"/>
      <c r="K602" s="432"/>
      <c r="L602" s="250">
        <v>2249</v>
      </c>
      <c r="M602" s="463">
        <v>1776</v>
      </c>
      <c r="N602" s="464">
        <v>1776</v>
      </c>
      <c r="O602" s="446"/>
      <c r="P602" s="331"/>
      <c r="Q602" s="332"/>
      <c r="R602" s="250">
        <v>1944</v>
      </c>
      <c r="S602" s="496"/>
      <c r="T602" s="330"/>
      <c r="U602" s="334"/>
      <c r="V602" s="469"/>
      <c r="W602" s="315"/>
    </row>
    <row r="603" spans="1:23" x14ac:dyDescent="0.2">
      <c r="A603" s="611"/>
      <c r="B603" s="415" t="s">
        <v>55</v>
      </c>
      <c r="C603" s="409">
        <v>1.6</v>
      </c>
      <c r="D603" s="249"/>
      <c r="E603" s="250">
        <v>1.68</v>
      </c>
      <c r="F603" s="250">
        <v>1.78</v>
      </c>
      <c r="G603" s="250">
        <v>2</v>
      </c>
      <c r="H603" s="249"/>
      <c r="I603" s="249"/>
      <c r="J603" s="330"/>
      <c r="K603" s="432"/>
      <c r="L603" s="250">
        <v>2.08</v>
      </c>
      <c r="M603" s="463">
        <v>1.78</v>
      </c>
      <c r="N603" s="464">
        <v>1.78</v>
      </c>
      <c r="O603" s="443"/>
      <c r="P603" s="334"/>
      <c r="Q603" s="335"/>
      <c r="R603" s="250">
        <v>1.94</v>
      </c>
      <c r="S603" s="469"/>
      <c r="T603" s="333"/>
      <c r="U603" s="334"/>
      <c r="V603" s="497"/>
      <c r="W603" s="315"/>
    </row>
    <row r="604" spans="1:23" x14ac:dyDescent="0.2">
      <c r="A604" s="611"/>
      <c r="B604" s="415" t="s">
        <v>56</v>
      </c>
      <c r="C604" s="410">
        <f>(C602-C601)/C602</f>
        <v>1.7993059572006882E-2</v>
      </c>
      <c r="D604" s="336"/>
      <c r="E604" s="336">
        <f>(E602-E601)/E602</f>
        <v>6.3280219780219818E-2</v>
      </c>
      <c r="F604" s="336">
        <f>(F602-F601)/F602</f>
        <v>5.8814968814968858E-2</v>
      </c>
      <c r="G604" s="336">
        <f>(G602-G601)/G602</f>
        <v>0.1493689543988945</v>
      </c>
      <c r="H604" s="336"/>
      <c r="I604" s="336"/>
      <c r="J604" s="338"/>
      <c r="K604" s="433"/>
      <c r="L604" s="336">
        <f>(L602-L601)/L602</f>
        <v>0.13762116496220542</v>
      </c>
      <c r="M604" s="465">
        <f>(M602-M601)/M602</f>
        <v>6.590090090090088E-2</v>
      </c>
      <c r="N604" s="466">
        <f>(N602-N601)/N602</f>
        <v>5.71509009009009E-2</v>
      </c>
      <c r="O604" s="444"/>
      <c r="P604" s="340"/>
      <c r="Q604" s="341"/>
      <c r="R604" s="336">
        <f>(R602-R601)/R602</f>
        <v>0.10451131687242803</v>
      </c>
      <c r="S604" s="470"/>
      <c r="T604" s="339"/>
      <c r="U604" s="340"/>
      <c r="V604" s="470"/>
      <c r="W604" s="315"/>
    </row>
    <row r="605" spans="1:23" x14ac:dyDescent="0.2">
      <c r="A605" s="611"/>
      <c r="B605" s="415" t="s">
        <v>57</v>
      </c>
      <c r="C605" s="410">
        <f>(C602-C601)/C601</f>
        <v>1.8322741755944082E-2</v>
      </c>
      <c r="D605" s="336"/>
      <c r="E605" s="336">
        <f>(E602-E601)/E601</f>
        <v>6.7555122798167611E-2</v>
      </c>
      <c r="F605" s="336">
        <f>(F602-F601)/F601</f>
        <v>6.2490335976673854E-2</v>
      </c>
      <c r="G605" s="336">
        <f>(G602-G601)/G601</f>
        <v>0.17559781666955465</v>
      </c>
      <c r="H605" s="336"/>
      <c r="I605" s="336"/>
      <c r="J605" s="338"/>
      <c r="K605" s="433"/>
      <c r="L605" s="336">
        <f>(L602-L601)/L601</f>
        <v>0.15958318939515026</v>
      </c>
      <c r="M605" s="465">
        <f>(M602-M601)/M601</f>
        <v>7.0550224236871267E-2</v>
      </c>
      <c r="N605" s="466">
        <f>(N602-N601)/N601</f>
        <v>6.0615108987757536E-2</v>
      </c>
      <c r="O605" s="444"/>
      <c r="P605" s="340"/>
      <c r="Q605" s="341"/>
      <c r="R605" s="336">
        <f>(R602-R601)/R601</f>
        <v>0.11670869642641733</v>
      </c>
      <c r="S605" s="470"/>
      <c r="T605" s="339"/>
      <c r="U605" s="340"/>
      <c r="V605" s="470"/>
      <c r="W605" s="315"/>
    </row>
    <row r="606" spans="1:23" ht="13.3" thickBot="1" x14ac:dyDescent="0.25">
      <c r="A606" s="611"/>
      <c r="B606" s="418" t="s">
        <v>58</v>
      </c>
      <c r="C606" s="411">
        <f>C603/C597-1</f>
        <v>6.2893081761006275E-3</v>
      </c>
      <c r="D606" s="353"/>
      <c r="E606" s="353">
        <f>E603/E597-1</f>
        <v>5.9880239520957446E-3</v>
      </c>
      <c r="F606" s="353">
        <f>F603/F597-1</f>
        <v>5.6497175141243527E-3</v>
      </c>
      <c r="G606" s="353">
        <f>G603/G597-1</f>
        <v>5.0251256281406143E-3</v>
      </c>
      <c r="H606" s="353"/>
      <c r="I606" s="353"/>
      <c r="J606" s="355"/>
      <c r="K606" s="434"/>
      <c r="L606" s="353">
        <f>L603/L597-1</f>
        <v>4.8309178743961567E-3</v>
      </c>
      <c r="M606" s="467">
        <f>M603/M597-1</f>
        <v>5.6497175141243527E-3</v>
      </c>
      <c r="N606" s="292">
        <f>N603/N597-1</f>
        <v>5.6497175141243527E-3</v>
      </c>
      <c r="O606" s="445"/>
      <c r="P606" s="357"/>
      <c r="Q606" s="358"/>
      <c r="R606" s="353">
        <f>R603/R597-1</f>
        <v>5.1813471502590858E-3</v>
      </c>
      <c r="S606" s="471"/>
      <c r="T606" s="356"/>
      <c r="U606" s="357"/>
      <c r="V606" s="471"/>
      <c r="W606" s="359"/>
    </row>
    <row r="607" spans="1:23" x14ac:dyDescent="0.2">
      <c r="A607" s="611">
        <v>43863</v>
      </c>
      <c r="B607" s="419" t="s">
        <v>53</v>
      </c>
      <c r="C607" s="408">
        <v>1708.31</v>
      </c>
      <c r="D607" s="347"/>
      <c r="E607" s="346">
        <v>1714.79</v>
      </c>
      <c r="F607" s="346">
        <v>1820.84</v>
      </c>
      <c r="G607" s="346">
        <v>1855.8</v>
      </c>
      <c r="H607" s="347"/>
      <c r="I607" s="347"/>
      <c r="J607" s="290"/>
      <c r="K607" s="431"/>
      <c r="L607" s="346">
        <v>1948.67</v>
      </c>
      <c r="M607" s="256">
        <v>1668.11</v>
      </c>
      <c r="N607" s="462">
        <v>1683.73</v>
      </c>
      <c r="O607" s="442"/>
      <c r="P607" s="348"/>
      <c r="Q607" s="349"/>
      <c r="R607" s="346">
        <v>1749.64</v>
      </c>
      <c r="S607" s="346"/>
      <c r="T607" s="290"/>
      <c r="U607" s="348"/>
      <c r="V607" s="347"/>
      <c r="W607" s="346">
        <v>1269.06</v>
      </c>
    </row>
    <row r="608" spans="1:23" x14ac:dyDescent="0.2">
      <c r="A608" s="611"/>
      <c r="B608" s="415" t="s">
        <v>54</v>
      </c>
      <c r="C608" s="409">
        <v>1742</v>
      </c>
      <c r="D608" s="249"/>
      <c r="E608" s="250">
        <v>1833</v>
      </c>
      <c r="F608" s="250">
        <v>1937</v>
      </c>
      <c r="G608" s="250">
        <v>2171</v>
      </c>
      <c r="H608" s="249"/>
      <c r="I608" s="249"/>
      <c r="J608" s="330"/>
      <c r="K608" s="432"/>
      <c r="L608" s="250">
        <v>2262</v>
      </c>
      <c r="M608" s="463">
        <v>1788</v>
      </c>
      <c r="N608" s="464">
        <v>1788</v>
      </c>
      <c r="O608" s="446"/>
      <c r="P608" s="331"/>
      <c r="Q608" s="332"/>
      <c r="R608" s="250">
        <v>1944</v>
      </c>
      <c r="S608" s="496"/>
      <c r="T608" s="330"/>
      <c r="U608" s="334"/>
      <c r="V608" s="469"/>
      <c r="W608" s="315"/>
    </row>
    <row r="609" spans="1:23" x14ac:dyDescent="0.2">
      <c r="A609" s="611"/>
      <c r="B609" s="415" t="s">
        <v>55</v>
      </c>
      <c r="C609" s="409">
        <v>1.61</v>
      </c>
      <c r="D609" s="249"/>
      <c r="E609" s="250">
        <v>1.69</v>
      </c>
      <c r="F609" s="250">
        <v>1.79</v>
      </c>
      <c r="G609" s="250">
        <v>2.0099999999999998</v>
      </c>
      <c r="H609" s="249"/>
      <c r="I609" s="249"/>
      <c r="J609" s="330"/>
      <c r="K609" s="432"/>
      <c r="L609" s="250">
        <v>2.09</v>
      </c>
      <c r="M609" s="463">
        <v>1.79</v>
      </c>
      <c r="N609" s="464">
        <v>1.79</v>
      </c>
      <c r="O609" s="443"/>
      <c r="P609" s="334"/>
      <c r="Q609" s="335"/>
      <c r="R609" s="250">
        <v>1.95</v>
      </c>
      <c r="S609" s="469"/>
      <c r="T609" s="333"/>
      <c r="U609" s="334"/>
      <c r="V609" s="497"/>
      <c r="W609" s="315"/>
    </row>
    <row r="610" spans="1:23" x14ac:dyDescent="0.2">
      <c r="A610" s="611"/>
      <c r="B610" s="415" t="s">
        <v>56</v>
      </c>
      <c r="C610" s="410">
        <f>(C608-C607)/C608</f>
        <v>1.9339839265212429E-2</v>
      </c>
      <c r="D610" s="336"/>
      <c r="E610" s="336">
        <f>(E608-E607)/E608</f>
        <v>6.4489907255864717E-2</v>
      </c>
      <c r="F610" s="336">
        <f>(F608-F607)/F608</f>
        <v>5.996902426432632E-2</v>
      </c>
      <c r="G610" s="336">
        <f>(G608-G607)/G608</f>
        <v>0.14518654997696917</v>
      </c>
      <c r="H610" s="336"/>
      <c r="I610" s="336"/>
      <c r="J610" s="338"/>
      <c r="K610" s="433"/>
      <c r="L610" s="336">
        <f>(L608-L607)/L608</f>
        <v>0.13851900972590625</v>
      </c>
      <c r="M610" s="465">
        <f>(M608-M607)/M608</f>
        <v>6.7052572706935182E-2</v>
      </c>
      <c r="N610" s="466">
        <f>(N608-N607)/N608</f>
        <v>5.8316554809843393E-2</v>
      </c>
      <c r="O610" s="444"/>
      <c r="P610" s="340"/>
      <c r="Q610" s="341"/>
      <c r="R610" s="336">
        <f>(R608-R607)/R608</f>
        <v>9.9979423868312711E-2</v>
      </c>
      <c r="S610" s="470"/>
      <c r="T610" s="339"/>
      <c r="U610" s="340"/>
      <c r="V610" s="470"/>
      <c r="W610" s="315"/>
    </row>
    <row r="611" spans="1:23" x14ac:dyDescent="0.2">
      <c r="A611" s="611"/>
      <c r="B611" s="415" t="s">
        <v>57</v>
      </c>
      <c r="C611" s="410">
        <f>(C608-C607)/C607</f>
        <v>1.9721244973102105E-2</v>
      </c>
      <c r="D611" s="336"/>
      <c r="E611" s="336">
        <f>(E608-E607)/E607</f>
        <v>6.8935554790965678E-2</v>
      </c>
      <c r="F611" s="336">
        <f>(F608-F607)/F607</f>
        <v>6.3794732101667403E-2</v>
      </c>
      <c r="G611" s="336">
        <f>(G608-G607)/G607</f>
        <v>0.16984588856557822</v>
      </c>
      <c r="H611" s="336"/>
      <c r="I611" s="336"/>
      <c r="J611" s="338"/>
      <c r="K611" s="433"/>
      <c r="L611" s="336">
        <f>(L608-L607)/L607</f>
        <v>0.16079171948046611</v>
      </c>
      <c r="M611" s="465">
        <f>(M608-M607)/M607</f>
        <v>7.1871759056657006E-2</v>
      </c>
      <c r="N611" s="466">
        <f>(N608-N607)/N607</f>
        <v>6.19279813271724E-2</v>
      </c>
      <c r="O611" s="444"/>
      <c r="P611" s="340"/>
      <c r="Q611" s="341"/>
      <c r="R611" s="336">
        <f>(R608-R607)/R607</f>
        <v>0.11108570906014946</v>
      </c>
      <c r="S611" s="470"/>
      <c r="T611" s="339"/>
      <c r="U611" s="340"/>
      <c r="V611" s="470"/>
      <c r="W611" s="315"/>
    </row>
    <row r="612" spans="1:23" ht="13.3" thickBot="1" x14ac:dyDescent="0.25">
      <c r="A612" s="611"/>
      <c r="B612" s="418" t="s">
        <v>58</v>
      </c>
      <c r="C612" s="411">
        <f>C609/C603-1</f>
        <v>6.2500000000000888E-3</v>
      </c>
      <c r="D612" s="353"/>
      <c r="E612" s="353">
        <f>E609/E603-1</f>
        <v>5.9523809523809312E-3</v>
      </c>
      <c r="F612" s="353">
        <f>F609/F603-1</f>
        <v>5.6179775280897903E-3</v>
      </c>
      <c r="G612" s="353">
        <f>G609/G603-1</f>
        <v>4.9999999999998934E-3</v>
      </c>
      <c r="H612" s="353"/>
      <c r="I612" s="353"/>
      <c r="J612" s="355"/>
      <c r="K612" s="434"/>
      <c r="L612" s="353">
        <f>L609/L603-1</f>
        <v>4.8076923076922906E-3</v>
      </c>
      <c r="M612" s="467">
        <f>M609/M603-1</f>
        <v>5.6179775280897903E-3</v>
      </c>
      <c r="N612" s="292">
        <f>N609/N603-1</f>
        <v>5.6179775280897903E-3</v>
      </c>
      <c r="O612" s="445"/>
      <c r="P612" s="357"/>
      <c r="Q612" s="358"/>
      <c r="R612" s="353">
        <f>R609/R603-1</f>
        <v>5.1546391752577136E-3</v>
      </c>
      <c r="S612" s="471"/>
      <c r="T612" s="356"/>
      <c r="U612" s="357"/>
      <c r="V612" s="471"/>
      <c r="W612" s="359"/>
    </row>
    <row r="613" spans="1:23" x14ac:dyDescent="0.2">
      <c r="A613" s="611">
        <v>43870</v>
      </c>
      <c r="B613" s="419" t="s">
        <v>53</v>
      </c>
      <c r="C613" s="408">
        <v>1718.73</v>
      </c>
      <c r="D613" s="347"/>
      <c r="E613" s="346">
        <v>1724.75</v>
      </c>
      <c r="F613" s="346">
        <v>1830.84</v>
      </c>
      <c r="G613" s="346">
        <v>1864.88</v>
      </c>
      <c r="H613" s="347"/>
      <c r="I613" s="347"/>
      <c r="J613" s="290"/>
      <c r="K613" s="431"/>
      <c r="L613" s="346">
        <v>1957.85</v>
      </c>
      <c r="M613" s="256">
        <v>1677.26</v>
      </c>
      <c r="N613" s="462">
        <v>1692.96</v>
      </c>
      <c r="O613" s="442"/>
      <c r="P613" s="348"/>
      <c r="Q613" s="349"/>
      <c r="R613" s="346">
        <v>1758.45</v>
      </c>
      <c r="S613" s="346"/>
      <c r="T613" s="290"/>
      <c r="U613" s="348"/>
      <c r="V613" s="347"/>
      <c r="W613" s="346">
        <v>1269.06</v>
      </c>
    </row>
    <row r="614" spans="1:23" x14ac:dyDescent="0.2">
      <c r="A614" s="611"/>
      <c r="B614" s="415" t="s">
        <v>54</v>
      </c>
      <c r="C614" s="409">
        <v>1755</v>
      </c>
      <c r="D614" s="249"/>
      <c r="E614" s="250">
        <v>1846</v>
      </c>
      <c r="F614" s="250">
        <v>1950</v>
      </c>
      <c r="G614" s="250">
        <v>2184</v>
      </c>
      <c r="H614" s="249"/>
      <c r="I614" s="249"/>
      <c r="J614" s="330"/>
      <c r="K614" s="432"/>
      <c r="L614" s="250">
        <v>2275</v>
      </c>
      <c r="M614" s="463">
        <v>1800</v>
      </c>
      <c r="N614" s="464">
        <v>1800</v>
      </c>
      <c r="O614" s="446"/>
      <c r="P614" s="331"/>
      <c r="Q614" s="332"/>
      <c r="R614" s="250">
        <v>1956</v>
      </c>
      <c r="S614" s="496"/>
      <c r="T614" s="330"/>
      <c r="U614" s="334"/>
      <c r="V614" s="469"/>
      <c r="W614" s="315"/>
    </row>
    <row r="615" spans="1:23" x14ac:dyDescent="0.2">
      <c r="A615" s="611"/>
      <c r="B615" s="415" t="s">
        <v>55</v>
      </c>
      <c r="C615" s="409">
        <v>1.62</v>
      </c>
      <c r="D615" s="249"/>
      <c r="E615" s="250">
        <v>1.7</v>
      </c>
      <c r="F615" s="250">
        <v>1.8</v>
      </c>
      <c r="G615" s="250">
        <v>2.02</v>
      </c>
      <c r="H615" s="249"/>
      <c r="I615" s="249"/>
      <c r="J615" s="330"/>
      <c r="K615" s="432"/>
      <c r="L615" s="250">
        <v>2.1</v>
      </c>
      <c r="M615" s="463">
        <v>1.8</v>
      </c>
      <c r="N615" s="464">
        <v>1.8</v>
      </c>
      <c r="O615" s="443"/>
      <c r="P615" s="334"/>
      <c r="Q615" s="335"/>
      <c r="R615" s="250">
        <v>1.96</v>
      </c>
      <c r="S615" s="469"/>
      <c r="T615" s="333"/>
      <c r="U615" s="334"/>
      <c r="V615" s="497"/>
      <c r="W615" s="315"/>
    </row>
    <row r="616" spans="1:23" x14ac:dyDescent="0.2">
      <c r="A616" s="611"/>
      <c r="B616" s="415" t="s">
        <v>56</v>
      </c>
      <c r="C616" s="410">
        <f>(C614-C613)/C614</f>
        <v>2.0666666666666656E-2</v>
      </c>
      <c r="D616" s="336"/>
      <c r="E616" s="336">
        <f>(E614-E613)/E614</f>
        <v>6.5682556879739978E-2</v>
      </c>
      <c r="F616" s="336">
        <f>(F614-F613)/F614</f>
        <v>6.1107692307692349E-2</v>
      </c>
      <c r="G616" s="336">
        <f>(G614-G613)/G614</f>
        <v>0.14611721611721606</v>
      </c>
      <c r="H616" s="336"/>
      <c r="I616" s="336"/>
      <c r="J616" s="338"/>
      <c r="K616" s="433"/>
      <c r="L616" s="336">
        <f>(L614-L613)/L614</f>
        <v>0.13940659340659345</v>
      </c>
      <c r="M616" s="465">
        <f>(M614-M613)/M614</f>
        <v>6.8188888888888896E-2</v>
      </c>
      <c r="N616" s="466">
        <f>(N614-N613)/N614</f>
        <v>5.9466666666666647E-2</v>
      </c>
      <c r="O616" s="444"/>
      <c r="P616" s="340"/>
      <c r="Q616" s="341"/>
      <c r="R616" s="336">
        <f>(R614-R613)/R614</f>
        <v>0.1009969325153374</v>
      </c>
      <c r="S616" s="470"/>
      <c r="T616" s="339"/>
      <c r="U616" s="340"/>
      <c r="V616" s="470"/>
      <c r="W616" s="315"/>
    </row>
    <row r="617" spans="1:23" x14ac:dyDescent="0.2">
      <c r="A617" s="611"/>
      <c r="B617" s="415" t="s">
        <v>57</v>
      </c>
      <c r="C617" s="410">
        <f>(C614-C613)/C613</f>
        <v>2.1102791014295429E-2</v>
      </c>
      <c r="D617" s="336"/>
      <c r="E617" s="336">
        <f>(E614-E613)/E613</f>
        <v>7.030004348456298E-2</v>
      </c>
      <c r="F617" s="336">
        <f>(F614-F613)/F613</f>
        <v>6.5084879071901469E-2</v>
      </c>
      <c r="G617" s="336">
        <f>(G614-G613)/G613</f>
        <v>0.17112093003303155</v>
      </c>
      <c r="H617" s="336"/>
      <c r="I617" s="336"/>
      <c r="J617" s="338"/>
      <c r="K617" s="433"/>
      <c r="L617" s="336">
        <f>(L614-L613)/L613</f>
        <v>0.16198891641341273</v>
      </c>
      <c r="M617" s="465">
        <f>(M614-M613)/M613</f>
        <v>7.3178875070054744E-2</v>
      </c>
      <c r="N617" s="466">
        <f>(N614-N613)/N613</f>
        <v>6.3226538134391816E-2</v>
      </c>
      <c r="O617" s="444"/>
      <c r="P617" s="340"/>
      <c r="Q617" s="341"/>
      <c r="R617" s="336">
        <f>(R614-R613)/R613</f>
        <v>0.11234325684551733</v>
      </c>
      <c r="S617" s="470"/>
      <c r="T617" s="339"/>
      <c r="U617" s="340"/>
      <c r="V617" s="470"/>
      <c r="W617" s="315"/>
    </row>
    <row r="618" spans="1:23" ht="13.3" thickBot="1" x14ac:dyDescent="0.25">
      <c r="A618" s="611"/>
      <c r="B618" s="418" t="s">
        <v>58</v>
      </c>
      <c r="C618" s="411">
        <f>C615/C609-1</f>
        <v>6.2111801242235032E-3</v>
      </c>
      <c r="D618" s="353"/>
      <c r="E618" s="353">
        <f>E615/E609-1</f>
        <v>5.9171597633136397E-3</v>
      </c>
      <c r="F618" s="353">
        <f>F615/F609-1</f>
        <v>5.5865921787709993E-3</v>
      </c>
      <c r="G618" s="353">
        <f>G615/G609-1</f>
        <v>4.9751243781095411E-3</v>
      </c>
      <c r="H618" s="353"/>
      <c r="I618" s="353"/>
      <c r="J618" s="355"/>
      <c r="K618" s="434"/>
      <c r="L618" s="353">
        <f>L615/L609-1</f>
        <v>4.784688995215447E-3</v>
      </c>
      <c r="M618" s="467">
        <f>M615/M609-1</f>
        <v>5.5865921787709993E-3</v>
      </c>
      <c r="N618" s="292">
        <f>N615/N609-1</f>
        <v>5.5865921787709993E-3</v>
      </c>
      <c r="O618" s="445"/>
      <c r="P618" s="357"/>
      <c r="Q618" s="358"/>
      <c r="R618" s="353">
        <f>R615/R609-1</f>
        <v>5.12820512820511E-3</v>
      </c>
      <c r="S618" s="471"/>
      <c r="T618" s="356"/>
      <c r="U618" s="357"/>
      <c r="V618" s="471"/>
      <c r="W618" s="359"/>
    </row>
    <row r="619" spans="1:23" x14ac:dyDescent="0.2">
      <c r="A619" s="611">
        <v>43877</v>
      </c>
      <c r="B619" s="419" t="s">
        <v>53</v>
      </c>
      <c r="C619" s="408">
        <v>1729.15</v>
      </c>
      <c r="D619" s="347"/>
      <c r="E619" s="346">
        <v>1734.71</v>
      </c>
      <c r="F619" s="346">
        <v>1840.84</v>
      </c>
      <c r="G619" s="346">
        <v>1873.96</v>
      </c>
      <c r="H619" s="347"/>
      <c r="I619" s="347"/>
      <c r="J619" s="290"/>
      <c r="K619" s="431"/>
      <c r="L619" s="346">
        <v>1967.03</v>
      </c>
      <c r="M619" s="256">
        <v>1686.41</v>
      </c>
      <c r="N619" s="462">
        <v>1702.19</v>
      </c>
      <c r="O619" s="442"/>
      <c r="P619" s="348"/>
      <c r="Q619" s="349"/>
      <c r="R619" s="346">
        <v>1767.26</v>
      </c>
      <c r="S619" s="346"/>
      <c r="T619" s="290"/>
      <c r="U619" s="348"/>
      <c r="V619" s="347"/>
      <c r="W619" s="346">
        <v>1269.06</v>
      </c>
    </row>
    <row r="620" spans="1:23" x14ac:dyDescent="0.2">
      <c r="A620" s="611"/>
      <c r="B620" s="415" t="s">
        <v>54</v>
      </c>
      <c r="C620" s="409">
        <v>1768</v>
      </c>
      <c r="D620" s="249"/>
      <c r="E620" s="250">
        <v>1846</v>
      </c>
      <c r="F620" s="250">
        <v>1963</v>
      </c>
      <c r="G620" s="250">
        <v>2197</v>
      </c>
      <c r="H620" s="249"/>
      <c r="I620" s="249"/>
      <c r="J620" s="330"/>
      <c r="K620" s="432"/>
      <c r="L620" s="250">
        <v>2288</v>
      </c>
      <c r="M620" s="463">
        <v>1812</v>
      </c>
      <c r="N620" s="464">
        <v>1812</v>
      </c>
      <c r="O620" s="446"/>
      <c r="P620" s="331"/>
      <c r="Q620" s="332"/>
      <c r="R620" s="250">
        <v>1968</v>
      </c>
      <c r="S620" s="496"/>
      <c r="T620" s="330"/>
      <c r="U620" s="334"/>
      <c r="V620" s="469"/>
      <c r="W620" s="315"/>
    </row>
    <row r="621" spans="1:23" x14ac:dyDescent="0.2">
      <c r="A621" s="611"/>
      <c r="B621" s="415" t="s">
        <v>55</v>
      </c>
      <c r="C621" s="409">
        <v>1.63</v>
      </c>
      <c r="D621" s="249"/>
      <c r="E621" s="250">
        <v>1.71</v>
      </c>
      <c r="F621" s="250">
        <v>1.81</v>
      </c>
      <c r="G621" s="250">
        <v>2.0299999999999998</v>
      </c>
      <c r="H621" s="249"/>
      <c r="I621" s="249"/>
      <c r="J621" s="330"/>
      <c r="K621" s="432"/>
      <c r="L621" s="250">
        <v>2.11</v>
      </c>
      <c r="M621" s="463">
        <v>1.81</v>
      </c>
      <c r="N621" s="464">
        <v>1.81</v>
      </c>
      <c r="O621" s="443"/>
      <c r="P621" s="334"/>
      <c r="Q621" s="335"/>
      <c r="R621" s="250">
        <v>1.97</v>
      </c>
      <c r="S621" s="469"/>
      <c r="T621" s="333"/>
      <c r="U621" s="334"/>
      <c r="V621" s="497"/>
      <c r="W621" s="315"/>
    </row>
    <row r="622" spans="1:23" x14ac:dyDescent="0.2">
      <c r="A622" s="611"/>
      <c r="B622" s="415" t="s">
        <v>56</v>
      </c>
      <c r="C622" s="410">
        <f>(C620-C619)/C620</f>
        <v>2.1973981900452438E-2</v>
      </c>
      <c r="D622" s="336"/>
      <c r="E622" s="336">
        <f>(E620-E619)/E620</f>
        <v>6.0287107258938225E-2</v>
      </c>
      <c r="F622" s="336">
        <f>(F620-F619)/F620</f>
        <v>6.2231278655119758E-2</v>
      </c>
      <c r="G622" s="336">
        <f>(G620-G619)/G620</f>
        <v>0.1470368684569868</v>
      </c>
      <c r="H622" s="336"/>
      <c r="I622" s="336"/>
      <c r="J622" s="338"/>
      <c r="K622" s="433"/>
      <c r="L622" s="336">
        <f>(L620-L619)/L620</f>
        <v>0.14028409090909091</v>
      </c>
      <c r="M622" s="465">
        <f>(M620-M619)/M620</f>
        <v>6.9310154525386275E-2</v>
      </c>
      <c r="N622" s="466">
        <f>(N620-N619)/N620</f>
        <v>6.0601545253863104E-2</v>
      </c>
      <c r="O622" s="444"/>
      <c r="P622" s="340"/>
      <c r="Q622" s="341"/>
      <c r="R622" s="336">
        <f>(R620-R619)/R620</f>
        <v>0.10200203252032521</v>
      </c>
      <c r="S622" s="470"/>
      <c r="T622" s="339"/>
      <c r="U622" s="340"/>
      <c r="V622" s="470"/>
      <c r="W622" s="315"/>
    </row>
    <row r="623" spans="1:23" x14ac:dyDescent="0.2">
      <c r="A623" s="611"/>
      <c r="B623" s="415" t="s">
        <v>57</v>
      </c>
      <c r="C623" s="410">
        <f>(C620-C619)/C619</f>
        <v>2.2467686435531854E-2</v>
      </c>
      <c r="D623" s="336"/>
      <c r="E623" s="336">
        <f>(E620-E619)/E619</f>
        <v>6.4154815502302953E-2</v>
      </c>
      <c r="F623" s="336">
        <f>(F620-F619)/F619</f>
        <v>6.6361009104539279E-2</v>
      </c>
      <c r="G623" s="336">
        <f>(G620-G619)/G619</f>
        <v>0.17238361544536701</v>
      </c>
      <c r="H623" s="336"/>
      <c r="I623" s="336"/>
      <c r="J623" s="338"/>
      <c r="K623" s="433"/>
      <c r="L623" s="336">
        <f>(L620-L619)/L619</f>
        <v>0.16317493886722623</v>
      </c>
      <c r="M623" s="465">
        <f>(M620-M619)/M619</f>
        <v>7.4471806974579086E-2</v>
      </c>
      <c r="N623" s="466">
        <f>(N620-N619)/N619</f>
        <v>6.4511012284175051E-2</v>
      </c>
      <c r="O623" s="444"/>
      <c r="P623" s="340"/>
      <c r="Q623" s="341"/>
      <c r="R623" s="336">
        <f>(R620-R619)/R619</f>
        <v>0.11358826658216675</v>
      </c>
      <c r="S623" s="470"/>
      <c r="T623" s="339"/>
      <c r="U623" s="340"/>
      <c r="V623" s="470"/>
      <c r="W623" s="315"/>
    </row>
    <row r="624" spans="1:23" ht="13.3" thickBot="1" x14ac:dyDescent="0.25">
      <c r="A624" s="611"/>
      <c r="B624" s="418" t="s">
        <v>58</v>
      </c>
      <c r="C624" s="411">
        <f>C621/C615-1</f>
        <v>6.1728395061726449E-3</v>
      </c>
      <c r="D624" s="353"/>
      <c r="E624" s="353">
        <f>E621/E615-1</f>
        <v>5.8823529411764497E-3</v>
      </c>
      <c r="F624" s="353">
        <f>F621/F615-1</f>
        <v>5.5555555555555358E-3</v>
      </c>
      <c r="G624" s="353">
        <f>G621/G615-1</f>
        <v>4.9504950495049549E-3</v>
      </c>
      <c r="H624" s="353"/>
      <c r="I624" s="353"/>
      <c r="J624" s="355"/>
      <c r="K624" s="434"/>
      <c r="L624" s="353">
        <f>L621/L615-1</f>
        <v>4.761904761904745E-3</v>
      </c>
      <c r="M624" s="467">
        <f>M621/M615-1</f>
        <v>5.5555555555555358E-3</v>
      </c>
      <c r="N624" s="292">
        <f>N621/N615-1</f>
        <v>5.5555555555555358E-3</v>
      </c>
      <c r="O624" s="445"/>
      <c r="P624" s="357"/>
      <c r="Q624" s="358"/>
      <c r="R624" s="353">
        <f>R621/R615-1</f>
        <v>5.1020408163264808E-3</v>
      </c>
      <c r="S624" s="471"/>
      <c r="T624" s="356"/>
      <c r="U624" s="357"/>
      <c r="V624" s="471"/>
      <c r="W624" s="359"/>
    </row>
    <row r="625" spans="1:23" x14ac:dyDescent="0.2">
      <c r="A625" s="611">
        <v>43884</v>
      </c>
      <c r="B625" s="419" t="s">
        <v>53</v>
      </c>
      <c r="C625" s="408">
        <v>1739.57</v>
      </c>
      <c r="D625" s="347"/>
      <c r="E625" s="346">
        <v>1744.67</v>
      </c>
      <c r="F625" s="346">
        <v>1850.84</v>
      </c>
      <c r="G625" s="346">
        <v>1883.04</v>
      </c>
      <c r="H625" s="347"/>
      <c r="I625" s="347"/>
      <c r="J625" s="290"/>
      <c r="K625" s="431"/>
      <c r="L625" s="346">
        <v>1976.21</v>
      </c>
      <c r="M625" s="256">
        <v>1695.56</v>
      </c>
      <c r="N625" s="462">
        <v>1711.42</v>
      </c>
      <c r="O625" s="442"/>
      <c r="P625" s="348"/>
      <c r="Q625" s="349"/>
      <c r="R625" s="346">
        <v>1776.07</v>
      </c>
      <c r="S625" s="346"/>
      <c r="T625" s="290"/>
      <c r="U625" s="348"/>
      <c r="V625" s="347"/>
      <c r="W625" s="346">
        <v>1269.06</v>
      </c>
    </row>
    <row r="626" spans="1:23" x14ac:dyDescent="0.2">
      <c r="A626" s="611"/>
      <c r="B626" s="415" t="s">
        <v>54</v>
      </c>
      <c r="C626" s="409">
        <v>1781</v>
      </c>
      <c r="D626" s="249"/>
      <c r="E626" s="250">
        <v>1859</v>
      </c>
      <c r="F626" s="250">
        <v>1976</v>
      </c>
      <c r="G626" s="250">
        <v>2210</v>
      </c>
      <c r="H626" s="249"/>
      <c r="I626" s="249"/>
      <c r="J626" s="330"/>
      <c r="K626" s="432"/>
      <c r="L626" s="250">
        <v>2301</v>
      </c>
      <c r="M626" s="463">
        <v>1824</v>
      </c>
      <c r="N626" s="464">
        <v>1824</v>
      </c>
      <c r="O626" s="446"/>
      <c r="P626" s="331"/>
      <c r="Q626" s="332"/>
      <c r="R626" s="250">
        <v>1980</v>
      </c>
      <c r="S626" s="496"/>
      <c r="T626" s="330"/>
      <c r="U626" s="334"/>
      <c r="V626" s="469"/>
      <c r="W626" s="315"/>
    </row>
    <row r="627" spans="1:23" x14ac:dyDescent="0.2">
      <c r="A627" s="611"/>
      <c r="B627" s="415" t="s">
        <v>55</v>
      </c>
      <c r="C627" s="409">
        <v>1.64</v>
      </c>
      <c r="D627" s="249"/>
      <c r="E627" s="250">
        <v>1.72</v>
      </c>
      <c r="F627" s="250">
        <v>1.82</v>
      </c>
      <c r="G627" s="250">
        <v>2.04</v>
      </c>
      <c r="H627" s="249"/>
      <c r="I627" s="249"/>
      <c r="J627" s="330"/>
      <c r="K627" s="432"/>
      <c r="L627" s="250">
        <v>2.12</v>
      </c>
      <c r="M627" s="463">
        <v>1.82</v>
      </c>
      <c r="N627" s="464">
        <v>1.82</v>
      </c>
      <c r="O627" s="443"/>
      <c r="P627" s="334"/>
      <c r="Q627" s="335"/>
      <c r="R627" s="250">
        <v>1.98</v>
      </c>
      <c r="S627" s="469"/>
      <c r="T627" s="333"/>
      <c r="U627" s="334"/>
      <c r="V627" s="497"/>
      <c r="W627" s="315"/>
    </row>
    <row r="628" spans="1:23" x14ac:dyDescent="0.2">
      <c r="A628" s="611"/>
      <c r="B628" s="415" t="s">
        <v>56</v>
      </c>
      <c r="C628" s="410">
        <f>(C626-C625)/C626</f>
        <v>2.3262212240314467E-2</v>
      </c>
      <c r="D628" s="336"/>
      <c r="E628" s="336">
        <f>(E626-E625)/E626</f>
        <v>6.1500806885422234E-2</v>
      </c>
      <c r="F628" s="336">
        <f>(F626-F625)/F626</f>
        <v>6.3340080971659954E-2</v>
      </c>
      <c r="G628" s="336">
        <f>(G626-G625)/G626</f>
        <v>0.14794570135746607</v>
      </c>
      <c r="H628" s="336"/>
      <c r="I628" s="336"/>
      <c r="J628" s="338"/>
      <c r="K628" s="433"/>
      <c r="L628" s="336">
        <f>(L626-L625)/L626</f>
        <v>0.14115167318557148</v>
      </c>
      <c r="M628" s="465">
        <f>(M626-M625)/M626</f>
        <v>7.0416666666666697E-2</v>
      </c>
      <c r="N628" s="466">
        <f>(N626-N625)/N626</f>
        <v>6.1721491228070136E-2</v>
      </c>
      <c r="O628" s="444"/>
      <c r="P628" s="340"/>
      <c r="Q628" s="341"/>
      <c r="R628" s="336">
        <f>(R626-R625)/R626</f>
        <v>0.10299494949494953</v>
      </c>
      <c r="S628" s="470"/>
      <c r="T628" s="339"/>
      <c r="U628" s="340"/>
      <c r="V628" s="470"/>
      <c r="W628" s="315"/>
    </row>
    <row r="629" spans="1:23" x14ac:dyDescent="0.2">
      <c r="A629" s="611"/>
      <c r="B629" s="415" t="s">
        <v>57</v>
      </c>
      <c r="C629" s="410">
        <f>(C626-C625)/C625</f>
        <v>2.3816230447754369E-2</v>
      </c>
      <c r="D629" s="336"/>
      <c r="E629" s="336">
        <f>(E626-E625)/E625</f>
        <v>6.5531017327058946E-2</v>
      </c>
      <c r="F629" s="336">
        <f>(F626-F625)/F625</f>
        <v>6.7623349398111168E-2</v>
      </c>
      <c r="G629" s="336">
        <f>(G626-G625)/G625</f>
        <v>0.17363412354490612</v>
      </c>
      <c r="H629" s="336"/>
      <c r="I629" s="336"/>
      <c r="J629" s="338"/>
      <c r="K629" s="433"/>
      <c r="L629" s="336">
        <f>(L626-L625)/L625</f>
        <v>0.16434994256683244</v>
      </c>
      <c r="M629" s="465">
        <f>(M626-M625)/M625</f>
        <v>7.5750784401613661E-2</v>
      </c>
      <c r="N629" s="466">
        <f>(N626-N625)/N625</f>
        <v>6.5781631627537321E-2</v>
      </c>
      <c r="O629" s="444"/>
      <c r="P629" s="340"/>
      <c r="Q629" s="341"/>
      <c r="R629" s="336">
        <f>(R626-R625)/R625</f>
        <v>0.11482092485093497</v>
      </c>
      <c r="S629" s="470"/>
      <c r="T629" s="339"/>
      <c r="U629" s="340"/>
      <c r="V629" s="470"/>
      <c r="W629" s="315"/>
    </row>
    <row r="630" spans="1:23" ht="13.3" thickBot="1" x14ac:dyDescent="0.25">
      <c r="A630" s="611"/>
      <c r="B630" s="418" t="s">
        <v>58</v>
      </c>
      <c r="C630" s="411">
        <f>C627/C621-1</f>
        <v>6.1349693251533388E-3</v>
      </c>
      <c r="D630" s="353"/>
      <c r="E630" s="353">
        <f>E627/E621-1</f>
        <v>5.8479532163742132E-3</v>
      </c>
      <c r="F630" s="353">
        <f>F627/F621-1</f>
        <v>5.5248618784531356E-3</v>
      </c>
      <c r="G630" s="353">
        <f>G627/G621-1</f>
        <v>4.9261083743843415E-3</v>
      </c>
      <c r="H630" s="353"/>
      <c r="I630" s="353"/>
      <c r="J630" s="355"/>
      <c r="K630" s="434"/>
      <c r="L630" s="353">
        <f>L627/L621-1</f>
        <v>4.7393364928911552E-3</v>
      </c>
      <c r="M630" s="467">
        <f>M627/M621-1</f>
        <v>5.5248618784531356E-3</v>
      </c>
      <c r="N630" s="292">
        <f>N627/N621-1</f>
        <v>5.5248618784531356E-3</v>
      </c>
      <c r="O630" s="445"/>
      <c r="P630" s="357"/>
      <c r="Q630" s="358"/>
      <c r="R630" s="353">
        <f>R627/R621-1</f>
        <v>5.0761421319795996E-3</v>
      </c>
      <c r="S630" s="471"/>
      <c r="T630" s="356"/>
      <c r="U630" s="357"/>
      <c r="V630" s="471"/>
      <c r="W630" s="359"/>
    </row>
    <row r="631" spans="1:23" x14ac:dyDescent="0.2">
      <c r="A631" s="611">
        <v>43891</v>
      </c>
      <c r="B631" s="419" t="s">
        <v>53</v>
      </c>
      <c r="C631" s="408">
        <v>1749.99</v>
      </c>
      <c r="D631" s="347"/>
      <c r="E631" s="346">
        <v>1754.63</v>
      </c>
      <c r="F631" s="346">
        <v>1860.84</v>
      </c>
      <c r="G631" s="346">
        <v>1892.12</v>
      </c>
      <c r="H631" s="347"/>
      <c r="I631" s="347"/>
      <c r="J631" s="290"/>
      <c r="K631" s="431"/>
      <c r="L631" s="346">
        <v>1985.39</v>
      </c>
      <c r="M631" s="256">
        <v>1704.71</v>
      </c>
      <c r="N631" s="462">
        <v>1720.65</v>
      </c>
      <c r="O631" s="442"/>
      <c r="P631" s="348"/>
      <c r="Q631" s="349"/>
      <c r="R631" s="346">
        <v>1784.88</v>
      </c>
      <c r="S631" s="346"/>
      <c r="T631" s="290"/>
      <c r="U631" s="348"/>
      <c r="V631" s="347"/>
      <c r="W631" s="346">
        <v>1269.06</v>
      </c>
    </row>
    <row r="632" spans="1:23" x14ac:dyDescent="0.2">
      <c r="A632" s="611"/>
      <c r="B632" s="415" t="s">
        <v>54</v>
      </c>
      <c r="C632" s="517">
        <v>1781</v>
      </c>
      <c r="D632" s="249"/>
      <c r="E632" s="250">
        <v>1872</v>
      </c>
      <c r="F632" s="514">
        <v>1976</v>
      </c>
      <c r="G632" s="514">
        <v>2223</v>
      </c>
      <c r="H632" s="518"/>
      <c r="I632" s="518"/>
      <c r="J632" s="518"/>
      <c r="K632" s="519"/>
      <c r="L632" s="514">
        <v>2301</v>
      </c>
      <c r="M632" s="515">
        <v>1824</v>
      </c>
      <c r="N632" s="516">
        <v>1824</v>
      </c>
      <c r="O632" s="446"/>
      <c r="P632" s="331"/>
      <c r="Q632" s="332"/>
      <c r="R632" s="250">
        <v>1992</v>
      </c>
      <c r="S632" s="496"/>
      <c r="T632" s="330"/>
      <c r="U632" s="334"/>
      <c r="V632" s="469"/>
      <c r="W632" s="315"/>
    </row>
    <row r="633" spans="1:23" x14ac:dyDescent="0.2">
      <c r="A633" s="611"/>
      <c r="B633" s="415" t="s">
        <v>55</v>
      </c>
      <c r="C633" s="409">
        <v>1.65</v>
      </c>
      <c r="D633" s="249"/>
      <c r="E633" s="250">
        <v>1.73</v>
      </c>
      <c r="F633" s="250">
        <v>1.83</v>
      </c>
      <c r="G633" s="250">
        <v>2.0499999999999998</v>
      </c>
      <c r="H633" s="249"/>
      <c r="I633" s="249"/>
      <c r="J633" s="330"/>
      <c r="K633" s="432"/>
      <c r="L633" s="250">
        <v>2.13</v>
      </c>
      <c r="M633" s="463">
        <v>1.83</v>
      </c>
      <c r="N633" s="464">
        <v>1.83</v>
      </c>
      <c r="O633" s="443"/>
      <c r="P633" s="334"/>
      <c r="Q633" s="335"/>
      <c r="R633" s="250">
        <v>1.99</v>
      </c>
      <c r="S633" s="469"/>
      <c r="T633" s="333"/>
      <c r="U633" s="334"/>
      <c r="V633" s="497"/>
      <c r="W633" s="315"/>
    </row>
    <row r="634" spans="1:23" x14ac:dyDescent="0.2">
      <c r="A634" s="611"/>
      <c r="B634" s="415" t="s">
        <v>56</v>
      </c>
      <c r="C634" s="410">
        <f>(C632-C631)/C632</f>
        <v>1.7411566535654122E-2</v>
      </c>
      <c r="D634" s="336"/>
      <c r="E634" s="336">
        <f>(E632-E631)/E632</f>
        <v>6.2697649572649519E-2</v>
      </c>
      <c r="F634" s="336">
        <f>(F632-F631)/F632</f>
        <v>5.827935222672069E-2</v>
      </c>
      <c r="G634" s="336">
        <f>(G632-G631)/G632</f>
        <v>0.14884390463337838</v>
      </c>
      <c r="H634" s="336"/>
      <c r="I634" s="336"/>
      <c r="J634" s="338"/>
      <c r="K634" s="433"/>
      <c r="L634" s="336">
        <f>(L632-L631)/L632</f>
        <v>0.13716210343328983</v>
      </c>
      <c r="M634" s="465">
        <f>(M632-M631)/M632</f>
        <v>6.540021929824559E-2</v>
      </c>
      <c r="N634" s="466">
        <f>(N632-N631)/N632</f>
        <v>5.6661184210526266E-2</v>
      </c>
      <c r="O634" s="444"/>
      <c r="P634" s="340"/>
      <c r="Q634" s="341"/>
      <c r="R634" s="336">
        <f>(R632-R631)/R632</f>
        <v>0.10397590361445777</v>
      </c>
      <c r="S634" s="470"/>
      <c r="T634" s="339"/>
      <c r="U634" s="340"/>
      <c r="V634" s="470"/>
      <c r="W634" s="315"/>
    </row>
    <row r="635" spans="1:23" x14ac:dyDescent="0.2">
      <c r="A635" s="611"/>
      <c r="B635" s="415" t="s">
        <v>57</v>
      </c>
      <c r="C635" s="410">
        <f>(C632-C631)/C631</f>
        <v>1.7720101257721468E-2</v>
      </c>
      <c r="D635" s="336"/>
      <c r="E635" s="336">
        <f>(E632-E631)/E631</f>
        <v>6.6891595379082708E-2</v>
      </c>
      <c r="F635" s="336">
        <f>(F632-F631)/F631</f>
        <v>6.1886029964962105E-2</v>
      </c>
      <c r="G635" s="336">
        <f>(G632-G631)/G631</f>
        <v>0.17487262964294026</v>
      </c>
      <c r="H635" s="336"/>
      <c r="I635" s="336"/>
      <c r="J635" s="338"/>
      <c r="K635" s="433"/>
      <c r="L635" s="336">
        <f>(L632-L631)/L631</f>
        <v>0.15896624844488985</v>
      </c>
      <c r="M635" s="465">
        <f>(M632-M631)/M631</f>
        <v>6.9976711581441989E-2</v>
      </c>
      <c r="N635" s="466">
        <f>(N632-N631)/N631</f>
        <v>6.0064510504751055E-2</v>
      </c>
      <c r="O635" s="444"/>
      <c r="P635" s="340"/>
      <c r="Q635" s="341"/>
      <c r="R635" s="336">
        <f>(R632-R631)/R631</f>
        <v>0.11604141454887716</v>
      </c>
      <c r="S635" s="470"/>
      <c r="T635" s="339"/>
      <c r="U635" s="340"/>
      <c r="V635" s="470"/>
      <c r="W635" s="315"/>
    </row>
    <row r="636" spans="1:23" ht="13.3" thickBot="1" x14ac:dyDescent="0.25">
      <c r="A636" s="611"/>
      <c r="B636" s="418" t="s">
        <v>58</v>
      </c>
      <c r="C636" s="411">
        <f>C633/C627-1</f>
        <v>6.0975609756097615E-3</v>
      </c>
      <c r="D636" s="353"/>
      <c r="E636" s="353">
        <f>E633/E627-1</f>
        <v>5.8139534883721034E-3</v>
      </c>
      <c r="F636" s="353">
        <f>F633/F627-1</f>
        <v>5.494505494505475E-3</v>
      </c>
      <c r="G636" s="353">
        <f>G633/G627-1</f>
        <v>4.9019607843137081E-3</v>
      </c>
      <c r="H636" s="353"/>
      <c r="I636" s="353"/>
      <c r="J636" s="355"/>
      <c r="K636" s="434"/>
      <c r="L636" s="353">
        <f>L633/L627-1</f>
        <v>4.7169811320753041E-3</v>
      </c>
      <c r="M636" s="467">
        <f>M633/M627-1</f>
        <v>5.494505494505475E-3</v>
      </c>
      <c r="N636" s="292">
        <f>N633/N627-1</f>
        <v>5.494505494505475E-3</v>
      </c>
      <c r="O636" s="445"/>
      <c r="P636" s="357"/>
      <c r="Q636" s="358"/>
      <c r="R636" s="353">
        <f>R633/R627-1</f>
        <v>5.050505050504972E-3</v>
      </c>
      <c r="S636" s="471"/>
      <c r="T636" s="356"/>
      <c r="U636" s="357"/>
      <c r="V636" s="471"/>
      <c r="W636" s="359"/>
    </row>
    <row r="637" spans="1:23" x14ac:dyDescent="0.2">
      <c r="A637" s="611">
        <v>43933</v>
      </c>
      <c r="B637" s="419" t="s">
        <v>53</v>
      </c>
      <c r="C637" s="408">
        <v>1739.57</v>
      </c>
      <c r="D637" s="347"/>
      <c r="E637" s="346">
        <v>1744.67</v>
      </c>
      <c r="F637" s="346">
        <v>1850.84</v>
      </c>
      <c r="G637" s="346">
        <v>1883.04</v>
      </c>
      <c r="H637" s="347"/>
      <c r="I637" s="347"/>
      <c r="J637" s="290"/>
      <c r="K637" s="431"/>
      <c r="L637" s="346">
        <v>1976.21</v>
      </c>
      <c r="M637" s="256">
        <v>1695.56</v>
      </c>
      <c r="N637" s="462">
        <v>1711.42</v>
      </c>
      <c r="O637" s="442"/>
      <c r="P637" s="348"/>
      <c r="Q637" s="349"/>
      <c r="R637" s="346">
        <v>1776.07</v>
      </c>
      <c r="S637" s="346"/>
      <c r="T637" s="290"/>
      <c r="U637" s="348"/>
      <c r="V637" s="347"/>
      <c r="W637" s="346">
        <v>1262.5</v>
      </c>
    </row>
    <row r="638" spans="1:23" x14ac:dyDescent="0.2">
      <c r="A638" s="611"/>
      <c r="B638" s="415" t="s">
        <v>54</v>
      </c>
      <c r="C638" s="409">
        <v>1781</v>
      </c>
      <c r="D638" s="249"/>
      <c r="E638" s="250">
        <v>1859</v>
      </c>
      <c r="F638" s="250">
        <v>1976</v>
      </c>
      <c r="G638" s="250">
        <v>2210</v>
      </c>
      <c r="H638" s="249"/>
      <c r="I638" s="249"/>
      <c r="J638" s="330"/>
      <c r="K638" s="432"/>
      <c r="L638" s="250">
        <v>2301</v>
      </c>
      <c r="M638" s="245">
        <v>1824</v>
      </c>
      <c r="N638" s="520">
        <v>1824</v>
      </c>
      <c r="O638" s="446"/>
      <c r="P638" s="331"/>
      <c r="Q638" s="332"/>
      <c r="R638" s="250">
        <v>1980</v>
      </c>
      <c r="S638" s="496"/>
      <c r="T638" s="330"/>
      <c r="U638" s="334"/>
      <c r="V638" s="469"/>
      <c r="W638" s="315"/>
    </row>
    <row r="639" spans="1:23" x14ac:dyDescent="0.2">
      <c r="A639" s="611"/>
      <c r="B639" s="415" t="s">
        <v>55</v>
      </c>
      <c r="C639" s="409">
        <v>1.64</v>
      </c>
      <c r="D639" s="249"/>
      <c r="E639" s="250">
        <v>1.72</v>
      </c>
      <c r="F639" s="250">
        <v>1.82</v>
      </c>
      <c r="G639" s="250">
        <v>2.04</v>
      </c>
      <c r="H639" s="249"/>
      <c r="I639" s="249"/>
      <c r="J639" s="330"/>
      <c r="K639" s="432"/>
      <c r="L639" s="250">
        <v>2.12</v>
      </c>
      <c r="M639" s="463">
        <v>1.82</v>
      </c>
      <c r="N639" s="464">
        <v>1.82</v>
      </c>
      <c r="O639" s="443"/>
      <c r="P639" s="334"/>
      <c r="Q639" s="335"/>
      <c r="R639" s="250">
        <v>1.98</v>
      </c>
      <c r="S639" s="469"/>
      <c r="T639" s="333"/>
      <c r="U639" s="334"/>
      <c r="V639" s="497"/>
      <c r="W639" s="315"/>
    </row>
    <row r="640" spans="1:23" x14ac:dyDescent="0.2">
      <c r="A640" s="611"/>
      <c r="B640" s="415" t="s">
        <v>56</v>
      </c>
      <c r="C640" s="410">
        <f>(C638-C637)/C638</f>
        <v>2.3262212240314467E-2</v>
      </c>
      <c r="D640" s="336"/>
      <c r="E640" s="336">
        <f>(E638-E637)/E638</f>
        <v>6.1500806885422234E-2</v>
      </c>
      <c r="F640" s="336">
        <f>(F638-F637)/F638</f>
        <v>6.3340080971659954E-2</v>
      </c>
      <c r="G640" s="336">
        <f>(G638-G637)/G638</f>
        <v>0.14794570135746607</v>
      </c>
      <c r="H640" s="336"/>
      <c r="I640" s="336"/>
      <c r="J640" s="338"/>
      <c r="K640" s="433"/>
      <c r="L640" s="336">
        <f>(L638-L637)/L638</f>
        <v>0.14115167318557148</v>
      </c>
      <c r="M640" s="465">
        <f>(M638-M637)/M638</f>
        <v>7.0416666666666697E-2</v>
      </c>
      <c r="N640" s="466">
        <f>(N638-N637)/N638</f>
        <v>6.1721491228070136E-2</v>
      </c>
      <c r="O640" s="444"/>
      <c r="P640" s="340"/>
      <c r="Q640" s="341"/>
      <c r="R640" s="336">
        <f>(R638-R637)/R638</f>
        <v>0.10299494949494953</v>
      </c>
      <c r="S640" s="470"/>
      <c r="T640" s="339"/>
      <c r="U640" s="340"/>
      <c r="V640" s="470"/>
      <c r="W640" s="315"/>
    </row>
    <row r="641" spans="1:23" x14ac:dyDescent="0.2">
      <c r="A641" s="611"/>
      <c r="B641" s="415" t="s">
        <v>57</v>
      </c>
      <c r="C641" s="410">
        <f>(C638-C637)/C637</f>
        <v>2.3816230447754369E-2</v>
      </c>
      <c r="D641" s="336"/>
      <c r="E641" s="336">
        <f>(E638-E637)/E637</f>
        <v>6.5531017327058946E-2</v>
      </c>
      <c r="F641" s="336">
        <f>(F638-F637)/F637</f>
        <v>6.7623349398111168E-2</v>
      </c>
      <c r="G641" s="336">
        <f>(G638-G637)/G637</f>
        <v>0.17363412354490612</v>
      </c>
      <c r="H641" s="336"/>
      <c r="I641" s="336"/>
      <c r="J641" s="338"/>
      <c r="K641" s="433"/>
      <c r="L641" s="336">
        <f>(L638-L637)/L637</f>
        <v>0.16434994256683244</v>
      </c>
      <c r="M641" s="465">
        <f>(M638-M637)/M637</f>
        <v>7.5750784401613661E-2</v>
      </c>
      <c r="N641" s="466">
        <f>(N638-N637)/N637</f>
        <v>6.5781631627537321E-2</v>
      </c>
      <c r="O641" s="444"/>
      <c r="P641" s="340"/>
      <c r="Q641" s="341"/>
      <c r="R641" s="336">
        <f>(R638-R637)/R637</f>
        <v>0.11482092485093497</v>
      </c>
      <c r="S641" s="470"/>
      <c r="T641" s="339"/>
      <c r="U641" s="340"/>
      <c r="V641" s="470"/>
      <c r="W641" s="315"/>
    </row>
    <row r="642" spans="1:23" ht="13.3" thickBot="1" x14ac:dyDescent="0.25">
      <c r="A642" s="611"/>
      <c r="B642" s="418" t="s">
        <v>58</v>
      </c>
      <c r="C642" s="411">
        <f>C639/C633-1</f>
        <v>-6.0606060606060996E-3</v>
      </c>
      <c r="D642" s="353"/>
      <c r="E642" s="353">
        <f>E639/E633-1</f>
        <v>-5.7803468208093012E-3</v>
      </c>
      <c r="F642" s="353">
        <f>F639/F633-1</f>
        <v>-5.464480874316946E-3</v>
      </c>
      <c r="G642" s="353">
        <f>G639/G633-1</f>
        <v>-4.8780487804876982E-3</v>
      </c>
      <c r="H642" s="353"/>
      <c r="I642" s="353"/>
      <c r="J642" s="355"/>
      <c r="K642" s="434"/>
      <c r="L642" s="353">
        <f>L639/L633-1</f>
        <v>-4.6948356807510194E-3</v>
      </c>
      <c r="M642" s="467">
        <f>M639/M633-1</f>
        <v>-5.464480874316946E-3</v>
      </c>
      <c r="N642" s="292">
        <f>N639/N633-1</f>
        <v>-5.464480874316946E-3</v>
      </c>
      <c r="O642" s="445"/>
      <c r="P642" s="357"/>
      <c r="Q642" s="358"/>
      <c r="R642" s="353">
        <f>R639/R633-1</f>
        <v>-5.0251256281407253E-3</v>
      </c>
      <c r="S642" s="471"/>
      <c r="T642" s="356"/>
      <c r="U642" s="357"/>
      <c r="V642" s="471"/>
      <c r="W642" s="359"/>
    </row>
    <row r="643" spans="1:23" x14ac:dyDescent="0.2">
      <c r="A643" s="611">
        <v>43940</v>
      </c>
      <c r="B643" s="419" t="s">
        <v>53</v>
      </c>
      <c r="C643" s="408">
        <v>1726.57</v>
      </c>
      <c r="D643" s="521"/>
      <c r="E643" s="346">
        <v>1731.67</v>
      </c>
      <c r="F643" s="346">
        <v>1837.84</v>
      </c>
      <c r="G643" s="346">
        <v>1870.04</v>
      </c>
      <c r="H643" s="521"/>
      <c r="I643" s="521"/>
      <c r="J643" s="522"/>
      <c r="K643" s="523"/>
      <c r="L643" s="346">
        <v>1963.21</v>
      </c>
      <c r="M643" s="256">
        <v>1683.56</v>
      </c>
      <c r="N643" s="462">
        <v>1699.32</v>
      </c>
      <c r="O643" s="524"/>
      <c r="P643" s="525"/>
      <c r="Q643" s="526"/>
      <c r="R643" s="346">
        <v>1764.07</v>
      </c>
      <c r="S643" s="346"/>
      <c r="T643" s="290"/>
      <c r="U643" s="348"/>
      <c r="V643" s="347"/>
      <c r="W643" s="346">
        <v>1507.02</v>
      </c>
    </row>
    <row r="644" spans="1:23" x14ac:dyDescent="0.2">
      <c r="A644" s="611"/>
      <c r="B644" s="415" t="s">
        <v>54</v>
      </c>
      <c r="C644" s="409">
        <v>1798</v>
      </c>
      <c r="D644" s="527"/>
      <c r="E644" s="250">
        <v>1846</v>
      </c>
      <c r="F644" s="250">
        <v>1963</v>
      </c>
      <c r="G644" s="250">
        <v>2197</v>
      </c>
      <c r="H644" s="527"/>
      <c r="I644" s="527"/>
      <c r="J644" s="528"/>
      <c r="K644" s="529"/>
      <c r="L644" s="250">
        <v>2288</v>
      </c>
      <c r="M644" s="245">
        <v>1812</v>
      </c>
      <c r="N644" s="520">
        <v>1812</v>
      </c>
      <c r="O644" s="530"/>
      <c r="P644" s="531"/>
      <c r="Q644" s="532"/>
      <c r="R644" s="250">
        <v>1968</v>
      </c>
      <c r="S644" s="496"/>
      <c r="T644" s="330"/>
      <c r="U644" s="334"/>
      <c r="V644" s="469"/>
      <c r="W644" s="315"/>
    </row>
    <row r="645" spans="1:23" x14ac:dyDescent="0.2">
      <c r="A645" s="611"/>
      <c r="B645" s="415" t="s">
        <v>55</v>
      </c>
      <c r="C645" s="409">
        <v>1.63</v>
      </c>
      <c r="D645" s="527"/>
      <c r="E645" s="250">
        <v>1.71</v>
      </c>
      <c r="F645" s="250">
        <v>1.81</v>
      </c>
      <c r="G645" s="250">
        <v>2.0299999999999998</v>
      </c>
      <c r="H645" s="527"/>
      <c r="I645" s="527"/>
      <c r="J645" s="528"/>
      <c r="K645" s="529"/>
      <c r="L645" s="250">
        <v>2.11</v>
      </c>
      <c r="M645" s="463">
        <v>1.81</v>
      </c>
      <c r="N645" s="464">
        <v>1.81</v>
      </c>
      <c r="O645" s="530"/>
      <c r="P645" s="531"/>
      <c r="Q645" s="532"/>
      <c r="R645" s="250">
        <v>1.97</v>
      </c>
      <c r="S645" s="469"/>
      <c r="T645" s="333"/>
      <c r="U645" s="334"/>
      <c r="V645" s="497"/>
      <c r="W645" s="315"/>
    </row>
    <row r="646" spans="1:23" x14ac:dyDescent="0.2">
      <c r="A646" s="611"/>
      <c r="B646" s="415" t="s">
        <v>56</v>
      </c>
      <c r="C646" s="410">
        <f>(C644-C643)/C644</f>
        <v>3.9727474972191361E-2</v>
      </c>
      <c r="D646" s="336"/>
      <c r="E646" s="336">
        <f>(E644-E643)/E644</f>
        <v>6.1933911159263236E-2</v>
      </c>
      <c r="F646" s="336">
        <f>(F644-F643)/F644</f>
        <v>6.3759551706571618E-2</v>
      </c>
      <c r="G646" s="336">
        <f>(G644-G643)/G644</f>
        <v>0.14882111970869369</v>
      </c>
      <c r="H646" s="336"/>
      <c r="I646" s="336"/>
      <c r="J646" s="338"/>
      <c r="K646" s="433"/>
      <c r="L646" s="336">
        <f>(L644-L643)/L644</f>
        <v>0.14195367132867132</v>
      </c>
      <c r="M646" s="465">
        <f>(M644-M643)/M644</f>
        <v>7.0883002207505555E-2</v>
      </c>
      <c r="N646" s="466">
        <f>(N644-N643)/N644</f>
        <v>6.2185430463576191E-2</v>
      </c>
      <c r="O646" s="444"/>
      <c r="P646" s="340"/>
      <c r="Q646" s="341"/>
      <c r="R646" s="336">
        <f>(R644-R643)/R644</f>
        <v>0.10362296747967482</v>
      </c>
      <c r="S646" s="470"/>
      <c r="T646" s="339"/>
      <c r="U646" s="340"/>
      <c r="V646" s="470"/>
      <c r="W646" s="315"/>
    </row>
    <row r="647" spans="1:23" x14ac:dyDescent="0.2">
      <c r="A647" s="611"/>
      <c r="B647" s="415" t="s">
        <v>57</v>
      </c>
      <c r="C647" s="410">
        <f>(C644-C643)/C643</f>
        <v>4.1371042008143351E-2</v>
      </c>
      <c r="D647" s="336"/>
      <c r="E647" s="336">
        <f>(E644-E643)/E643</f>
        <v>6.6022972044327111E-2</v>
      </c>
      <c r="F647" s="336">
        <f>(F644-F643)/F643</f>
        <v>6.8101684586253472E-2</v>
      </c>
      <c r="G647" s="336">
        <f>(G644-G643)/G643</f>
        <v>0.17484117986781034</v>
      </c>
      <c r="H647" s="336"/>
      <c r="I647" s="336"/>
      <c r="J647" s="338"/>
      <c r="K647" s="433"/>
      <c r="L647" s="336">
        <f>(L644-L643)/L643</f>
        <v>0.16543823635780175</v>
      </c>
      <c r="M647" s="465">
        <f>(M644-M643)/M643</f>
        <v>7.6290717289553125E-2</v>
      </c>
      <c r="N647" s="466">
        <f>(N644-N643)/N643</f>
        <v>6.6308876491773222E-2</v>
      </c>
      <c r="O647" s="444"/>
      <c r="P647" s="340"/>
      <c r="Q647" s="341"/>
      <c r="R647" s="336">
        <f>(R644-R643)/R643</f>
        <v>0.11560198858321953</v>
      </c>
      <c r="S647" s="470"/>
      <c r="T647" s="339"/>
      <c r="U647" s="340"/>
      <c r="V647" s="470"/>
      <c r="W647" s="315"/>
    </row>
    <row r="648" spans="1:23" ht="13.3" thickBot="1" x14ac:dyDescent="0.25">
      <c r="A648" s="611"/>
      <c r="B648" s="418" t="s">
        <v>58</v>
      </c>
      <c r="C648" s="411">
        <f>C645/C639-1</f>
        <v>-6.0975609756097615E-3</v>
      </c>
      <c r="D648" s="353"/>
      <c r="E648" s="353">
        <f>E645/E639-1</f>
        <v>-5.8139534883721034E-3</v>
      </c>
      <c r="F648" s="353">
        <f>F645/F639-1</f>
        <v>-5.494505494505475E-3</v>
      </c>
      <c r="G648" s="353">
        <f>G645/G639-1</f>
        <v>-4.9019607843138191E-3</v>
      </c>
      <c r="H648" s="353"/>
      <c r="I648" s="353"/>
      <c r="J648" s="355"/>
      <c r="K648" s="434"/>
      <c r="L648" s="353">
        <f>L645/L639-1</f>
        <v>-4.7169811320755262E-3</v>
      </c>
      <c r="M648" s="467">
        <f>M645/M639-1</f>
        <v>-5.494505494505475E-3</v>
      </c>
      <c r="N648" s="292">
        <f>N645/N639-1</f>
        <v>-5.494505494505475E-3</v>
      </c>
      <c r="O648" s="445"/>
      <c r="P648" s="357"/>
      <c r="Q648" s="358"/>
      <c r="R648" s="353">
        <f>R645/R639-1</f>
        <v>-5.050505050505083E-3</v>
      </c>
      <c r="S648" s="471"/>
      <c r="T648" s="356"/>
      <c r="U648" s="357"/>
      <c r="V648" s="471"/>
      <c r="W648" s="359"/>
    </row>
    <row r="649" spans="1:23" x14ac:dyDescent="0.2">
      <c r="A649" s="611">
        <v>43947</v>
      </c>
      <c r="B649" s="419" t="s">
        <v>53</v>
      </c>
      <c r="C649" s="408">
        <v>1713.57</v>
      </c>
      <c r="D649" s="521"/>
      <c r="E649" s="346">
        <v>1731.67</v>
      </c>
      <c r="F649" s="346">
        <v>1824.84</v>
      </c>
      <c r="G649" s="346">
        <v>1857.04</v>
      </c>
      <c r="H649" s="521"/>
      <c r="I649" s="521"/>
      <c r="J649" s="522"/>
      <c r="K649" s="523"/>
      <c r="L649" s="346">
        <v>1950.21</v>
      </c>
      <c r="M649" s="256">
        <v>1671.56</v>
      </c>
      <c r="N649" s="462">
        <v>1687.14</v>
      </c>
      <c r="O649" s="524"/>
      <c r="P649" s="525"/>
      <c r="Q649" s="526"/>
      <c r="R649" s="346">
        <v>1752.07</v>
      </c>
      <c r="S649" s="346"/>
      <c r="T649" s="290"/>
      <c r="U649" s="348"/>
      <c r="V649" s="347"/>
      <c r="W649" s="346">
        <v>1249.24</v>
      </c>
    </row>
    <row r="650" spans="1:23" x14ac:dyDescent="0.2">
      <c r="A650" s="611"/>
      <c r="B650" s="415" t="s">
        <v>54</v>
      </c>
      <c r="C650" s="409">
        <v>1755</v>
      </c>
      <c r="D650" s="527"/>
      <c r="E650" s="250">
        <v>1846</v>
      </c>
      <c r="F650" s="250">
        <v>1950</v>
      </c>
      <c r="G650" s="250">
        <v>2184</v>
      </c>
      <c r="H650" s="527"/>
      <c r="I650" s="527"/>
      <c r="J650" s="528"/>
      <c r="K650" s="529"/>
      <c r="L650" s="250">
        <v>2275</v>
      </c>
      <c r="M650" s="245">
        <v>1800</v>
      </c>
      <c r="N650" s="520">
        <v>1800</v>
      </c>
      <c r="O650" s="530"/>
      <c r="P650" s="531"/>
      <c r="Q650" s="532"/>
      <c r="R650" s="250">
        <v>1956</v>
      </c>
      <c r="S650" s="496"/>
      <c r="T650" s="330"/>
      <c r="U650" s="334"/>
      <c r="V650" s="469"/>
      <c r="W650" s="315"/>
    </row>
    <row r="651" spans="1:23" x14ac:dyDescent="0.2">
      <c r="A651" s="611"/>
      <c r="B651" s="415" t="s">
        <v>55</v>
      </c>
      <c r="C651" s="409">
        <v>1.62</v>
      </c>
      <c r="D651" s="527"/>
      <c r="E651" s="250">
        <v>1.7</v>
      </c>
      <c r="F651" s="250">
        <v>1.8</v>
      </c>
      <c r="G651" s="250">
        <v>2.02</v>
      </c>
      <c r="H651" s="527"/>
      <c r="I651" s="527"/>
      <c r="J651" s="528"/>
      <c r="K651" s="529"/>
      <c r="L651" s="250">
        <v>2.1</v>
      </c>
      <c r="M651" s="463">
        <v>1.8</v>
      </c>
      <c r="N651" s="464">
        <v>1.8</v>
      </c>
      <c r="O651" s="530"/>
      <c r="P651" s="531"/>
      <c r="Q651" s="532"/>
      <c r="R651" s="250">
        <v>1.96</v>
      </c>
      <c r="S651" s="469"/>
      <c r="T651" s="333"/>
      <c r="U651" s="334"/>
      <c r="V651" s="497"/>
      <c r="W651" s="315"/>
    </row>
    <row r="652" spans="1:23" x14ac:dyDescent="0.2">
      <c r="A652" s="611"/>
      <c r="B652" s="415" t="s">
        <v>56</v>
      </c>
      <c r="C652" s="410">
        <f>(C650-C649)/C650</f>
        <v>2.3606837606837645E-2</v>
      </c>
      <c r="D652" s="336"/>
      <c r="E652" s="336">
        <f>(E650-E649)/E650</f>
        <v>6.1933911159263236E-2</v>
      </c>
      <c r="F652" s="336">
        <f>(F650-F649)/F650</f>
        <v>6.4184615384615423E-2</v>
      </c>
      <c r="G652" s="336">
        <f>(G650-G649)/G650</f>
        <v>0.14970695970695971</v>
      </c>
      <c r="H652" s="336"/>
      <c r="I652" s="336"/>
      <c r="J652" s="338"/>
      <c r="K652" s="433"/>
      <c r="L652" s="336">
        <f>(L650-L649)/L650</f>
        <v>0.14276483516483515</v>
      </c>
      <c r="M652" s="465">
        <f>(M650-M649)/M650</f>
        <v>7.1355555555555589E-2</v>
      </c>
      <c r="N652" s="466">
        <f>(N650-N649)/N650</f>
        <v>6.269999999999995E-2</v>
      </c>
      <c r="O652" s="444"/>
      <c r="P652" s="340"/>
      <c r="Q652" s="341"/>
      <c r="R652" s="336">
        <f>(R650-R649)/R650</f>
        <v>0.104258691206544</v>
      </c>
      <c r="S652" s="470"/>
      <c r="T652" s="339"/>
      <c r="U652" s="340"/>
      <c r="V652" s="470"/>
      <c r="W652" s="315"/>
    </row>
    <row r="653" spans="1:23" x14ac:dyDescent="0.2">
      <c r="A653" s="611"/>
      <c r="B653" s="415" t="s">
        <v>57</v>
      </c>
      <c r="C653" s="410">
        <f>(C650-C649)/C649</f>
        <v>2.4177594145555807E-2</v>
      </c>
      <c r="D653" s="336"/>
      <c r="E653" s="336">
        <f>(E650-E649)/E649</f>
        <v>6.6022972044327111E-2</v>
      </c>
      <c r="F653" s="336">
        <f>(F650-F649)/F649</f>
        <v>6.858683501019272E-2</v>
      </c>
      <c r="G653" s="336">
        <f>(G650-G649)/G649</f>
        <v>0.17606513591521994</v>
      </c>
      <c r="H653" s="336"/>
      <c r="I653" s="336"/>
      <c r="J653" s="338"/>
      <c r="K653" s="433"/>
      <c r="L653" s="336">
        <f>(L650-L649)/L649</f>
        <v>0.16654103917014063</v>
      </c>
      <c r="M653" s="465">
        <f>(M650-M649)/M649</f>
        <v>7.6838402450405643E-2</v>
      </c>
      <c r="N653" s="466">
        <f>(N650-N649)/N649</f>
        <v>6.6894270777765857E-2</v>
      </c>
      <c r="O653" s="444"/>
      <c r="P653" s="340"/>
      <c r="Q653" s="341"/>
      <c r="R653" s="336">
        <f>(R650-R649)/R649</f>
        <v>0.11639375139121158</v>
      </c>
      <c r="S653" s="470"/>
      <c r="T653" s="339"/>
      <c r="U653" s="340"/>
      <c r="V653" s="470"/>
      <c r="W653" s="315"/>
    </row>
    <row r="654" spans="1:23" ht="13.3" thickBot="1" x14ac:dyDescent="0.25">
      <c r="A654" s="611"/>
      <c r="B654" s="418" t="s">
        <v>58</v>
      </c>
      <c r="C654" s="411">
        <f>C651/C645-1</f>
        <v>-6.1349693251532278E-3</v>
      </c>
      <c r="D654" s="353"/>
      <c r="E654" s="353">
        <f>E651/E645-1</f>
        <v>-5.8479532163743242E-3</v>
      </c>
      <c r="F654" s="353">
        <f>F651/F645-1</f>
        <v>-5.5248618784530246E-3</v>
      </c>
      <c r="G654" s="353">
        <f>G651/G645-1</f>
        <v>-4.9261083743841194E-3</v>
      </c>
      <c r="H654" s="353"/>
      <c r="I654" s="353"/>
      <c r="J654" s="355"/>
      <c r="K654" s="434"/>
      <c r="L654" s="353">
        <f>L651/L645-1</f>
        <v>-4.7393364928909332E-3</v>
      </c>
      <c r="M654" s="467">
        <f>M651/M645-1</f>
        <v>-5.5248618784530246E-3</v>
      </c>
      <c r="N654" s="292">
        <f>N651/N645-1</f>
        <v>-5.5248618784530246E-3</v>
      </c>
      <c r="O654" s="445"/>
      <c r="P654" s="357"/>
      <c r="Q654" s="358"/>
      <c r="R654" s="353">
        <f>R651/R645-1</f>
        <v>-5.0761421319797106E-3</v>
      </c>
      <c r="S654" s="471"/>
      <c r="T654" s="356"/>
      <c r="U654" s="357"/>
      <c r="V654" s="471"/>
      <c r="W654" s="359"/>
    </row>
    <row r="655" spans="1:23" x14ac:dyDescent="0.2">
      <c r="A655" s="611">
        <v>43954</v>
      </c>
      <c r="B655" s="419" t="s">
        <v>53</v>
      </c>
      <c r="C655" s="408">
        <v>1700.57</v>
      </c>
      <c r="D655" s="521"/>
      <c r="E655" s="346">
        <v>1718.67</v>
      </c>
      <c r="F655" s="346">
        <v>1811.84</v>
      </c>
      <c r="G655" s="346">
        <v>1844.04</v>
      </c>
      <c r="H655" s="521"/>
      <c r="I655" s="521"/>
      <c r="J655" s="522"/>
      <c r="K655" s="523"/>
      <c r="L655" s="346">
        <v>1937.21</v>
      </c>
      <c r="M655" s="256">
        <v>1659.56</v>
      </c>
      <c r="N655" s="462">
        <v>1675.03</v>
      </c>
      <c r="O655" s="442"/>
      <c r="P655" s="348"/>
      <c r="Q655" s="349"/>
      <c r="R655" s="346">
        <v>1740.07</v>
      </c>
      <c r="S655" s="346"/>
      <c r="T655" s="290"/>
      <c r="U655" s="348"/>
      <c r="V655" s="347"/>
      <c r="W655" s="346">
        <v>1242.6600000000001</v>
      </c>
    </row>
    <row r="656" spans="1:23" x14ac:dyDescent="0.2">
      <c r="A656" s="611"/>
      <c r="B656" s="415" t="s">
        <v>54</v>
      </c>
      <c r="C656" s="409">
        <v>1742</v>
      </c>
      <c r="D656" s="527"/>
      <c r="E656" s="250">
        <v>1833</v>
      </c>
      <c r="F656" s="250">
        <v>1937</v>
      </c>
      <c r="G656" s="250">
        <v>2171</v>
      </c>
      <c r="H656" s="249"/>
      <c r="I656" s="249"/>
      <c r="J656" s="330"/>
      <c r="K656" s="432"/>
      <c r="L656" s="250">
        <v>2262</v>
      </c>
      <c r="M656" s="245">
        <v>1788</v>
      </c>
      <c r="N656" s="520">
        <v>1788</v>
      </c>
      <c r="O656" s="530"/>
      <c r="P656" s="531"/>
      <c r="Q656" s="532"/>
      <c r="R656" s="250">
        <v>1944</v>
      </c>
      <c r="S656" s="496"/>
      <c r="T656" s="330"/>
      <c r="U656" s="334"/>
      <c r="V656" s="469"/>
      <c r="W656" s="315"/>
    </row>
    <row r="657" spans="1:23" x14ac:dyDescent="0.2">
      <c r="A657" s="611"/>
      <c r="B657" s="415" t="s">
        <v>55</v>
      </c>
      <c r="C657" s="409">
        <v>1.61</v>
      </c>
      <c r="D657" s="527"/>
      <c r="E657" s="250">
        <v>1.69</v>
      </c>
      <c r="F657" s="250">
        <v>1.79</v>
      </c>
      <c r="G657" s="250">
        <v>2.0099999999999998</v>
      </c>
      <c r="H657" s="249"/>
      <c r="I657" s="249"/>
      <c r="J657" s="330"/>
      <c r="K657" s="432"/>
      <c r="L657" s="250">
        <v>2.09</v>
      </c>
      <c r="M657" s="463">
        <v>1.79</v>
      </c>
      <c r="N657" s="464">
        <v>1.79</v>
      </c>
      <c r="O657" s="530"/>
      <c r="P657" s="531"/>
      <c r="Q657" s="532"/>
      <c r="R657" s="250">
        <v>1.95</v>
      </c>
      <c r="S657" s="469"/>
      <c r="T657" s="333"/>
      <c r="U657" s="334"/>
      <c r="V657" s="497"/>
      <c r="W657" s="315"/>
    </row>
    <row r="658" spans="1:23" x14ac:dyDescent="0.2">
      <c r="A658" s="611"/>
      <c r="B658" s="415" t="s">
        <v>56</v>
      </c>
      <c r="C658" s="410">
        <f>(C656-C655)/C656</f>
        <v>2.3783008036739415E-2</v>
      </c>
      <c r="D658" s="336"/>
      <c r="E658" s="336">
        <f>(E656-E655)/E656</f>
        <v>6.2373158756137442E-2</v>
      </c>
      <c r="F658" s="336">
        <f>(F656-F655)/F656</f>
        <v>6.4615384615384658E-2</v>
      </c>
      <c r="G658" s="336">
        <f>(G656-G655)/G656</f>
        <v>0.15060340856748045</v>
      </c>
      <c r="H658" s="336"/>
      <c r="I658" s="336"/>
      <c r="J658" s="338"/>
      <c r="K658" s="433"/>
      <c r="L658" s="336">
        <f>(L656-L655)/L656</f>
        <v>0.14358532272325375</v>
      </c>
      <c r="M658" s="465">
        <f>(M656-M655)/M656</f>
        <v>7.1834451901566024E-2</v>
      </c>
      <c r="N658" s="466">
        <f>(N656-N655)/N656</f>
        <v>6.3182326621923954E-2</v>
      </c>
      <c r="O658" s="444"/>
      <c r="P658" s="340"/>
      <c r="Q658" s="341"/>
      <c r="R658" s="336">
        <f>(R656-R655)/R656</f>
        <v>0.10490226337448563</v>
      </c>
      <c r="S658" s="470"/>
      <c r="T658" s="339"/>
      <c r="U658" s="340"/>
      <c r="V658" s="470"/>
      <c r="W658" s="315"/>
    </row>
    <row r="659" spans="1:23" x14ac:dyDescent="0.2">
      <c r="A659" s="611"/>
      <c r="B659" s="415" t="s">
        <v>57</v>
      </c>
      <c r="C659" s="410">
        <f>(C656-C655)/C655</f>
        <v>2.4362419659290747E-2</v>
      </c>
      <c r="D659" s="336"/>
      <c r="E659" s="336">
        <f>(E656-E655)/E655</f>
        <v>6.6522369041177143E-2</v>
      </c>
      <c r="F659" s="336">
        <f>(F656-F655)/F655</f>
        <v>6.9078947368421101E-2</v>
      </c>
      <c r="G659" s="336">
        <f>(G656-G655)/G655</f>
        <v>0.17730634910305634</v>
      </c>
      <c r="H659" s="336"/>
      <c r="I659" s="336"/>
      <c r="J659" s="338"/>
      <c r="K659" s="433"/>
      <c r="L659" s="336">
        <f>(L656-L655)/L655</f>
        <v>0.16765864310012851</v>
      </c>
      <c r="M659" s="465">
        <f>(M656-M655)/M655</f>
        <v>7.7394008050326632E-2</v>
      </c>
      <c r="N659" s="466">
        <f>(N656-N655)/N655</f>
        <v>6.7443568174898383E-2</v>
      </c>
      <c r="O659" s="444"/>
      <c r="P659" s="340"/>
      <c r="Q659" s="341"/>
      <c r="R659" s="336">
        <f>(R656-R655)/R655</f>
        <v>0.11719643462619324</v>
      </c>
      <c r="S659" s="470"/>
      <c r="T659" s="339"/>
      <c r="U659" s="340"/>
      <c r="V659" s="470"/>
      <c r="W659" s="315"/>
    </row>
    <row r="660" spans="1:23" ht="13.3" thickBot="1" x14ac:dyDescent="0.25">
      <c r="A660" s="611"/>
      <c r="B660" s="418" t="s">
        <v>58</v>
      </c>
      <c r="C660" s="411">
        <f>C657/C651-1</f>
        <v>-6.1728395061728669E-3</v>
      </c>
      <c r="D660" s="353"/>
      <c r="E660" s="353">
        <f>E657/E651-1</f>
        <v>-5.8823529411764497E-3</v>
      </c>
      <c r="F660" s="353">
        <f>F657/F651-1</f>
        <v>-5.5555555555555358E-3</v>
      </c>
      <c r="G660" s="353">
        <f>G657/G651-1</f>
        <v>-4.9504950495050659E-3</v>
      </c>
      <c r="H660" s="353"/>
      <c r="I660" s="353"/>
      <c r="J660" s="355"/>
      <c r="K660" s="434"/>
      <c r="L660" s="353">
        <f>L657/L651-1</f>
        <v>-4.761904761904856E-3</v>
      </c>
      <c r="M660" s="467">
        <f>M657/M651-1</f>
        <v>-5.5555555555555358E-3</v>
      </c>
      <c r="N660" s="292">
        <f>N657/N651-1</f>
        <v>-5.5555555555555358E-3</v>
      </c>
      <c r="O660" s="445"/>
      <c r="P660" s="357"/>
      <c r="Q660" s="358"/>
      <c r="R660" s="353">
        <f>R657/R651-1</f>
        <v>-5.1020408163264808E-3</v>
      </c>
      <c r="S660" s="471"/>
      <c r="T660" s="356"/>
      <c r="U660" s="357"/>
      <c r="V660" s="471"/>
      <c r="W660" s="359"/>
    </row>
    <row r="661" spans="1:23" x14ac:dyDescent="0.2">
      <c r="A661" s="611">
        <v>43961</v>
      </c>
      <c r="B661" s="419" t="s">
        <v>53</v>
      </c>
      <c r="C661" s="408">
        <v>1687.57</v>
      </c>
      <c r="D661" s="521"/>
      <c r="E661" s="346">
        <v>1705.67</v>
      </c>
      <c r="F661" s="346">
        <v>1798.84</v>
      </c>
      <c r="G661" s="346">
        <v>1844.04</v>
      </c>
      <c r="H661" s="521"/>
      <c r="I661" s="521"/>
      <c r="J661" s="522"/>
      <c r="K661" s="523"/>
      <c r="L661" s="346">
        <v>1924.21</v>
      </c>
      <c r="M661" s="256">
        <v>1647.56</v>
      </c>
      <c r="N661" s="462">
        <v>1662.92</v>
      </c>
      <c r="O661" s="442"/>
      <c r="P661" s="348"/>
      <c r="Q661" s="349"/>
      <c r="R661" s="346">
        <v>1740.07</v>
      </c>
      <c r="S661" s="346"/>
      <c r="T661" s="290"/>
      <c r="U661" s="348"/>
      <c r="V661" s="347"/>
      <c r="W661" s="346">
        <v>1236</v>
      </c>
    </row>
    <row r="662" spans="1:23" x14ac:dyDescent="0.2">
      <c r="A662" s="611"/>
      <c r="B662" s="415" t="s">
        <v>54</v>
      </c>
      <c r="C662" s="409">
        <v>1729</v>
      </c>
      <c r="D662" s="249"/>
      <c r="E662" s="250">
        <v>1820</v>
      </c>
      <c r="F662" s="250">
        <v>1924</v>
      </c>
      <c r="G662" s="250">
        <v>2171</v>
      </c>
      <c r="H662" s="249"/>
      <c r="I662" s="249"/>
      <c r="J662" s="330"/>
      <c r="K662" s="432"/>
      <c r="L662" s="250">
        <v>2249</v>
      </c>
      <c r="M662" s="245">
        <v>1776</v>
      </c>
      <c r="N662" s="520">
        <v>1776</v>
      </c>
      <c r="O662" s="530"/>
      <c r="P662" s="531"/>
      <c r="Q662" s="532"/>
      <c r="R662" s="250">
        <v>1944</v>
      </c>
      <c r="S662" s="496"/>
      <c r="T662" s="330"/>
      <c r="U662" s="334"/>
      <c r="V662" s="469"/>
      <c r="W662" s="315"/>
    </row>
    <row r="663" spans="1:23" x14ac:dyDescent="0.2">
      <c r="A663" s="611"/>
      <c r="B663" s="415" t="s">
        <v>55</v>
      </c>
      <c r="C663" s="409">
        <v>1.6</v>
      </c>
      <c r="D663" s="249"/>
      <c r="E663" s="250">
        <v>1.68</v>
      </c>
      <c r="F663" s="250">
        <v>1.78</v>
      </c>
      <c r="G663" s="250">
        <v>2</v>
      </c>
      <c r="H663" s="249"/>
      <c r="I663" s="249"/>
      <c r="J663" s="330"/>
      <c r="K663" s="432"/>
      <c r="L663" s="250">
        <v>2.08</v>
      </c>
      <c r="M663" s="463">
        <v>1.78</v>
      </c>
      <c r="N663" s="464">
        <v>1.78</v>
      </c>
      <c r="O663" s="530"/>
      <c r="P663" s="531"/>
      <c r="Q663" s="532"/>
      <c r="R663" s="250">
        <v>1.94</v>
      </c>
      <c r="S663" s="469"/>
      <c r="T663" s="333"/>
      <c r="U663" s="334"/>
      <c r="V663" s="497"/>
      <c r="W663" s="315"/>
    </row>
    <row r="664" spans="1:23" x14ac:dyDescent="0.2">
      <c r="A664" s="611"/>
      <c r="B664" s="415" t="s">
        <v>56</v>
      </c>
      <c r="C664" s="410">
        <f>(C662-C661)/C662</f>
        <v>2.3961827646038211E-2</v>
      </c>
      <c r="D664" s="336"/>
      <c r="E664" s="336">
        <f>(E662-E661)/E662</f>
        <v>6.2818681318681277E-2</v>
      </c>
      <c r="F664" s="336">
        <f>(F662-F661)/F662</f>
        <v>6.5051975051975089E-2</v>
      </c>
      <c r="G664" s="336">
        <f>(G662-G661)/G662</f>
        <v>0.15060340856748045</v>
      </c>
      <c r="H664" s="336"/>
      <c r="I664" s="336"/>
      <c r="J664" s="338"/>
      <c r="K664" s="433"/>
      <c r="L664" s="336">
        <f>(L662-L661)/L662</f>
        <v>0.14441529568697198</v>
      </c>
      <c r="M664" s="465">
        <f>(M662-M661)/M662</f>
        <v>7.2319819819819844E-2</v>
      </c>
      <c r="N664" s="466">
        <f>(N662-N661)/N662</f>
        <v>6.3671171171171131E-2</v>
      </c>
      <c r="O664" s="444"/>
      <c r="P664" s="340"/>
      <c r="Q664" s="341"/>
      <c r="R664" s="336">
        <f>(R662-R661)/R662</f>
        <v>0.10490226337448563</v>
      </c>
      <c r="S664" s="470"/>
      <c r="T664" s="339"/>
      <c r="U664" s="340"/>
      <c r="V664" s="470"/>
      <c r="W664" s="315"/>
    </row>
    <row r="665" spans="1:23" x14ac:dyDescent="0.2">
      <c r="A665" s="611"/>
      <c r="B665" s="415" t="s">
        <v>57</v>
      </c>
      <c r="C665" s="410">
        <f>(C662-C661)/C661</f>
        <v>2.4550092736893916E-2</v>
      </c>
      <c r="D665" s="336"/>
      <c r="E665" s="336">
        <f>(E662-E661)/E661</f>
        <v>6.7029378484700974E-2</v>
      </c>
      <c r="F665" s="336">
        <f>(F662-F661)/F661</f>
        <v>6.9578172600120128E-2</v>
      </c>
      <c r="G665" s="336">
        <f>(G662-G661)/G661</f>
        <v>0.17730634910305634</v>
      </c>
      <c r="H665" s="336"/>
      <c r="I665" s="336"/>
      <c r="J665" s="338"/>
      <c r="K665" s="433"/>
      <c r="L665" s="336">
        <f>(L662-L661)/L661</f>
        <v>0.16879134813767727</v>
      </c>
      <c r="M665" s="465">
        <f>(M662-M661)/M661</f>
        <v>7.7957707154822919E-2</v>
      </c>
      <c r="N665" s="466">
        <f>(N662-N661)/N661</f>
        <v>6.8000865946648018E-2</v>
      </c>
      <c r="O665" s="444"/>
      <c r="P665" s="340"/>
      <c r="Q665" s="341"/>
      <c r="R665" s="336">
        <f>(R662-R661)/R661</f>
        <v>0.11719643462619324</v>
      </c>
      <c r="S665" s="470"/>
      <c r="T665" s="339"/>
      <c r="U665" s="340"/>
      <c r="V665" s="470"/>
      <c r="W665" s="315"/>
    </row>
    <row r="666" spans="1:23" ht="13.3" thickBot="1" x14ac:dyDescent="0.25">
      <c r="A666" s="611"/>
      <c r="B666" s="418" t="s">
        <v>58</v>
      </c>
      <c r="C666" s="411">
        <f>C663/C657-1</f>
        <v>-6.2111801242236142E-3</v>
      </c>
      <c r="D666" s="353"/>
      <c r="E666" s="353">
        <f>E663/E657-1</f>
        <v>-5.9171597633136397E-3</v>
      </c>
      <c r="F666" s="353">
        <f>F663/F657-1</f>
        <v>-5.5865921787709993E-3</v>
      </c>
      <c r="G666" s="353">
        <f>G663/G657-1</f>
        <v>-4.9751243781093191E-3</v>
      </c>
      <c r="H666" s="353"/>
      <c r="I666" s="353"/>
      <c r="J666" s="355"/>
      <c r="K666" s="434"/>
      <c r="L666" s="353">
        <f>L663/L657-1</f>
        <v>-4.7846889952152249E-3</v>
      </c>
      <c r="M666" s="467">
        <f>M663/M657-1</f>
        <v>-5.5865921787709993E-3</v>
      </c>
      <c r="N666" s="292">
        <f>N663/N657-1</f>
        <v>-5.5865921787709993E-3</v>
      </c>
      <c r="O666" s="445"/>
      <c r="P666" s="357"/>
      <c r="Q666" s="358"/>
      <c r="R666" s="353">
        <f>R663/R657-1</f>
        <v>-5.12820512820511E-3</v>
      </c>
      <c r="S666" s="471"/>
      <c r="T666" s="356"/>
      <c r="U666" s="357"/>
      <c r="V666" s="471"/>
      <c r="W666" s="359"/>
    </row>
    <row r="667" spans="1:23" x14ac:dyDescent="0.2">
      <c r="A667" s="611">
        <v>44124</v>
      </c>
      <c r="B667" s="419" t="s">
        <v>53</v>
      </c>
      <c r="C667" s="408">
        <v>1697.92</v>
      </c>
      <c r="D667" s="521"/>
      <c r="E667" s="346">
        <v>1715.64</v>
      </c>
      <c r="F667" s="346">
        <v>1808.77</v>
      </c>
      <c r="G667" s="346">
        <v>1853.11</v>
      </c>
      <c r="H667" s="521"/>
      <c r="I667" s="521"/>
      <c r="J667" s="522"/>
      <c r="K667" s="523"/>
      <c r="L667" s="346">
        <v>1933.31</v>
      </c>
      <c r="M667" s="256">
        <v>1656.64</v>
      </c>
      <c r="N667" s="462">
        <v>1672.09</v>
      </c>
      <c r="O667" s="442"/>
      <c r="P667" s="348"/>
      <c r="Q667" s="349"/>
      <c r="R667" s="346">
        <v>1748.88</v>
      </c>
      <c r="S667" s="346"/>
      <c r="T667" s="290"/>
      <c r="U667" s="348"/>
      <c r="V667" s="347"/>
      <c r="W667" s="346">
        <v>1236</v>
      </c>
    </row>
    <row r="668" spans="1:23" x14ac:dyDescent="0.2">
      <c r="A668" s="611"/>
      <c r="B668" s="415" t="s">
        <v>54</v>
      </c>
      <c r="C668" s="409">
        <v>1742</v>
      </c>
      <c r="D668" s="249"/>
      <c r="E668" s="250">
        <v>1833</v>
      </c>
      <c r="F668" s="250">
        <v>1937</v>
      </c>
      <c r="G668" s="250">
        <v>2171</v>
      </c>
      <c r="H668" s="249"/>
      <c r="I668" s="249"/>
      <c r="J668" s="330"/>
      <c r="K668" s="432"/>
      <c r="L668" s="250">
        <v>2262</v>
      </c>
      <c r="M668" s="245">
        <v>1788</v>
      </c>
      <c r="N668" s="520">
        <v>1788</v>
      </c>
      <c r="O668" s="530"/>
      <c r="P668" s="531"/>
      <c r="Q668" s="532"/>
      <c r="R668" s="250">
        <v>1944</v>
      </c>
      <c r="S668" s="496"/>
      <c r="T668" s="330"/>
      <c r="U668" s="334"/>
      <c r="V668" s="469"/>
      <c r="W668" s="315"/>
    </row>
    <row r="669" spans="1:23" x14ac:dyDescent="0.2">
      <c r="A669" s="611"/>
      <c r="B669" s="415" t="s">
        <v>55</v>
      </c>
      <c r="C669" s="409">
        <v>1.61</v>
      </c>
      <c r="D669" s="249"/>
      <c r="E669" s="250">
        <v>1.69</v>
      </c>
      <c r="F669" s="250">
        <v>1.79</v>
      </c>
      <c r="G669" s="250">
        <v>2.0099999999999998</v>
      </c>
      <c r="H669" s="249"/>
      <c r="I669" s="249"/>
      <c r="J669" s="330"/>
      <c r="K669" s="432"/>
      <c r="L669" s="250">
        <v>2.09</v>
      </c>
      <c r="M669" s="463">
        <v>1.79</v>
      </c>
      <c r="N669" s="464">
        <v>1.79</v>
      </c>
      <c r="O669" s="530"/>
      <c r="P669" s="531"/>
      <c r="Q669" s="532"/>
      <c r="R669" s="250">
        <v>1.95</v>
      </c>
      <c r="S669" s="469"/>
      <c r="T669" s="333"/>
      <c r="U669" s="334"/>
      <c r="V669" s="497"/>
      <c r="W669" s="315"/>
    </row>
    <row r="670" spans="1:23" x14ac:dyDescent="0.2">
      <c r="A670" s="611"/>
      <c r="B670" s="415" t="s">
        <v>56</v>
      </c>
      <c r="C670" s="410">
        <f>(C668-C667)/C668</f>
        <v>2.5304247990815112E-2</v>
      </c>
      <c r="D670" s="336"/>
      <c r="E670" s="336">
        <f>(E668-E667)/E668</f>
        <v>6.4026186579378017E-2</v>
      </c>
      <c r="F670" s="336">
        <f>(F668-F667)/F668</f>
        <v>6.6200309757356746E-2</v>
      </c>
      <c r="G670" s="336">
        <f>(G668-G667)/G668</f>
        <v>0.14642561031782594</v>
      </c>
      <c r="H670" s="336"/>
      <c r="I670" s="336"/>
      <c r="J670" s="338"/>
      <c r="K670" s="433"/>
      <c r="L670" s="336">
        <f>(L668-L667)/L668</f>
        <v>0.14530946065428826</v>
      </c>
      <c r="M670" s="465">
        <f>(M668-M667)/M668</f>
        <v>7.3467561521252736E-2</v>
      </c>
      <c r="N670" s="466">
        <f>(N668-N667)/N668</f>
        <v>6.48266219239374E-2</v>
      </c>
      <c r="O670" s="444"/>
      <c r="P670" s="340"/>
      <c r="Q670" s="341"/>
      <c r="R670" s="336">
        <f>(R668-R667)/R668</f>
        <v>0.10037037037037032</v>
      </c>
      <c r="S670" s="470"/>
      <c r="T670" s="339"/>
      <c r="U670" s="340"/>
      <c r="V670" s="470"/>
      <c r="W670" s="315"/>
    </row>
    <row r="671" spans="1:23" x14ac:dyDescent="0.2">
      <c r="A671" s="611"/>
      <c r="B671" s="415" t="s">
        <v>57</v>
      </c>
      <c r="C671" s="410">
        <f>(C668-C667)/C667</f>
        <v>2.5961176027139043E-2</v>
      </c>
      <c r="D671" s="336"/>
      <c r="E671" s="336">
        <f>(E668-E667)/E667</f>
        <v>6.8405959292159133E-2</v>
      </c>
      <c r="F671" s="336">
        <f>(F668-F667)/F667</f>
        <v>7.0893480099736297E-2</v>
      </c>
      <c r="G671" s="336">
        <f>(G668-G667)/G667</f>
        <v>0.17154405297041198</v>
      </c>
      <c r="H671" s="336"/>
      <c r="I671" s="336"/>
      <c r="J671" s="338"/>
      <c r="K671" s="433"/>
      <c r="L671" s="336">
        <f>(L668-L667)/L667</f>
        <v>0.17001412086007939</v>
      </c>
      <c r="M671" s="465">
        <f>(M668-M667)/M667</f>
        <v>7.9293026849526688E-2</v>
      </c>
      <c r="N671" s="466">
        <f>(N668-N667)/N667</f>
        <v>6.9320431316496178E-2</v>
      </c>
      <c r="O671" s="444"/>
      <c r="P671" s="340"/>
      <c r="Q671" s="341"/>
      <c r="R671" s="336">
        <f>(R668-R667)/R667</f>
        <v>0.11156854672704809</v>
      </c>
      <c r="S671" s="470"/>
      <c r="T671" s="339"/>
      <c r="U671" s="340"/>
      <c r="V671" s="470"/>
      <c r="W671" s="315"/>
    </row>
    <row r="672" spans="1:23" ht="13.3" thickBot="1" x14ac:dyDescent="0.25">
      <c r="A672" s="611"/>
      <c r="B672" s="418" t="s">
        <v>58</v>
      </c>
      <c r="C672" s="411">
        <f>C669/C663-1</f>
        <v>6.2500000000000888E-3</v>
      </c>
      <c r="D672" s="353"/>
      <c r="E672" s="353">
        <f>E669/E663-1</f>
        <v>5.9523809523809312E-3</v>
      </c>
      <c r="F672" s="353">
        <f>F669/F663-1</f>
        <v>5.6179775280897903E-3</v>
      </c>
      <c r="G672" s="353">
        <f>G669/G663-1</f>
        <v>4.9999999999998934E-3</v>
      </c>
      <c r="H672" s="353"/>
      <c r="I672" s="353"/>
      <c r="J672" s="355"/>
      <c r="K672" s="434"/>
      <c r="L672" s="353">
        <f>L669/L663-1</f>
        <v>4.8076923076922906E-3</v>
      </c>
      <c r="M672" s="467">
        <f>M669/M663-1</f>
        <v>5.6179775280897903E-3</v>
      </c>
      <c r="N672" s="292">
        <f>N669/N663-1</f>
        <v>5.6179775280897903E-3</v>
      </c>
      <c r="O672" s="445"/>
      <c r="P672" s="357"/>
      <c r="Q672" s="358"/>
      <c r="R672" s="353">
        <f>R669/R663-1</f>
        <v>5.1546391752577136E-3</v>
      </c>
      <c r="S672" s="471"/>
      <c r="T672" s="356"/>
      <c r="U672" s="357"/>
      <c r="V672" s="471"/>
      <c r="W672" s="359"/>
    </row>
    <row r="673" spans="1:23" x14ac:dyDescent="0.2">
      <c r="A673" s="611">
        <v>44131</v>
      </c>
      <c r="B673" s="419" t="s">
        <v>53</v>
      </c>
      <c r="C673" s="408">
        <v>1708.27</v>
      </c>
      <c r="D673" s="521"/>
      <c r="E673" s="346">
        <v>1725.61</v>
      </c>
      <c r="F673" s="346">
        <v>1818.7</v>
      </c>
      <c r="G673" s="346">
        <v>1862.18</v>
      </c>
      <c r="H673" s="521"/>
      <c r="I673" s="521"/>
      <c r="J673" s="522"/>
      <c r="K673" s="523"/>
      <c r="L673" s="346">
        <v>1942.41</v>
      </c>
      <c r="M673" s="256">
        <v>1665.72</v>
      </c>
      <c r="N673" s="462">
        <v>1681.26</v>
      </c>
      <c r="O673" s="442"/>
      <c r="P673" s="348"/>
      <c r="Q673" s="349"/>
      <c r="R673" s="346">
        <v>1757.69</v>
      </c>
      <c r="S673" s="346"/>
      <c r="T673" s="290"/>
      <c r="U673" s="348"/>
      <c r="V673" s="347"/>
      <c r="W673" s="346">
        <v>1236</v>
      </c>
    </row>
    <row r="674" spans="1:23" x14ac:dyDescent="0.2">
      <c r="A674" s="611"/>
      <c r="B674" s="415" t="s">
        <v>54</v>
      </c>
      <c r="C674" s="409">
        <v>1755</v>
      </c>
      <c r="D674" s="249"/>
      <c r="E674" s="250">
        <v>1846</v>
      </c>
      <c r="F674" s="250">
        <v>1950</v>
      </c>
      <c r="G674" s="250">
        <v>2184</v>
      </c>
      <c r="H674" s="249"/>
      <c r="I674" s="249"/>
      <c r="J674" s="330"/>
      <c r="K674" s="432"/>
      <c r="L674" s="250">
        <v>2275</v>
      </c>
      <c r="M674" s="245">
        <v>1800</v>
      </c>
      <c r="N674" s="520">
        <v>1800</v>
      </c>
      <c r="O674" s="530"/>
      <c r="P674" s="531"/>
      <c r="Q674" s="532"/>
      <c r="R674" s="250">
        <v>1956</v>
      </c>
      <c r="S674" s="496"/>
      <c r="T674" s="330"/>
      <c r="U674" s="334"/>
      <c r="V674" s="469"/>
      <c r="W674" s="315"/>
    </row>
    <row r="675" spans="1:23" x14ac:dyDescent="0.2">
      <c r="A675" s="611"/>
      <c r="B675" s="415" t="s">
        <v>55</v>
      </c>
      <c r="C675" s="409">
        <v>1.62</v>
      </c>
      <c r="D675" s="249"/>
      <c r="E675" s="250">
        <v>1.7</v>
      </c>
      <c r="F675" s="250">
        <v>1.8</v>
      </c>
      <c r="G675" s="250">
        <v>2.02</v>
      </c>
      <c r="H675" s="249"/>
      <c r="I675" s="249"/>
      <c r="J675" s="330"/>
      <c r="K675" s="432"/>
      <c r="L675" s="250">
        <v>2.1</v>
      </c>
      <c r="M675" s="463">
        <v>1.8</v>
      </c>
      <c r="N675" s="464">
        <v>1.8</v>
      </c>
      <c r="O675" s="530"/>
      <c r="P675" s="531"/>
      <c r="Q675" s="532"/>
      <c r="R675" s="250">
        <v>1.96</v>
      </c>
      <c r="S675" s="469"/>
      <c r="T675" s="333"/>
      <c r="U675" s="334"/>
      <c r="V675" s="497"/>
      <c r="W675" s="315"/>
    </row>
    <row r="676" spans="1:23" x14ac:dyDescent="0.2">
      <c r="A676" s="611"/>
      <c r="B676" s="415" t="s">
        <v>56</v>
      </c>
      <c r="C676" s="410">
        <f>(C674-C673)/C674</f>
        <v>2.6626780626780637E-2</v>
      </c>
      <c r="D676" s="336"/>
      <c r="E676" s="336">
        <f>(E674-E673)/E674</f>
        <v>6.5216684723727034E-2</v>
      </c>
      <c r="F676" s="336">
        <f>(F674-F673)/F674</f>
        <v>6.7333333333333314E-2</v>
      </c>
      <c r="G676" s="336">
        <f>(G674-G673)/G674</f>
        <v>0.14735347985347982</v>
      </c>
      <c r="H676" s="336"/>
      <c r="I676" s="336"/>
      <c r="J676" s="338"/>
      <c r="K676" s="433"/>
      <c r="L676" s="336">
        <f>(L674-L673)/L674</f>
        <v>0.14619340659340654</v>
      </c>
      <c r="M676" s="465">
        <f>(M674-M673)/M674</f>
        <v>7.4599999999999986E-2</v>
      </c>
      <c r="N676" s="466">
        <f>(N674-N673)/N674</f>
        <v>6.5966666666666673E-2</v>
      </c>
      <c r="O676" s="444"/>
      <c r="P676" s="340"/>
      <c r="Q676" s="341"/>
      <c r="R676" s="336">
        <f>(R674-R673)/R674</f>
        <v>0.10138548057259711</v>
      </c>
      <c r="S676" s="470"/>
      <c r="T676" s="339"/>
      <c r="U676" s="340"/>
      <c r="V676" s="470"/>
      <c r="W676" s="315"/>
    </row>
    <row r="677" spans="1:23" x14ac:dyDescent="0.2">
      <c r="A677" s="611"/>
      <c r="B677" s="415" t="s">
        <v>57</v>
      </c>
      <c r="C677" s="410">
        <f>(C674-C673)/C673</f>
        <v>2.7355160483998442E-2</v>
      </c>
      <c r="D677" s="336"/>
      <c r="E677" s="336">
        <f>(E674-E673)/E673</f>
        <v>6.9766633248532467E-2</v>
      </c>
      <c r="F677" s="336">
        <f>(F674-F673)/F673</f>
        <v>7.2194424588992112E-2</v>
      </c>
      <c r="G677" s="336">
        <f>(G674-G673)/G673</f>
        <v>0.17281895412903153</v>
      </c>
      <c r="H677" s="336"/>
      <c r="I677" s="336"/>
      <c r="J677" s="338"/>
      <c r="K677" s="433"/>
      <c r="L677" s="336">
        <f>(L674-L673)/L673</f>
        <v>0.17122543644235763</v>
      </c>
      <c r="M677" s="465">
        <f>(M674-M673)/M673</f>
        <v>8.061378863194292E-2</v>
      </c>
      <c r="N677" s="466">
        <f>(N674-N673)/N673</f>
        <v>7.0625602226901257E-2</v>
      </c>
      <c r="O677" s="444"/>
      <c r="P677" s="340"/>
      <c r="Q677" s="341"/>
      <c r="R677" s="336">
        <f>(R674-R673)/R673</f>
        <v>0.11282421814995815</v>
      </c>
      <c r="S677" s="470"/>
      <c r="T677" s="339"/>
      <c r="U677" s="340"/>
      <c r="V677" s="470"/>
      <c r="W677" s="315"/>
    </row>
    <row r="678" spans="1:23" ht="13.3" thickBot="1" x14ac:dyDescent="0.25">
      <c r="A678" s="611"/>
      <c r="B678" s="418" t="s">
        <v>58</v>
      </c>
      <c r="C678" s="411">
        <f>C675/C669-1</f>
        <v>6.2111801242235032E-3</v>
      </c>
      <c r="D678" s="353"/>
      <c r="E678" s="353">
        <f>E675/E669-1</f>
        <v>5.9171597633136397E-3</v>
      </c>
      <c r="F678" s="353">
        <f>F675/F669-1</f>
        <v>5.5865921787709993E-3</v>
      </c>
      <c r="G678" s="353">
        <f>G675/G669-1</f>
        <v>4.9751243781095411E-3</v>
      </c>
      <c r="H678" s="353"/>
      <c r="I678" s="353"/>
      <c r="J678" s="355"/>
      <c r="K678" s="434"/>
      <c r="L678" s="353">
        <f>L675/L669-1</f>
        <v>4.784688995215447E-3</v>
      </c>
      <c r="M678" s="467">
        <f>M675/M669-1</f>
        <v>5.5865921787709993E-3</v>
      </c>
      <c r="N678" s="292">
        <f>N675/N669-1</f>
        <v>5.5865921787709993E-3</v>
      </c>
      <c r="O678" s="445"/>
      <c r="P678" s="357"/>
      <c r="Q678" s="358"/>
      <c r="R678" s="353">
        <f>R675/R669-1</f>
        <v>5.12820512820511E-3</v>
      </c>
      <c r="S678" s="471"/>
      <c r="T678" s="356"/>
      <c r="U678" s="357"/>
      <c r="V678" s="471"/>
      <c r="W678" s="359"/>
    </row>
    <row r="679" spans="1:23" x14ac:dyDescent="0.2">
      <c r="A679" s="611">
        <v>44217</v>
      </c>
      <c r="B679" s="419" t="s">
        <v>53</v>
      </c>
      <c r="C679" s="408">
        <v>1718.62</v>
      </c>
      <c r="D679" s="521"/>
      <c r="E679" s="346">
        <v>1735.58</v>
      </c>
      <c r="F679" s="346">
        <v>1828.63</v>
      </c>
      <c r="G679" s="346">
        <v>1871.25</v>
      </c>
      <c r="H679" s="521"/>
      <c r="I679" s="521"/>
      <c r="J679" s="522"/>
      <c r="K679" s="523"/>
      <c r="L679" s="346">
        <v>1951.51</v>
      </c>
      <c r="M679" s="256">
        <v>1674.8</v>
      </c>
      <c r="N679" s="462">
        <v>1690.43</v>
      </c>
      <c r="O679" s="442"/>
      <c r="P679" s="348"/>
      <c r="Q679" s="349"/>
      <c r="R679" s="346">
        <v>1766.5</v>
      </c>
      <c r="S679" s="346"/>
      <c r="T679" s="290"/>
      <c r="U679" s="348"/>
      <c r="V679" s="347"/>
      <c r="W679" s="346">
        <v>1236</v>
      </c>
    </row>
    <row r="680" spans="1:23" x14ac:dyDescent="0.2">
      <c r="A680" s="611"/>
      <c r="B680" s="415" t="s">
        <v>54</v>
      </c>
      <c r="C680" s="409">
        <v>1768</v>
      </c>
      <c r="D680" s="249"/>
      <c r="E680" s="250">
        <v>1846</v>
      </c>
      <c r="F680" s="250">
        <v>1963</v>
      </c>
      <c r="G680" s="250">
        <v>2197</v>
      </c>
      <c r="H680" s="249"/>
      <c r="I680" s="249"/>
      <c r="J680" s="330"/>
      <c r="K680" s="432"/>
      <c r="L680" s="250">
        <v>2288</v>
      </c>
      <c r="M680" s="245">
        <v>1812</v>
      </c>
      <c r="N680" s="520">
        <v>1812</v>
      </c>
      <c r="O680" s="530"/>
      <c r="P680" s="531"/>
      <c r="Q680" s="532"/>
      <c r="R680" s="250">
        <v>1968</v>
      </c>
      <c r="S680" s="496"/>
      <c r="T680" s="330"/>
      <c r="U680" s="334"/>
      <c r="V680" s="469"/>
      <c r="W680" s="315"/>
    </row>
    <row r="681" spans="1:23" x14ac:dyDescent="0.2">
      <c r="A681" s="611"/>
      <c r="B681" s="415" t="s">
        <v>55</v>
      </c>
      <c r="C681" s="409">
        <v>1.63</v>
      </c>
      <c r="D681" s="249"/>
      <c r="E681" s="250">
        <v>1.71</v>
      </c>
      <c r="F681" s="250">
        <v>1.81</v>
      </c>
      <c r="G681" s="250">
        <v>2.0299999999999998</v>
      </c>
      <c r="H681" s="249"/>
      <c r="I681" s="249"/>
      <c r="J681" s="330"/>
      <c r="K681" s="432"/>
      <c r="L681" s="250">
        <v>2.11</v>
      </c>
      <c r="M681" s="463">
        <v>1.81</v>
      </c>
      <c r="N681" s="464">
        <v>1.81</v>
      </c>
      <c r="O681" s="530"/>
      <c r="P681" s="531"/>
      <c r="Q681" s="532"/>
      <c r="R681" s="250">
        <v>1.97</v>
      </c>
      <c r="S681" s="469"/>
      <c r="T681" s="333"/>
      <c r="U681" s="334"/>
      <c r="V681" s="497"/>
      <c r="W681" s="315"/>
    </row>
    <row r="682" spans="1:23" x14ac:dyDescent="0.2">
      <c r="A682" s="611"/>
      <c r="B682" s="415" t="s">
        <v>56</v>
      </c>
      <c r="C682" s="410">
        <f>(C680-C679)/C680</f>
        <v>2.7929864253393728E-2</v>
      </c>
      <c r="D682" s="336"/>
      <c r="E682" s="336">
        <f>(E680-E679)/E680</f>
        <v>5.9815817984832112E-2</v>
      </c>
      <c r="F682" s="336">
        <f>(F680-F679)/F680</f>
        <v>6.845134997452873E-2</v>
      </c>
      <c r="G682" s="336">
        <f>(G680-G679)/G680</f>
        <v>0.14827036868456986</v>
      </c>
      <c r="H682" s="336"/>
      <c r="I682" s="336"/>
      <c r="J682" s="338"/>
      <c r="K682" s="433"/>
      <c r="L682" s="336">
        <f>(L680-L679)/L680</f>
        <v>0.14706730769230769</v>
      </c>
      <c r="M682" s="465">
        <f>(M680-M679)/M680</f>
        <v>7.5717439293598254E-2</v>
      </c>
      <c r="N682" s="466">
        <f>(N680-N679)/N680</f>
        <v>6.7091611479028659E-2</v>
      </c>
      <c r="O682" s="444"/>
      <c r="P682" s="340"/>
      <c r="Q682" s="341"/>
      <c r="R682" s="336">
        <f>(R680-R679)/R680</f>
        <v>0.10238821138211382</v>
      </c>
      <c r="S682" s="470"/>
      <c r="T682" s="339"/>
      <c r="U682" s="340"/>
      <c r="V682" s="470"/>
      <c r="W682" s="315"/>
    </row>
    <row r="683" spans="1:23" x14ac:dyDescent="0.2">
      <c r="A683" s="611"/>
      <c r="B683" s="415" t="s">
        <v>57</v>
      </c>
      <c r="C683" s="410">
        <f>(C680-C679)/C679</f>
        <v>2.8732355029034987E-2</v>
      </c>
      <c r="D683" s="336"/>
      <c r="E683" s="336">
        <f>(E680-E679)/E679</f>
        <v>6.3621383053503774E-2</v>
      </c>
      <c r="F683" s="336">
        <f>(F680-F679)/F679</f>
        <v>7.3481240054029451E-2</v>
      </c>
      <c r="G683" s="336">
        <f>(G680-G679)/G679</f>
        <v>0.1740814963259853</v>
      </c>
      <c r="H683" s="336"/>
      <c r="I683" s="336"/>
      <c r="J683" s="338"/>
      <c r="K683" s="433"/>
      <c r="L683" s="336">
        <f>(L680-L679)/L679</f>
        <v>0.17242545516036301</v>
      </c>
      <c r="M683" s="465">
        <f>(M680-M679)/M679</f>
        <v>8.1920229281108217E-2</v>
      </c>
      <c r="N683" s="466">
        <f>(N680-N679)/N679</f>
        <v>7.1916612932804033E-2</v>
      </c>
      <c r="O683" s="444"/>
      <c r="P683" s="340"/>
      <c r="Q683" s="341"/>
      <c r="R683" s="336">
        <f>(R680-R679)/R679</f>
        <v>0.11406736484574016</v>
      </c>
      <c r="S683" s="470"/>
      <c r="T683" s="339"/>
      <c r="U683" s="340"/>
      <c r="V683" s="470"/>
      <c r="W683" s="315"/>
    </row>
    <row r="684" spans="1:23" ht="13.3" thickBot="1" x14ac:dyDescent="0.25">
      <c r="A684" s="611"/>
      <c r="B684" s="418" t="s">
        <v>58</v>
      </c>
      <c r="C684" s="411">
        <f>C681/C675-1</f>
        <v>6.1728395061726449E-3</v>
      </c>
      <c r="D684" s="353"/>
      <c r="E684" s="353">
        <f>E681/E675-1</f>
        <v>5.8823529411764497E-3</v>
      </c>
      <c r="F684" s="353">
        <f>F681/F675-1</f>
        <v>5.5555555555555358E-3</v>
      </c>
      <c r="G684" s="353">
        <f>G681/G675-1</f>
        <v>4.9504950495049549E-3</v>
      </c>
      <c r="H684" s="353"/>
      <c r="I684" s="353"/>
      <c r="J684" s="355"/>
      <c r="K684" s="434"/>
      <c r="L684" s="353">
        <f>L681/L675-1</f>
        <v>4.761904761904745E-3</v>
      </c>
      <c r="M684" s="467">
        <f>M681/M675-1</f>
        <v>5.5555555555555358E-3</v>
      </c>
      <c r="N684" s="292">
        <f>N681/N675-1</f>
        <v>5.5555555555555358E-3</v>
      </c>
      <c r="O684" s="445"/>
      <c r="P684" s="357"/>
      <c r="Q684" s="358"/>
      <c r="R684" s="353">
        <f>R681/R675-1</f>
        <v>5.1020408163264808E-3</v>
      </c>
      <c r="S684" s="471"/>
      <c r="T684" s="356"/>
      <c r="U684" s="357"/>
      <c r="V684" s="471"/>
      <c r="W684" s="359"/>
    </row>
    <row r="685" spans="1:23" x14ac:dyDescent="0.2">
      <c r="A685" s="611">
        <v>44224</v>
      </c>
      <c r="B685" s="419" t="s">
        <v>53</v>
      </c>
      <c r="C685" s="408">
        <v>1728.97</v>
      </c>
      <c r="D685" s="521"/>
      <c r="E685" s="346">
        <v>1745.55</v>
      </c>
      <c r="F685" s="346">
        <v>1838.56</v>
      </c>
      <c r="G685" s="346">
        <v>1880.32</v>
      </c>
      <c r="H685" s="521"/>
      <c r="I685" s="521"/>
      <c r="J685" s="522"/>
      <c r="K685" s="523"/>
      <c r="L685" s="346">
        <v>1960.61</v>
      </c>
      <c r="M685" s="256">
        <v>1683.88</v>
      </c>
      <c r="N685" s="462">
        <v>1699.6</v>
      </c>
      <c r="O685" s="442"/>
      <c r="P685" s="348"/>
      <c r="Q685" s="349"/>
      <c r="R685" s="346">
        <v>1775.31</v>
      </c>
      <c r="S685" s="346"/>
      <c r="T685" s="290"/>
      <c r="U685" s="348"/>
      <c r="V685" s="347"/>
      <c r="W685" s="346">
        <v>1242.51</v>
      </c>
    </row>
    <row r="686" spans="1:23" x14ac:dyDescent="0.2">
      <c r="A686" s="611"/>
      <c r="B686" s="415" t="s">
        <v>54</v>
      </c>
      <c r="C686" s="409">
        <v>1781</v>
      </c>
      <c r="D686" s="249"/>
      <c r="E686" s="250">
        <v>1859</v>
      </c>
      <c r="F686" s="250">
        <v>1976</v>
      </c>
      <c r="G686" s="250">
        <v>2210</v>
      </c>
      <c r="H686" s="249"/>
      <c r="I686" s="249"/>
      <c r="J686" s="330"/>
      <c r="K686" s="432"/>
      <c r="L686" s="250">
        <v>2301</v>
      </c>
      <c r="M686" s="245">
        <v>1824</v>
      </c>
      <c r="N686" s="520">
        <v>1824</v>
      </c>
      <c r="O686" s="530"/>
      <c r="P686" s="531"/>
      <c r="Q686" s="532"/>
      <c r="R686" s="250">
        <v>1980</v>
      </c>
      <c r="S686" s="496"/>
      <c r="T686" s="330"/>
      <c r="U686" s="334"/>
      <c r="V686" s="469"/>
      <c r="W686" s="315"/>
    </row>
    <row r="687" spans="1:23" x14ac:dyDescent="0.2">
      <c r="A687" s="611"/>
      <c r="B687" s="415" t="s">
        <v>55</v>
      </c>
      <c r="C687" s="409">
        <v>1.64</v>
      </c>
      <c r="D687" s="249"/>
      <c r="E687" s="250">
        <v>1.72</v>
      </c>
      <c r="F687" s="250">
        <v>1.82</v>
      </c>
      <c r="G687" s="250">
        <v>2.04</v>
      </c>
      <c r="H687" s="249"/>
      <c r="I687" s="249"/>
      <c r="J687" s="330"/>
      <c r="K687" s="432"/>
      <c r="L687" s="250">
        <v>2.12</v>
      </c>
      <c r="M687" s="463">
        <v>1.82</v>
      </c>
      <c r="N687" s="464">
        <v>1.82</v>
      </c>
      <c r="O687" s="530"/>
      <c r="P687" s="531"/>
      <c r="Q687" s="532"/>
      <c r="R687" s="250">
        <v>1.98</v>
      </c>
      <c r="S687" s="469"/>
      <c r="T687" s="333"/>
      <c r="U687" s="334"/>
      <c r="V687" s="497"/>
      <c r="W687" s="315"/>
    </row>
    <row r="688" spans="1:23" x14ac:dyDescent="0.2">
      <c r="A688" s="611"/>
      <c r="B688" s="415" t="s">
        <v>56</v>
      </c>
      <c r="C688" s="410">
        <f>(C686-C685)/C686</f>
        <v>2.9213924761370001E-2</v>
      </c>
      <c r="D688" s="336"/>
      <c r="E688" s="336">
        <f>(E686-E685)/E686</f>
        <v>6.1027434104357209E-2</v>
      </c>
      <c r="F688" s="336">
        <f>(F686-F685)/F686</f>
        <v>6.9554655870445375E-2</v>
      </c>
      <c r="G688" s="336">
        <f>(G686-G685)/G686</f>
        <v>0.14917647058823533</v>
      </c>
      <c r="H688" s="336"/>
      <c r="I688" s="336"/>
      <c r="J688" s="338"/>
      <c r="K688" s="433"/>
      <c r="L688" s="336">
        <f>(L686-L685)/L686</f>
        <v>0.14793133420252069</v>
      </c>
      <c r="M688" s="465">
        <f>(M686-M685)/M686</f>
        <v>7.6820175438596427E-2</v>
      </c>
      <c r="N688" s="466">
        <f>(N686-N685)/N686</f>
        <v>6.8201754385964958E-2</v>
      </c>
      <c r="O688" s="444"/>
      <c r="P688" s="340"/>
      <c r="Q688" s="341"/>
      <c r="R688" s="336">
        <f>(R686-R685)/R686</f>
        <v>0.1033787878787879</v>
      </c>
      <c r="S688" s="470"/>
      <c r="T688" s="339"/>
      <c r="U688" s="340"/>
      <c r="V688" s="470"/>
      <c r="W688" s="315"/>
    </row>
    <row r="689" spans="1:23" x14ac:dyDescent="0.2">
      <c r="A689" s="611"/>
      <c r="B689" s="415" t="s">
        <v>57</v>
      </c>
      <c r="C689" s="410">
        <f>(C686-C685)/C685</f>
        <v>3.0093061186718086E-2</v>
      </c>
      <c r="D689" s="336"/>
      <c r="E689" s="336">
        <f>(E686-E685)/E685</f>
        <v>6.4993841482627282E-2</v>
      </c>
      <c r="F689" s="336">
        <f>(F686-F685)/F685</f>
        <v>7.4754155425985583E-2</v>
      </c>
      <c r="G689" s="336">
        <f>(G686-G685)/G685</f>
        <v>0.17533185840707968</v>
      </c>
      <c r="H689" s="336"/>
      <c r="I689" s="336"/>
      <c r="J689" s="338"/>
      <c r="K689" s="433"/>
      <c r="L689" s="336">
        <f>(L686-L685)/L685</f>
        <v>0.17361433431432061</v>
      </c>
      <c r="M689" s="465">
        <f>(M686-M685)/M685</f>
        <v>8.3212580468916955E-2</v>
      </c>
      <c r="N689" s="466">
        <f>(N686-N685)/N685</f>
        <v>7.3193692633560889E-2</v>
      </c>
      <c r="O689" s="444"/>
      <c r="P689" s="340"/>
      <c r="Q689" s="341"/>
      <c r="R689" s="336">
        <f>(R686-R685)/R685</f>
        <v>0.11529817327677987</v>
      </c>
      <c r="S689" s="470"/>
      <c r="T689" s="339"/>
      <c r="U689" s="340"/>
      <c r="V689" s="470"/>
      <c r="W689" s="315"/>
    </row>
    <row r="690" spans="1:23" ht="13.3" thickBot="1" x14ac:dyDescent="0.25">
      <c r="A690" s="611"/>
      <c r="B690" s="418" t="s">
        <v>58</v>
      </c>
      <c r="C690" s="411">
        <f>C687/C681-1</f>
        <v>6.1349693251533388E-3</v>
      </c>
      <c r="D690" s="353"/>
      <c r="E690" s="353">
        <f>E687/E681-1</f>
        <v>5.8479532163742132E-3</v>
      </c>
      <c r="F690" s="353">
        <f>F687/F681-1</f>
        <v>5.5248618784531356E-3</v>
      </c>
      <c r="G690" s="353">
        <f>G687/G681-1</f>
        <v>4.9261083743843415E-3</v>
      </c>
      <c r="H690" s="353"/>
      <c r="I690" s="353"/>
      <c r="J690" s="355"/>
      <c r="K690" s="434"/>
      <c r="L690" s="353">
        <f>L687/L681-1</f>
        <v>4.7393364928911552E-3</v>
      </c>
      <c r="M690" s="467">
        <f>M687/M681-1</f>
        <v>5.5248618784531356E-3</v>
      </c>
      <c r="N690" s="292">
        <f>N687/N681-1</f>
        <v>5.5248618784531356E-3</v>
      </c>
      <c r="O690" s="445"/>
      <c r="P690" s="357"/>
      <c r="Q690" s="358"/>
      <c r="R690" s="353">
        <f>R687/R681-1</f>
        <v>5.0761421319795996E-3</v>
      </c>
      <c r="S690" s="471"/>
      <c r="T690" s="356"/>
      <c r="U690" s="357"/>
      <c r="V690" s="471"/>
      <c r="W690" s="359"/>
    </row>
    <row r="691" spans="1:23" x14ac:dyDescent="0.2">
      <c r="A691" s="611">
        <v>44243</v>
      </c>
      <c r="B691" s="419" t="s">
        <v>53</v>
      </c>
      <c r="C691" s="408">
        <v>1739.32</v>
      </c>
      <c r="D691" s="521"/>
      <c r="E691" s="346">
        <v>1755.52</v>
      </c>
      <c r="F691" s="346">
        <v>1848.49</v>
      </c>
      <c r="G691" s="346">
        <v>1889.39</v>
      </c>
      <c r="H691" s="521"/>
      <c r="I691" s="521"/>
      <c r="J691" s="522"/>
      <c r="K691" s="523"/>
      <c r="L691" s="346">
        <v>1969.71</v>
      </c>
      <c r="M691" s="256">
        <v>1692.96</v>
      </c>
      <c r="N691" s="462">
        <v>1708.77</v>
      </c>
      <c r="O691" s="442"/>
      <c r="P691" s="348"/>
      <c r="Q691" s="349"/>
      <c r="R691" s="346">
        <v>1784.12</v>
      </c>
      <c r="S691" s="346"/>
      <c r="T691" s="290"/>
      <c r="U691" s="348"/>
      <c r="V691" s="347"/>
      <c r="W691" s="346">
        <v>1249.05</v>
      </c>
    </row>
    <row r="692" spans="1:23" x14ac:dyDescent="0.2">
      <c r="A692" s="611"/>
      <c r="B692" s="415" t="s">
        <v>54</v>
      </c>
      <c r="C692" s="409">
        <v>1781</v>
      </c>
      <c r="D692" s="249"/>
      <c r="E692" s="250">
        <v>1872</v>
      </c>
      <c r="F692" s="250">
        <v>1976</v>
      </c>
      <c r="G692" s="250">
        <v>2223</v>
      </c>
      <c r="H692" s="249"/>
      <c r="I692" s="249"/>
      <c r="J692" s="330"/>
      <c r="K692" s="432"/>
      <c r="L692" s="250">
        <v>2301</v>
      </c>
      <c r="M692" s="245">
        <v>1824</v>
      </c>
      <c r="N692" s="520">
        <v>1824</v>
      </c>
      <c r="O692" s="530"/>
      <c r="P692" s="531"/>
      <c r="Q692" s="532"/>
      <c r="R692" s="250">
        <v>1992</v>
      </c>
      <c r="S692" s="496"/>
      <c r="T692" s="330"/>
      <c r="U692" s="334"/>
      <c r="V692" s="469"/>
      <c r="W692" s="315"/>
    </row>
    <row r="693" spans="1:23" x14ac:dyDescent="0.2">
      <c r="A693" s="611"/>
      <c r="B693" s="415" t="s">
        <v>55</v>
      </c>
      <c r="C693" s="409">
        <v>1.65</v>
      </c>
      <c r="D693" s="249"/>
      <c r="E693" s="250">
        <v>1.73</v>
      </c>
      <c r="F693" s="250">
        <v>1.83</v>
      </c>
      <c r="G693" s="250">
        <v>2.0499999999999998</v>
      </c>
      <c r="H693" s="249"/>
      <c r="I693" s="249"/>
      <c r="J693" s="330"/>
      <c r="K693" s="432"/>
      <c r="L693" s="250">
        <v>2.13</v>
      </c>
      <c r="M693" s="463">
        <v>1.83</v>
      </c>
      <c r="N693" s="464">
        <v>1.83</v>
      </c>
      <c r="O693" s="530"/>
      <c r="P693" s="531"/>
      <c r="Q693" s="532"/>
      <c r="R693" s="250">
        <v>1.99</v>
      </c>
      <c r="S693" s="469"/>
      <c r="T693" s="333"/>
      <c r="U693" s="334"/>
      <c r="V693" s="497"/>
      <c r="W693" s="315"/>
    </row>
    <row r="694" spans="1:23" x14ac:dyDescent="0.2">
      <c r="A694" s="611"/>
      <c r="B694" s="415" t="s">
        <v>56</v>
      </c>
      <c r="C694" s="410">
        <f>(C692-C691)/C692</f>
        <v>2.340258281864125E-2</v>
      </c>
      <c r="D694" s="336"/>
      <c r="E694" s="336">
        <f>(E692-E691)/E692</f>
        <v>6.2222222222222234E-2</v>
      </c>
      <c r="F694" s="336">
        <f>(F692-F691)/F692</f>
        <v>6.452935222672064E-2</v>
      </c>
      <c r="G694" s="336">
        <f>(G692-G691)/G692</f>
        <v>0.15007197480881687</v>
      </c>
      <c r="H694" s="336"/>
      <c r="I694" s="336"/>
      <c r="J694" s="338"/>
      <c r="K694" s="433"/>
      <c r="L694" s="336">
        <f>(L692-L691)/L692</f>
        <v>0.14397653194263363</v>
      </c>
      <c r="M694" s="465">
        <f>(M692-M691)/M692</f>
        <v>7.1842105263157874E-2</v>
      </c>
      <c r="N694" s="466">
        <f>(N692-N691)/N692</f>
        <v>6.3174342105263168E-2</v>
      </c>
      <c r="O694" s="444"/>
      <c r="P694" s="340"/>
      <c r="Q694" s="341"/>
      <c r="R694" s="336">
        <f>(R692-R691)/R692</f>
        <v>0.10435742971887556</v>
      </c>
      <c r="S694" s="470"/>
      <c r="T694" s="339"/>
      <c r="U694" s="340"/>
      <c r="V694" s="470"/>
      <c r="W694" s="315"/>
    </row>
    <row r="695" spans="1:23" x14ac:dyDescent="0.2">
      <c r="A695" s="611"/>
      <c r="B695" s="415" t="s">
        <v>57</v>
      </c>
      <c r="C695" s="410">
        <f>(C692-C691)/C691</f>
        <v>2.3963387990709049E-2</v>
      </c>
      <c r="D695" s="336"/>
      <c r="E695" s="336">
        <f>(E692-E691)/E691</f>
        <v>6.6350710900473939E-2</v>
      </c>
      <c r="F695" s="336">
        <f>(F692-F691)/F691</f>
        <v>6.8980627431038305E-2</v>
      </c>
      <c r="G695" s="336">
        <f>(G692-G691)/G691</f>
        <v>0.1765702157839302</v>
      </c>
      <c r="H695" s="336"/>
      <c r="I695" s="336"/>
      <c r="J695" s="338"/>
      <c r="K695" s="433"/>
      <c r="L695" s="336">
        <f>(L692-L691)/L691</f>
        <v>0.16819227195881625</v>
      </c>
      <c r="M695" s="465">
        <f>(M692-M691)/M691</f>
        <v>7.7402891976183705E-2</v>
      </c>
      <c r="N695" s="466">
        <f>(N692-N691)/N691</f>
        <v>6.743447040853949E-2</v>
      </c>
      <c r="O695" s="444"/>
      <c r="P695" s="340"/>
      <c r="Q695" s="341"/>
      <c r="R695" s="336">
        <f>(R692-R691)/R691</f>
        <v>0.11651682622245148</v>
      </c>
      <c r="S695" s="470"/>
      <c r="T695" s="339"/>
      <c r="U695" s="340"/>
      <c r="V695" s="470"/>
      <c r="W695" s="315"/>
    </row>
    <row r="696" spans="1:23" ht="13.3" thickBot="1" x14ac:dyDescent="0.25">
      <c r="A696" s="611"/>
      <c r="B696" s="418" t="s">
        <v>58</v>
      </c>
      <c r="C696" s="411">
        <f>C693/C687-1</f>
        <v>6.0975609756097615E-3</v>
      </c>
      <c r="D696" s="353"/>
      <c r="E696" s="353">
        <f>E693/E687-1</f>
        <v>5.8139534883721034E-3</v>
      </c>
      <c r="F696" s="353">
        <f>F693/F687-1</f>
        <v>5.494505494505475E-3</v>
      </c>
      <c r="G696" s="353">
        <f>G693/G687-1</f>
        <v>4.9019607843137081E-3</v>
      </c>
      <c r="H696" s="353"/>
      <c r="I696" s="353"/>
      <c r="J696" s="355"/>
      <c r="K696" s="434"/>
      <c r="L696" s="353">
        <f>L693/L687-1</f>
        <v>4.7169811320753041E-3</v>
      </c>
      <c r="M696" s="467">
        <f>M693/M687-1</f>
        <v>5.494505494505475E-3</v>
      </c>
      <c r="N696" s="292">
        <f>N693/N687-1</f>
        <v>5.494505494505475E-3</v>
      </c>
      <c r="O696" s="445"/>
      <c r="P696" s="357"/>
      <c r="Q696" s="358"/>
      <c r="R696" s="353">
        <f>R693/R687-1</f>
        <v>5.050505050504972E-3</v>
      </c>
      <c r="S696" s="471"/>
      <c r="T696" s="356"/>
      <c r="U696" s="357"/>
      <c r="V696" s="471"/>
      <c r="W696" s="359"/>
    </row>
    <row r="697" spans="1:23" x14ac:dyDescent="0.2">
      <c r="A697" s="611">
        <v>44250</v>
      </c>
      <c r="B697" s="419" t="s">
        <v>53</v>
      </c>
      <c r="C697" s="408">
        <v>1749.67</v>
      </c>
      <c r="D697" s="521"/>
      <c r="E697" s="346">
        <v>1765.49</v>
      </c>
      <c r="F697" s="346">
        <v>1858.42</v>
      </c>
      <c r="G697" s="346">
        <v>1898.46</v>
      </c>
      <c r="H697" s="521"/>
      <c r="I697" s="521"/>
      <c r="J697" s="522"/>
      <c r="K697" s="523"/>
      <c r="L697" s="346">
        <v>1978.81</v>
      </c>
      <c r="M697" s="256">
        <v>1702.04</v>
      </c>
      <c r="N697" s="462">
        <v>1717.94</v>
      </c>
      <c r="O697" s="442"/>
      <c r="P697" s="348"/>
      <c r="Q697" s="349"/>
      <c r="R697" s="346">
        <v>1792.93</v>
      </c>
      <c r="S697" s="346"/>
      <c r="T697" s="290"/>
      <c r="U697" s="348"/>
      <c r="V697" s="347"/>
      <c r="W697" s="346">
        <v>1255.6300000000001</v>
      </c>
    </row>
    <row r="698" spans="1:23" x14ac:dyDescent="0.2">
      <c r="A698" s="611"/>
      <c r="B698" s="415" t="s">
        <v>54</v>
      </c>
      <c r="C698" s="409">
        <v>1794</v>
      </c>
      <c r="D698" s="249"/>
      <c r="E698" s="250">
        <v>1885</v>
      </c>
      <c r="F698" s="250">
        <v>1989</v>
      </c>
      <c r="G698" s="250">
        <v>2236</v>
      </c>
      <c r="H698" s="249"/>
      <c r="I698" s="249"/>
      <c r="J698" s="330"/>
      <c r="K698" s="432"/>
      <c r="L698" s="250">
        <v>2314</v>
      </c>
      <c r="M698" s="245">
        <v>1836</v>
      </c>
      <c r="N698" s="520">
        <v>1836</v>
      </c>
      <c r="O698" s="530"/>
      <c r="P698" s="531"/>
      <c r="Q698" s="532"/>
      <c r="R698" s="250">
        <v>2004</v>
      </c>
      <c r="S698" s="496"/>
      <c r="T698" s="330"/>
      <c r="U698" s="334"/>
      <c r="V698" s="469"/>
      <c r="W698" s="315"/>
    </row>
    <row r="699" spans="1:23" x14ac:dyDescent="0.2">
      <c r="A699" s="611"/>
      <c r="B699" s="415" t="s">
        <v>55</v>
      </c>
      <c r="C699" s="409">
        <v>1.66</v>
      </c>
      <c r="D699" s="249"/>
      <c r="E699" s="250">
        <v>1.74</v>
      </c>
      <c r="F699" s="250">
        <v>1.84</v>
      </c>
      <c r="G699" s="250">
        <v>2.06</v>
      </c>
      <c r="H699" s="249"/>
      <c r="I699" s="249"/>
      <c r="J699" s="330"/>
      <c r="K699" s="432"/>
      <c r="L699" s="250">
        <v>2.14</v>
      </c>
      <c r="M699" s="463">
        <v>1.84</v>
      </c>
      <c r="N699" s="464">
        <v>1.84</v>
      </c>
      <c r="O699" s="530"/>
      <c r="P699" s="531"/>
      <c r="Q699" s="532"/>
      <c r="R699" s="250">
        <v>2</v>
      </c>
      <c r="S699" s="469"/>
      <c r="T699" s="333"/>
      <c r="U699" s="334"/>
      <c r="V699" s="497"/>
      <c r="W699" s="315"/>
    </row>
    <row r="700" spans="1:23" x14ac:dyDescent="0.2">
      <c r="A700" s="611"/>
      <c r="B700" s="415" t="s">
        <v>56</v>
      </c>
      <c r="C700" s="410">
        <f>(C698-C697)/C698</f>
        <v>2.471014492753619E-2</v>
      </c>
      <c r="D700" s="336"/>
      <c r="E700" s="336">
        <f>(E698-E697)/E698</f>
        <v>6.3400530503978772E-2</v>
      </c>
      <c r="F700" s="336">
        <f>(F698-F697)/F698</f>
        <v>6.5651080945198559E-2</v>
      </c>
      <c r="G700" s="336">
        <f>(G698-G697)/G698</f>
        <v>0.15095706618962432</v>
      </c>
      <c r="H700" s="336"/>
      <c r="I700" s="336"/>
      <c r="J700" s="338"/>
      <c r="K700" s="433"/>
      <c r="L700" s="336">
        <f>(L698-L697)/L698</f>
        <v>0.14485306828003461</v>
      </c>
      <c r="M700" s="465">
        <f>(M698-M697)/M698</f>
        <v>7.2962962962962979E-2</v>
      </c>
      <c r="N700" s="466">
        <f>(N698-N697)/N698</f>
        <v>6.4302832244008679E-2</v>
      </c>
      <c r="O700" s="444"/>
      <c r="P700" s="340"/>
      <c r="Q700" s="341"/>
      <c r="R700" s="336">
        <f>(R698-R697)/R698</f>
        <v>0.10532435129740515</v>
      </c>
      <c r="S700" s="470"/>
      <c r="T700" s="339"/>
      <c r="U700" s="340"/>
      <c r="V700" s="470"/>
      <c r="W700" s="315"/>
    </row>
    <row r="701" spans="1:23" x14ac:dyDescent="0.2">
      <c r="A701" s="611"/>
      <c r="B701" s="415" t="s">
        <v>57</v>
      </c>
      <c r="C701" s="410">
        <f>(C698-C697)/C697</f>
        <v>2.533620625603681E-2</v>
      </c>
      <c r="D701" s="336"/>
      <c r="E701" s="336">
        <f>(E698-E697)/E697</f>
        <v>6.769225540784711E-2</v>
      </c>
      <c r="F701" s="336">
        <f>(F698-F697)/F697</f>
        <v>7.0263987688466506E-2</v>
      </c>
      <c r="G701" s="336">
        <f>(G698-G697)/G697</f>
        <v>0.17779674051599714</v>
      </c>
      <c r="H701" s="336"/>
      <c r="I701" s="336"/>
      <c r="J701" s="338"/>
      <c r="K701" s="433"/>
      <c r="L701" s="336">
        <f>(L698-L697)/L697</f>
        <v>0.16938968369878871</v>
      </c>
      <c r="M701" s="465">
        <f>(M698-M697)/M697</f>
        <v>7.8705553335996825E-2</v>
      </c>
      <c r="N701" s="466">
        <f>(N698-N697)/N697</f>
        <v>6.8721841275015391E-2</v>
      </c>
      <c r="O701" s="444"/>
      <c r="P701" s="340"/>
      <c r="Q701" s="341"/>
      <c r="R701" s="336">
        <f>(R698-R697)/R697</f>
        <v>0.11772350286960447</v>
      </c>
      <c r="S701" s="470"/>
      <c r="T701" s="339"/>
      <c r="U701" s="340"/>
      <c r="V701" s="470"/>
      <c r="W701" s="315"/>
    </row>
    <row r="702" spans="1:23" ht="13.3" thickBot="1" x14ac:dyDescent="0.25">
      <c r="A702" s="611"/>
      <c r="B702" s="418" t="s">
        <v>58</v>
      </c>
      <c r="C702" s="411">
        <f>C699/C693-1</f>
        <v>6.0606060606060996E-3</v>
      </c>
      <c r="D702" s="353"/>
      <c r="E702" s="353">
        <f>E699/E693-1</f>
        <v>5.7803468208093012E-3</v>
      </c>
      <c r="F702" s="353">
        <f>F699/F693-1</f>
        <v>5.464480874316946E-3</v>
      </c>
      <c r="G702" s="353">
        <f>G699/G693-1</f>
        <v>4.8780487804878092E-3</v>
      </c>
      <c r="H702" s="353"/>
      <c r="I702" s="353"/>
      <c r="J702" s="355"/>
      <c r="K702" s="434"/>
      <c r="L702" s="353">
        <f>L699/L693-1</f>
        <v>4.6948356807512415E-3</v>
      </c>
      <c r="M702" s="467">
        <f>M699/M693-1</f>
        <v>5.464480874316946E-3</v>
      </c>
      <c r="N702" s="292">
        <f>N699/N693-1</f>
        <v>5.464480874316946E-3</v>
      </c>
      <c r="O702" s="445"/>
      <c r="P702" s="357"/>
      <c r="Q702" s="358"/>
      <c r="R702" s="353">
        <f>R699/R693-1</f>
        <v>5.0251256281406143E-3</v>
      </c>
      <c r="S702" s="471"/>
      <c r="T702" s="356"/>
      <c r="U702" s="357"/>
      <c r="V702" s="471"/>
      <c r="W702" s="359"/>
    </row>
    <row r="703" spans="1:23" x14ac:dyDescent="0.2">
      <c r="A703" s="611">
        <v>44257</v>
      </c>
      <c r="B703" s="419" t="s">
        <v>53</v>
      </c>
      <c r="C703" s="408">
        <v>1760.02</v>
      </c>
      <c r="D703" s="521"/>
      <c r="E703" s="346">
        <v>1775.46</v>
      </c>
      <c r="F703" s="346">
        <v>1868.35</v>
      </c>
      <c r="G703" s="346">
        <v>1907.53</v>
      </c>
      <c r="H703" s="521"/>
      <c r="I703" s="521"/>
      <c r="J703" s="522"/>
      <c r="K703" s="523"/>
      <c r="L703" s="346">
        <v>1987.91</v>
      </c>
      <c r="M703" s="256">
        <v>1711.12</v>
      </c>
      <c r="N703" s="462">
        <v>1727.11</v>
      </c>
      <c r="O703" s="442"/>
      <c r="P703" s="348"/>
      <c r="Q703" s="349"/>
      <c r="R703" s="346">
        <v>1801.74</v>
      </c>
      <c r="S703" s="346"/>
      <c r="T703" s="290"/>
      <c r="U703" s="348"/>
      <c r="V703" s="347"/>
      <c r="W703" s="346">
        <v>1262.1199999999999</v>
      </c>
    </row>
    <row r="704" spans="1:23" x14ac:dyDescent="0.2">
      <c r="A704" s="611"/>
      <c r="B704" s="415" t="s">
        <v>54</v>
      </c>
      <c r="C704" s="409">
        <v>1807</v>
      </c>
      <c r="D704" s="249"/>
      <c r="E704" s="250">
        <v>1898</v>
      </c>
      <c r="F704" s="250">
        <v>2002</v>
      </c>
      <c r="G704" s="250">
        <v>2236</v>
      </c>
      <c r="H704" s="249"/>
      <c r="I704" s="249"/>
      <c r="J704" s="330"/>
      <c r="K704" s="432"/>
      <c r="L704" s="250">
        <v>2327</v>
      </c>
      <c r="M704" s="245">
        <v>1848</v>
      </c>
      <c r="N704" s="520">
        <v>1848</v>
      </c>
      <c r="O704" s="530"/>
      <c r="P704" s="531"/>
      <c r="Q704" s="532"/>
      <c r="R704" s="250">
        <v>2004</v>
      </c>
      <c r="S704" s="496"/>
      <c r="T704" s="330"/>
      <c r="U704" s="334"/>
      <c r="V704" s="469"/>
      <c r="W704" s="315"/>
    </row>
    <row r="705" spans="1:23" x14ac:dyDescent="0.2">
      <c r="A705" s="611"/>
      <c r="B705" s="415" t="s">
        <v>55</v>
      </c>
      <c r="C705" s="409">
        <v>1.67</v>
      </c>
      <c r="D705" s="249"/>
      <c r="E705" s="250">
        <v>1.75</v>
      </c>
      <c r="F705" s="250">
        <v>1.85</v>
      </c>
      <c r="G705" s="250">
        <v>2.0699999999999998</v>
      </c>
      <c r="H705" s="249"/>
      <c r="I705" s="249"/>
      <c r="J705" s="330"/>
      <c r="K705" s="432"/>
      <c r="L705" s="250">
        <v>2.15</v>
      </c>
      <c r="M705" s="463">
        <v>1.85</v>
      </c>
      <c r="N705" s="464">
        <v>1.85</v>
      </c>
      <c r="O705" s="530"/>
      <c r="P705" s="531"/>
      <c r="Q705" s="532"/>
      <c r="R705" s="250">
        <v>2.0099999999999998</v>
      </c>
      <c r="S705" s="469"/>
      <c r="T705" s="333"/>
      <c r="U705" s="334"/>
      <c r="V705" s="497"/>
      <c r="W705" s="315"/>
    </row>
    <row r="706" spans="1:23" x14ac:dyDescent="0.2">
      <c r="A706" s="611"/>
      <c r="B706" s="415" t="s">
        <v>56</v>
      </c>
      <c r="C706" s="410">
        <f>(C704-C703)/C704</f>
        <v>2.5998893193137806E-2</v>
      </c>
      <c r="D706" s="336"/>
      <c r="E706" s="336">
        <f>(E704-E703)/E704</f>
        <v>6.4562697576396183E-2</v>
      </c>
      <c r="F706" s="336">
        <f>(F704-F703)/F704</f>
        <v>6.6758241758241799E-2</v>
      </c>
      <c r="G706" s="336">
        <f>(G704-G703)/G704</f>
        <v>0.14690071556350628</v>
      </c>
      <c r="H706" s="336"/>
      <c r="I706" s="336"/>
      <c r="J706" s="338"/>
      <c r="K706" s="433"/>
      <c r="L706" s="336">
        <f>(L704-L703)/L704</f>
        <v>0.14571981091534161</v>
      </c>
      <c r="M706" s="465">
        <f>(M704-M703)/M704</f>
        <v>7.4069264069264132E-2</v>
      </c>
      <c r="N706" s="466">
        <f>(N704-N703)/N704</f>
        <v>6.541666666666672E-2</v>
      </c>
      <c r="O706" s="444"/>
      <c r="P706" s="340"/>
      <c r="Q706" s="341"/>
      <c r="R706" s="336">
        <f>(R704-R703)/R704</f>
        <v>0.10092814371257484</v>
      </c>
      <c r="S706" s="470"/>
      <c r="T706" s="339"/>
      <c r="U706" s="340"/>
      <c r="V706" s="470"/>
      <c r="W706" s="315"/>
    </row>
    <row r="707" spans="1:23" x14ac:dyDescent="0.2">
      <c r="A707" s="611"/>
      <c r="B707" s="415" t="s">
        <v>57</v>
      </c>
      <c r="C707" s="410">
        <f>(C704-C703)/C703</f>
        <v>2.6692878490017169E-2</v>
      </c>
      <c r="D707" s="336"/>
      <c r="E707" s="336">
        <f>(E704-E703)/E703</f>
        <v>6.9018733173374772E-2</v>
      </c>
      <c r="F707" s="336">
        <f>(F704-F703)/F703</f>
        <v>7.1533706211363013E-2</v>
      </c>
      <c r="G707" s="336">
        <f>(G704-G703)/G703</f>
        <v>0.17219650542848608</v>
      </c>
      <c r="H707" s="336"/>
      <c r="I707" s="336"/>
      <c r="J707" s="338"/>
      <c r="K707" s="433"/>
      <c r="L707" s="336">
        <f>(L704-L703)/L703</f>
        <v>0.17057613272230629</v>
      </c>
      <c r="M707" s="465">
        <f>(M704-M703)/M703</f>
        <v>7.9994389639534411E-2</v>
      </c>
      <c r="N707" s="466">
        <f>(N704-N703)/N703</f>
        <v>6.9995541685243037E-2</v>
      </c>
      <c r="O707" s="444"/>
      <c r="P707" s="340"/>
      <c r="Q707" s="341"/>
      <c r="R707" s="336">
        <f>(R704-R703)/R703</f>
        <v>0.11225815045456058</v>
      </c>
      <c r="S707" s="470"/>
      <c r="T707" s="339"/>
      <c r="U707" s="340"/>
      <c r="V707" s="470"/>
      <c r="W707" s="315"/>
    </row>
    <row r="708" spans="1:23" ht="13.3" thickBot="1" x14ac:dyDescent="0.25">
      <c r="A708" s="611"/>
      <c r="B708" s="418" t="s">
        <v>58</v>
      </c>
      <c r="C708" s="411">
        <f>C705/C699-1</f>
        <v>6.0240963855422436E-3</v>
      </c>
      <c r="D708" s="353"/>
      <c r="E708" s="353">
        <f>E705/E699-1</f>
        <v>5.7471264367816577E-3</v>
      </c>
      <c r="F708" s="353">
        <f>F705/F699-1</f>
        <v>5.4347826086955653E-3</v>
      </c>
      <c r="G708" s="353">
        <f>G705/G699-1</f>
        <v>4.8543689320388328E-3</v>
      </c>
      <c r="H708" s="353"/>
      <c r="I708" s="353"/>
      <c r="J708" s="355"/>
      <c r="K708" s="434"/>
      <c r="L708" s="353">
        <f>L705/L699-1</f>
        <v>4.6728971962615162E-3</v>
      </c>
      <c r="M708" s="467">
        <f>M705/M699-1</f>
        <v>5.4347826086955653E-3</v>
      </c>
      <c r="N708" s="292">
        <f>N705/N699-1</f>
        <v>5.4347826086955653E-3</v>
      </c>
      <c r="O708" s="445"/>
      <c r="P708" s="357"/>
      <c r="Q708" s="358"/>
      <c r="R708" s="353">
        <f>R705/R699-1</f>
        <v>4.9999999999998934E-3</v>
      </c>
      <c r="S708" s="471"/>
      <c r="T708" s="356"/>
      <c r="U708" s="357"/>
      <c r="V708" s="471"/>
      <c r="W708" s="359"/>
    </row>
    <row r="709" spans="1:23" x14ac:dyDescent="0.2">
      <c r="A709" s="611">
        <v>44265</v>
      </c>
      <c r="B709" s="419" t="s">
        <v>53</v>
      </c>
      <c r="C709" s="408">
        <v>1770.37</v>
      </c>
      <c r="D709" s="521"/>
      <c r="E709" s="346">
        <v>1785.43</v>
      </c>
      <c r="F709" s="346">
        <v>1878.28</v>
      </c>
      <c r="G709" s="346">
        <v>1916.6</v>
      </c>
      <c r="H709" s="521"/>
      <c r="I709" s="521"/>
      <c r="J709" s="522"/>
      <c r="K709" s="523"/>
      <c r="L709" s="346">
        <v>1997.01</v>
      </c>
      <c r="M709" s="256">
        <v>1720.2</v>
      </c>
      <c r="N709" s="462">
        <v>1736.28</v>
      </c>
      <c r="O709" s="442"/>
      <c r="P709" s="348"/>
      <c r="Q709" s="349"/>
      <c r="R709" s="346">
        <v>1810.55</v>
      </c>
      <c r="S709" s="346"/>
      <c r="T709" s="290"/>
      <c r="U709" s="348"/>
      <c r="V709" s="347"/>
      <c r="W709" s="346">
        <v>1268.6400000000001</v>
      </c>
    </row>
    <row r="710" spans="1:23" x14ac:dyDescent="0.2">
      <c r="A710" s="611"/>
      <c r="B710" s="415" t="s">
        <v>54</v>
      </c>
      <c r="C710" s="409">
        <v>1820</v>
      </c>
      <c r="D710" s="249"/>
      <c r="E710" s="250">
        <v>1911</v>
      </c>
      <c r="F710" s="250">
        <v>2015</v>
      </c>
      <c r="G710" s="250">
        <v>2249</v>
      </c>
      <c r="H710" s="249"/>
      <c r="I710" s="249"/>
      <c r="J710" s="330"/>
      <c r="K710" s="432"/>
      <c r="L710" s="250">
        <v>2340</v>
      </c>
      <c r="M710" s="245">
        <v>1860</v>
      </c>
      <c r="N710" s="520">
        <v>1860</v>
      </c>
      <c r="O710" s="530"/>
      <c r="P710" s="531"/>
      <c r="Q710" s="532"/>
      <c r="R710" s="250">
        <v>2016</v>
      </c>
      <c r="S710" s="496"/>
      <c r="T710" s="330"/>
      <c r="U710" s="334"/>
      <c r="V710" s="469"/>
      <c r="W710" s="315"/>
    </row>
    <row r="711" spans="1:23" x14ac:dyDescent="0.2">
      <c r="A711" s="611"/>
      <c r="B711" s="415" t="s">
        <v>55</v>
      </c>
      <c r="C711" s="409">
        <v>1.68</v>
      </c>
      <c r="D711" s="249"/>
      <c r="E711" s="250">
        <v>1.76</v>
      </c>
      <c r="F711" s="250">
        <v>1.86</v>
      </c>
      <c r="G711" s="250">
        <v>2.08</v>
      </c>
      <c r="H711" s="249"/>
      <c r="I711" s="249"/>
      <c r="J711" s="330"/>
      <c r="K711" s="432"/>
      <c r="L711" s="250">
        <v>2.16</v>
      </c>
      <c r="M711" s="463">
        <v>1.86</v>
      </c>
      <c r="N711" s="464">
        <v>1.86</v>
      </c>
      <c r="O711" s="530"/>
      <c r="P711" s="531"/>
      <c r="Q711" s="532"/>
      <c r="R711" s="250">
        <v>2.02</v>
      </c>
      <c r="S711" s="469"/>
      <c r="T711" s="333"/>
      <c r="U711" s="334"/>
      <c r="V711" s="497"/>
      <c r="W711" s="315"/>
    </row>
    <row r="712" spans="1:23" x14ac:dyDescent="0.2">
      <c r="A712" s="611"/>
      <c r="B712" s="415" t="s">
        <v>56</v>
      </c>
      <c r="C712" s="410">
        <f>(C710-C709)/C710</f>
        <v>2.726923076923083E-2</v>
      </c>
      <c r="D712" s="336"/>
      <c r="E712" s="336">
        <f>(E710-E709)/E710</f>
        <v>6.5709052851909963E-2</v>
      </c>
      <c r="F712" s="336">
        <f>(F710-F709)/F710</f>
        <v>6.7851116625310182E-2</v>
      </c>
      <c r="G712" s="336">
        <f>(G710-G709)/G710</f>
        <v>0.14779902178746113</v>
      </c>
      <c r="H712" s="336"/>
      <c r="I712" s="336"/>
      <c r="J712" s="338"/>
      <c r="K712" s="433"/>
      <c r="L712" s="336">
        <f>(L710-L709)/L710</f>
        <v>0.14657692307692308</v>
      </c>
      <c r="M712" s="465">
        <f>(M710-M709)/M710</f>
        <v>7.5161290322580621E-2</v>
      </c>
      <c r="N712" s="466">
        <f>(N710-N709)/N710</f>
        <v>6.6516129032258078E-2</v>
      </c>
      <c r="O712" s="444"/>
      <c r="P712" s="340"/>
      <c r="Q712" s="341"/>
      <c r="R712" s="336">
        <f>(R710-R709)/R710</f>
        <v>0.10190972222222225</v>
      </c>
      <c r="S712" s="470"/>
      <c r="T712" s="339"/>
      <c r="U712" s="340"/>
      <c r="V712" s="470"/>
      <c r="W712" s="315"/>
    </row>
    <row r="713" spans="1:23" x14ac:dyDescent="0.2">
      <c r="A713" s="611"/>
      <c r="B713" s="415" t="s">
        <v>57</v>
      </c>
      <c r="C713" s="410">
        <f>(C710-C709)/C709</f>
        <v>2.8033687873156521E-2</v>
      </c>
      <c r="D713" s="336"/>
      <c r="E713" s="336">
        <f>(E710-E709)/E709</f>
        <v>7.0330396599138548E-2</v>
      </c>
      <c r="F713" s="336">
        <f>(F710-F709)/F709</f>
        <v>7.278999936111763E-2</v>
      </c>
      <c r="G713" s="336">
        <f>(G710-G709)/G709</f>
        <v>0.17343211937806538</v>
      </c>
      <c r="H713" s="336"/>
      <c r="I713" s="336"/>
      <c r="J713" s="338"/>
      <c r="K713" s="433"/>
      <c r="L713" s="336">
        <f>(L710-L709)/L709</f>
        <v>0.17175176889449728</v>
      </c>
      <c r="M713" s="465">
        <f>(M710-M709)/M709</f>
        <v>8.1269619811649776E-2</v>
      </c>
      <c r="N713" s="466">
        <f>(N710-N709)/N709</f>
        <v>7.1255788236920331E-2</v>
      </c>
      <c r="O713" s="444"/>
      <c r="P713" s="340"/>
      <c r="Q713" s="341"/>
      <c r="R713" s="336">
        <f>(R710-R709)/R709</f>
        <v>0.11347380630195247</v>
      </c>
      <c r="S713" s="470"/>
      <c r="T713" s="339"/>
      <c r="U713" s="340"/>
      <c r="V713" s="470"/>
      <c r="W713" s="315"/>
    </row>
    <row r="714" spans="1:23" ht="13.3" thickBot="1" x14ac:dyDescent="0.25">
      <c r="A714" s="611"/>
      <c r="B714" s="418" t="s">
        <v>58</v>
      </c>
      <c r="C714" s="411">
        <f>C711/C705-1</f>
        <v>5.9880239520957446E-3</v>
      </c>
      <c r="D714" s="353"/>
      <c r="E714" s="353">
        <f>E711/E705-1</f>
        <v>5.7142857142857828E-3</v>
      </c>
      <c r="F714" s="353">
        <f>F711/F705-1</f>
        <v>5.4054054054053502E-3</v>
      </c>
      <c r="G714" s="353">
        <f>G711/G705-1</f>
        <v>4.8309178743961567E-3</v>
      </c>
      <c r="H714" s="353"/>
      <c r="I714" s="353"/>
      <c r="J714" s="355"/>
      <c r="K714" s="434"/>
      <c r="L714" s="353">
        <f>L711/L705-1</f>
        <v>4.6511627906977715E-3</v>
      </c>
      <c r="M714" s="467">
        <f>M711/M705-1</f>
        <v>5.4054054054053502E-3</v>
      </c>
      <c r="N714" s="292">
        <f>N711/N705-1</f>
        <v>5.4054054054053502E-3</v>
      </c>
      <c r="O714" s="445"/>
      <c r="P714" s="357"/>
      <c r="Q714" s="358"/>
      <c r="R714" s="353">
        <f>R711/R705-1</f>
        <v>4.9751243781095411E-3</v>
      </c>
      <c r="S714" s="471"/>
      <c r="T714" s="356"/>
      <c r="U714" s="357"/>
      <c r="V714" s="471"/>
      <c r="W714" s="359"/>
    </row>
    <row r="715" spans="1:23" x14ac:dyDescent="0.2">
      <c r="A715" s="611">
        <v>44271</v>
      </c>
      <c r="B715" s="419" t="s">
        <v>53</v>
      </c>
      <c r="C715" s="408">
        <v>1780.72</v>
      </c>
      <c r="D715" s="521"/>
      <c r="E715" s="346">
        <v>1795.4</v>
      </c>
      <c r="F715" s="346">
        <v>1888.21</v>
      </c>
      <c r="G715" s="346">
        <v>1925.67</v>
      </c>
      <c r="H715" s="521"/>
      <c r="I715" s="521"/>
      <c r="J715" s="522"/>
      <c r="K715" s="523"/>
      <c r="L715" s="346">
        <v>2006.11</v>
      </c>
      <c r="M715" s="256">
        <v>1729.28</v>
      </c>
      <c r="N715" s="462">
        <v>1745.45</v>
      </c>
      <c r="O715" s="442"/>
      <c r="P715" s="348"/>
      <c r="Q715" s="349"/>
      <c r="R715" s="346">
        <v>1819.36</v>
      </c>
      <c r="S715" s="346"/>
      <c r="T715" s="290"/>
      <c r="U715" s="348"/>
      <c r="V715" s="347"/>
      <c r="W715" s="346">
        <v>1281.02</v>
      </c>
    </row>
    <row r="716" spans="1:23" x14ac:dyDescent="0.2">
      <c r="A716" s="611"/>
      <c r="B716" s="415" t="s">
        <v>54</v>
      </c>
      <c r="C716" s="409">
        <v>1833</v>
      </c>
      <c r="D716" s="249"/>
      <c r="E716" s="250">
        <v>1911</v>
      </c>
      <c r="F716" s="250">
        <v>2028</v>
      </c>
      <c r="G716" s="250">
        <v>2262</v>
      </c>
      <c r="H716" s="249"/>
      <c r="I716" s="249"/>
      <c r="J716" s="330"/>
      <c r="K716" s="432"/>
      <c r="L716" s="250">
        <v>2353</v>
      </c>
      <c r="M716" s="245">
        <v>1872</v>
      </c>
      <c r="N716" s="520">
        <v>1872</v>
      </c>
      <c r="O716" s="530"/>
      <c r="P716" s="531"/>
      <c r="Q716" s="532"/>
      <c r="R716" s="250">
        <v>2028</v>
      </c>
      <c r="S716" s="496"/>
      <c r="T716" s="330"/>
      <c r="U716" s="334"/>
      <c r="V716" s="469"/>
      <c r="W716" s="315"/>
    </row>
    <row r="717" spans="1:23" x14ac:dyDescent="0.2">
      <c r="A717" s="611"/>
      <c r="B717" s="415" t="s">
        <v>55</v>
      </c>
      <c r="C717" s="409">
        <v>1.69</v>
      </c>
      <c r="D717" s="249"/>
      <c r="E717" s="250">
        <v>1.77</v>
      </c>
      <c r="F717" s="250">
        <v>1.87</v>
      </c>
      <c r="G717" s="250">
        <v>2.09</v>
      </c>
      <c r="H717" s="249"/>
      <c r="I717" s="249"/>
      <c r="J717" s="330"/>
      <c r="K717" s="432"/>
      <c r="L717" s="250">
        <v>2.17</v>
      </c>
      <c r="M717" s="463">
        <v>1.87</v>
      </c>
      <c r="N717" s="464">
        <v>1.87</v>
      </c>
      <c r="O717" s="530"/>
      <c r="P717" s="531"/>
      <c r="Q717" s="532"/>
      <c r="R717" s="250">
        <v>2.0299999999999998</v>
      </c>
      <c r="S717" s="469"/>
      <c r="T717" s="333"/>
      <c r="U717" s="334"/>
      <c r="V717" s="497"/>
      <c r="W717" s="315"/>
    </row>
    <row r="718" spans="1:23" x14ac:dyDescent="0.2">
      <c r="A718" s="611"/>
      <c r="B718" s="415" t="s">
        <v>56</v>
      </c>
      <c r="C718" s="410">
        <f>(C716-C715)/C716</f>
        <v>2.8521549372613187E-2</v>
      </c>
      <c r="D718" s="336"/>
      <c r="E718" s="336">
        <f>(E716-E715)/E716</f>
        <v>6.0491889063317587E-2</v>
      </c>
      <c r="F718" s="336">
        <f>(F716-F715)/F716</f>
        <v>6.8929980276134104E-2</v>
      </c>
      <c r="G718" s="336">
        <f>(G716-G715)/G716</f>
        <v>0.14868700265251986</v>
      </c>
      <c r="H718" s="336"/>
      <c r="I718" s="336"/>
      <c r="J718" s="338"/>
      <c r="K718" s="433"/>
      <c r="L718" s="336">
        <f>(L716-L715)/L716</f>
        <v>0.14742456438589038</v>
      </c>
      <c r="M718" s="465">
        <f>(M716-M715)/M716</f>
        <v>7.6239316239316249E-2</v>
      </c>
      <c r="N718" s="466">
        <f>(N716-N715)/N716</f>
        <v>6.7601495726495708E-2</v>
      </c>
      <c r="O718" s="444"/>
      <c r="P718" s="340"/>
      <c r="Q718" s="341"/>
      <c r="R718" s="336">
        <f>(R716-R715)/R716</f>
        <v>0.102879684418146</v>
      </c>
      <c r="S718" s="470"/>
      <c r="T718" s="339"/>
      <c r="U718" s="340"/>
      <c r="V718" s="470"/>
      <c r="W718" s="315"/>
    </row>
    <row r="719" spans="1:23" x14ac:dyDescent="0.2">
      <c r="A719" s="611"/>
      <c r="B719" s="415" t="s">
        <v>57</v>
      </c>
      <c r="C719" s="410">
        <f>(C716-C715)/C715</f>
        <v>2.9358911002291193E-2</v>
      </c>
      <c r="D719" s="336"/>
      <c r="E719" s="336">
        <f>(E716-E715)/E715</f>
        <v>6.4386766180238336E-2</v>
      </c>
      <c r="F719" s="336">
        <f>(F716-F715)/F715</f>
        <v>7.4033078947786504E-2</v>
      </c>
      <c r="G719" s="336">
        <f>(G716-G715)/G715</f>
        <v>0.17465609372322355</v>
      </c>
      <c r="H719" s="336"/>
      <c r="I719" s="336"/>
      <c r="J719" s="338"/>
      <c r="K719" s="433"/>
      <c r="L719" s="336">
        <f>(L716-L715)/L715</f>
        <v>0.17291673936125143</v>
      </c>
      <c r="M719" s="465">
        <f>(M716-M715)/M715</f>
        <v>8.2531458179126591E-2</v>
      </c>
      <c r="N719" s="466">
        <f>(N716-N715)/N715</f>
        <v>7.2502792976023342E-2</v>
      </c>
      <c r="O719" s="444"/>
      <c r="P719" s="340"/>
      <c r="Q719" s="341"/>
      <c r="R719" s="336">
        <f>(R716-R715)/R715</f>
        <v>0.11467768885762032</v>
      </c>
      <c r="S719" s="470"/>
      <c r="T719" s="339"/>
      <c r="U719" s="340"/>
      <c r="V719" s="470"/>
      <c r="W719" s="315"/>
    </row>
    <row r="720" spans="1:23" ht="13.3" thickBot="1" x14ac:dyDescent="0.25">
      <c r="A720" s="611"/>
      <c r="B720" s="418" t="s">
        <v>58</v>
      </c>
      <c r="C720" s="411">
        <f>C717/C711-1</f>
        <v>5.9523809523809312E-3</v>
      </c>
      <c r="D720" s="353"/>
      <c r="E720" s="353">
        <f>E717/E711-1</f>
        <v>5.6818181818181213E-3</v>
      </c>
      <c r="F720" s="353">
        <f>F717/F711-1</f>
        <v>5.3763440860215006E-3</v>
      </c>
      <c r="G720" s="353">
        <f>G717/G711-1</f>
        <v>4.8076923076922906E-3</v>
      </c>
      <c r="H720" s="353"/>
      <c r="I720" s="353"/>
      <c r="J720" s="355"/>
      <c r="K720" s="434"/>
      <c r="L720" s="353">
        <f>L717/L711-1</f>
        <v>4.6296296296295392E-3</v>
      </c>
      <c r="M720" s="467">
        <f>M717/M711-1</f>
        <v>5.3763440860215006E-3</v>
      </c>
      <c r="N720" s="292">
        <f>N717/N711-1</f>
        <v>5.3763440860215006E-3</v>
      </c>
      <c r="O720" s="445"/>
      <c r="P720" s="357"/>
      <c r="Q720" s="358"/>
      <c r="R720" s="353">
        <f>R717/R711-1</f>
        <v>4.9504950495049549E-3</v>
      </c>
      <c r="S720" s="471"/>
      <c r="T720" s="356"/>
      <c r="U720" s="357"/>
      <c r="V720" s="471"/>
      <c r="W720" s="359"/>
    </row>
    <row r="721" spans="1:23" x14ac:dyDescent="0.2">
      <c r="A721" s="611">
        <v>44285</v>
      </c>
      <c r="B721" s="419" t="s">
        <v>53</v>
      </c>
      <c r="C721" s="408">
        <v>1791.07</v>
      </c>
      <c r="D721" s="521"/>
      <c r="E721" s="346">
        <v>1805.37</v>
      </c>
      <c r="F721" s="346">
        <v>1898.14</v>
      </c>
      <c r="G721" s="346">
        <v>1934.74</v>
      </c>
      <c r="H721" s="521"/>
      <c r="I721" s="521"/>
      <c r="J721" s="522"/>
      <c r="K721" s="523"/>
      <c r="L721" s="346">
        <v>2015.21</v>
      </c>
      <c r="M721" s="256">
        <v>1738.36</v>
      </c>
      <c r="N721" s="462">
        <v>1754.62</v>
      </c>
      <c r="O721" s="442"/>
      <c r="P721" s="348"/>
      <c r="Q721" s="349"/>
      <c r="R721" s="346">
        <v>1828.17</v>
      </c>
      <c r="S721" s="346"/>
      <c r="T721" s="290"/>
      <c r="U721" s="348"/>
      <c r="V721" s="347"/>
      <c r="W721" s="346">
        <v>1281.02</v>
      </c>
    </row>
    <row r="722" spans="1:23" x14ac:dyDescent="0.2">
      <c r="A722" s="611"/>
      <c r="B722" s="415" t="s">
        <v>54</v>
      </c>
      <c r="C722" s="409">
        <v>1846</v>
      </c>
      <c r="D722" s="249"/>
      <c r="E722" s="250">
        <v>1924</v>
      </c>
      <c r="F722" s="250">
        <v>2041</v>
      </c>
      <c r="G722" s="250">
        <v>2275</v>
      </c>
      <c r="H722" s="249"/>
      <c r="I722" s="249"/>
      <c r="J722" s="330"/>
      <c r="K722" s="432"/>
      <c r="L722" s="250">
        <v>2366</v>
      </c>
      <c r="M722" s="245">
        <v>1884</v>
      </c>
      <c r="N722" s="520">
        <v>1884</v>
      </c>
      <c r="O722" s="530"/>
      <c r="P722" s="531"/>
      <c r="Q722" s="532"/>
      <c r="R722" s="250">
        <v>2040</v>
      </c>
      <c r="S722" s="496"/>
      <c r="T722" s="330"/>
      <c r="U722" s="334"/>
      <c r="V722" s="469"/>
      <c r="W722" s="315"/>
    </row>
    <row r="723" spans="1:23" x14ac:dyDescent="0.2">
      <c r="A723" s="611"/>
      <c r="B723" s="415" t="s">
        <v>55</v>
      </c>
      <c r="C723" s="409">
        <v>1.7</v>
      </c>
      <c r="D723" s="249"/>
      <c r="E723" s="250">
        <v>1.78</v>
      </c>
      <c r="F723" s="250">
        <v>1.88</v>
      </c>
      <c r="G723" s="250">
        <v>2.1</v>
      </c>
      <c r="H723" s="249"/>
      <c r="I723" s="249"/>
      <c r="J723" s="330"/>
      <c r="K723" s="432"/>
      <c r="L723" s="250">
        <v>2.1800000000000002</v>
      </c>
      <c r="M723" s="463">
        <v>1.88</v>
      </c>
      <c r="N723" s="464">
        <v>1.88</v>
      </c>
      <c r="O723" s="530"/>
      <c r="P723" s="531"/>
      <c r="Q723" s="532"/>
      <c r="R723" s="250">
        <v>2.04</v>
      </c>
      <c r="S723" s="469"/>
      <c r="T723" s="333"/>
      <c r="U723" s="334"/>
      <c r="V723" s="497"/>
      <c r="W723" s="315"/>
    </row>
    <row r="724" spans="1:23" x14ac:dyDescent="0.2">
      <c r="A724" s="611"/>
      <c r="B724" s="415" t="s">
        <v>56</v>
      </c>
      <c r="C724" s="410">
        <f>(C722-C721)/C722</f>
        <v>2.9756229685807184E-2</v>
      </c>
      <c r="D724" s="336"/>
      <c r="E724" s="336">
        <f>(E722-E721)/E722</f>
        <v>6.1658004158004216E-2</v>
      </c>
      <c r="F724" s="336">
        <f>(F722-F721)/F722</f>
        <v>6.9995100440960259E-2</v>
      </c>
      <c r="G724" s="336">
        <f>(G722-G721)/G722</f>
        <v>0.14956483516483515</v>
      </c>
      <c r="H724" s="336"/>
      <c r="I724" s="336"/>
      <c r="J724" s="338"/>
      <c r="K724" s="433"/>
      <c r="L724" s="336">
        <f>(L722-L721)/L722</f>
        <v>0.14826289095519862</v>
      </c>
      <c r="M724" s="465">
        <f>(M722-M721)/M722</f>
        <v>7.7303609341825952E-2</v>
      </c>
      <c r="N724" s="466">
        <f>(N722-N721)/N722</f>
        <v>6.8673036093418321E-2</v>
      </c>
      <c r="O724" s="444"/>
      <c r="P724" s="340"/>
      <c r="Q724" s="341"/>
      <c r="R724" s="336">
        <f>(R722-R721)/R722</f>
        <v>0.10383823529411761</v>
      </c>
      <c r="S724" s="470"/>
      <c r="T724" s="339"/>
      <c r="U724" s="340"/>
      <c r="V724" s="470"/>
      <c r="W724" s="315"/>
    </row>
    <row r="725" spans="1:23" x14ac:dyDescent="0.2">
      <c r="A725" s="611"/>
      <c r="B725" s="415" t="s">
        <v>57</v>
      </c>
      <c r="C725" s="410">
        <f>(C722-C721)/C721</f>
        <v>3.0668818080812066E-2</v>
      </c>
      <c r="D725" s="336"/>
      <c r="E725" s="336">
        <f>(E722-E721)/E721</f>
        <v>6.5709522147814642E-2</v>
      </c>
      <c r="F725" s="336">
        <f>(F722-F721)/F721</f>
        <v>7.5263152349141729E-2</v>
      </c>
      <c r="G725" s="336">
        <f>(G722-G721)/G721</f>
        <v>0.17586859216225437</v>
      </c>
      <c r="H725" s="336"/>
      <c r="I725" s="336"/>
      <c r="J725" s="338"/>
      <c r="K725" s="433"/>
      <c r="L725" s="336">
        <f>(L722-L721)/L721</f>
        <v>0.17407118861061624</v>
      </c>
      <c r="M725" s="465">
        <f>(M722-M721)/M721</f>
        <v>8.3780114590763774E-2</v>
      </c>
      <c r="N725" s="466">
        <f>(N722-N721)/N721</f>
        <v>7.3736763515747067E-2</v>
      </c>
      <c r="O725" s="444"/>
      <c r="P725" s="340"/>
      <c r="Q725" s="341"/>
      <c r="R725" s="336">
        <f>(R722-R721)/R721</f>
        <v>0.11586996832898468</v>
      </c>
      <c r="S725" s="470"/>
      <c r="T725" s="339"/>
      <c r="U725" s="340"/>
      <c r="V725" s="470"/>
      <c r="W725" s="315"/>
    </row>
    <row r="726" spans="1:23" ht="13.3" thickBot="1" x14ac:dyDescent="0.25">
      <c r="A726" s="611"/>
      <c r="B726" s="418" t="s">
        <v>58</v>
      </c>
      <c r="C726" s="411">
        <f>C723/C717-1</f>
        <v>5.9171597633136397E-3</v>
      </c>
      <c r="D726" s="353"/>
      <c r="E726" s="353">
        <f>E723/E717-1</f>
        <v>5.6497175141243527E-3</v>
      </c>
      <c r="F726" s="353">
        <f>F723/F717-1</f>
        <v>5.3475935828874999E-3</v>
      </c>
      <c r="G726" s="353">
        <f>G723/G717-1</f>
        <v>4.784688995215447E-3</v>
      </c>
      <c r="H726" s="353"/>
      <c r="I726" s="353"/>
      <c r="J726" s="355"/>
      <c r="K726" s="434"/>
      <c r="L726" s="353">
        <f>L723/L717-1</f>
        <v>4.6082949308756671E-3</v>
      </c>
      <c r="M726" s="467">
        <f>M723/M717-1</f>
        <v>5.3475935828874999E-3</v>
      </c>
      <c r="N726" s="292">
        <f>N723/N717-1</f>
        <v>5.3475935828874999E-3</v>
      </c>
      <c r="O726" s="445"/>
      <c r="P726" s="357"/>
      <c r="Q726" s="358"/>
      <c r="R726" s="353">
        <f>R723/R717-1</f>
        <v>4.9261083743843415E-3</v>
      </c>
      <c r="S726" s="471"/>
      <c r="T726" s="356"/>
      <c r="U726" s="357"/>
      <c r="V726" s="471"/>
      <c r="W726" s="359"/>
    </row>
    <row r="727" spans="1:23" x14ac:dyDescent="0.2">
      <c r="A727" s="611">
        <v>44292</v>
      </c>
      <c r="B727" s="419" t="s">
        <v>53</v>
      </c>
      <c r="C727" s="408">
        <v>1801.42</v>
      </c>
      <c r="D727" s="521"/>
      <c r="E727" s="346">
        <v>1815.34</v>
      </c>
      <c r="F727" s="346">
        <v>1908.07</v>
      </c>
      <c r="G727" s="346">
        <v>1943.81</v>
      </c>
      <c r="H727" s="521"/>
      <c r="I727" s="521"/>
      <c r="J727" s="522"/>
      <c r="K727" s="523"/>
      <c r="L727" s="346">
        <v>2024.31</v>
      </c>
      <c r="M727" s="256">
        <v>1747.44</v>
      </c>
      <c r="N727" s="462">
        <v>1763.79</v>
      </c>
      <c r="O727" s="442"/>
      <c r="P727" s="348"/>
      <c r="Q727" s="349"/>
      <c r="R727" s="346">
        <v>1836.98</v>
      </c>
      <c r="S727" s="346"/>
      <c r="T727" s="290"/>
      <c r="U727" s="348"/>
      <c r="V727" s="347"/>
      <c r="W727" s="346">
        <v>1281.02</v>
      </c>
    </row>
    <row r="728" spans="1:23" x14ac:dyDescent="0.2">
      <c r="A728" s="611"/>
      <c r="B728" s="415" t="s">
        <v>54</v>
      </c>
      <c r="C728" s="409">
        <v>1846</v>
      </c>
      <c r="D728" s="249"/>
      <c r="E728" s="250">
        <v>1937</v>
      </c>
      <c r="F728" s="250">
        <v>2041</v>
      </c>
      <c r="G728" s="250">
        <v>2288</v>
      </c>
      <c r="H728" s="249"/>
      <c r="I728" s="249"/>
      <c r="J728" s="330"/>
      <c r="K728" s="432"/>
      <c r="L728" s="250">
        <v>2366</v>
      </c>
      <c r="M728" s="245">
        <v>1884</v>
      </c>
      <c r="N728" s="520">
        <v>1884</v>
      </c>
      <c r="O728" s="530"/>
      <c r="P728" s="531"/>
      <c r="Q728" s="532"/>
      <c r="R728" s="250">
        <v>2052</v>
      </c>
      <c r="S728" s="496"/>
      <c r="T728" s="330"/>
      <c r="U728" s="334"/>
      <c r="V728" s="469"/>
      <c r="W728" s="315"/>
    </row>
    <row r="729" spans="1:23" x14ac:dyDescent="0.2">
      <c r="A729" s="611"/>
      <c r="B729" s="415" t="s">
        <v>55</v>
      </c>
      <c r="C729" s="409">
        <v>1.71</v>
      </c>
      <c r="D729" s="249"/>
      <c r="E729" s="250">
        <v>1.79</v>
      </c>
      <c r="F729" s="250">
        <v>1.89</v>
      </c>
      <c r="G729" s="250">
        <v>2.11</v>
      </c>
      <c r="H729" s="249"/>
      <c r="I729" s="249"/>
      <c r="J729" s="330"/>
      <c r="K729" s="432"/>
      <c r="L729" s="250">
        <v>2.19</v>
      </c>
      <c r="M729" s="463">
        <v>1.89</v>
      </c>
      <c r="N729" s="464">
        <v>1.89</v>
      </c>
      <c r="O729" s="530"/>
      <c r="P729" s="531"/>
      <c r="Q729" s="532"/>
      <c r="R729" s="250">
        <v>2.0499999999999998</v>
      </c>
      <c r="S729" s="469"/>
      <c r="T729" s="333"/>
      <c r="U729" s="334"/>
      <c r="V729" s="497"/>
      <c r="W729" s="315"/>
    </row>
    <row r="730" spans="1:23" x14ac:dyDescent="0.2">
      <c r="A730" s="611"/>
      <c r="B730" s="415" t="s">
        <v>56</v>
      </c>
      <c r="C730" s="410">
        <f>(C728-C727)/C728</f>
        <v>2.4149512459371573E-2</v>
      </c>
      <c r="D730" s="336"/>
      <c r="E730" s="336">
        <f>(E728-E727)/E728</f>
        <v>6.2808466701084198E-2</v>
      </c>
      <c r="F730" s="336">
        <f>(F728-F727)/F728</f>
        <v>6.5129838314551727E-2</v>
      </c>
      <c r="G730" s="336">
        <f>(G728-G727)/G728</f>
        <v>0.15043269230769232</v>
      </c>
      <c r="H730" s="336"/>
      <c r="I730" s="336"/>
      <c r="J730" s="338"/>
      <c r="K730" s="433"/>
      <c r="L730" s="336">
        <f>(L728-L727)/L728</f>
        <v>0.14441673710904482</v>
      </c>
      <c r="M730" s="465">
        <f>(M728-M727)/M728</f>
        <v>7.2484076433120992E-2</v>
      </c>
      <c r="N730" s="466">
        <f>(N728-N727)/N728</f>
        <v>6.3805732484076449E-2</v>
      </c>
      <c r="O730" s="444"/>
      <c r="P730" s="340"/>
      <c r="Q730" s="341"/>
      <c r="R730" s="336">
        <f>(R728-R727)/R728</f>
        <v>0.10478557504873294</v>
      </c>
      <c r="S730" s="470"/>
      <c r="T730" s="339"/>
      <c r="U730" s="340"/>
      <c r="V730" s="470"/>
      <c r="W730" s="315"/>
    </row>
    <row r="731" spans="1:23" x14ac:dyDescent="0.2">
      <c r="A731" s="611"/>
      <c r="B731" s="415" t="s">
        <v>57</v>
      </c>
      <c r="C731" s="410">
        <f>(C728-C727)/C727</f>
        <v>2.4747143919796565E-2</v>
      </c>
      <c r="D731" s="336"/>
      <c r="E731" s="336">
        <f>(E728-E727)/E727</f>
        <v>6.7017748741282676E-2</v>
      </c>
      <c r="F731" s="336">
        <f>(F728-F727)/F727</f>
        <v>6.9667255394194175E-2</v>
      </c>
      <c r="G731" s="336">
        <f>(G728-G727)/G727</f>
        <v>0.17706977533812465</v>
      </c>
      <c r="H731" s="336"/>
      <c r="I731" s="336"/>
      <c r="J731" s="338"/>
      <c r="K731" s="433"/>
      <c r="L731" s="336">
        <f>(L728-L727)/L727</f>
        <v>0.16879331722908056</v>
      </c>
      <c r="M731" s="465">
        <f>(M728-M727)/M727</f>
        <v>7.8148605960719653E-2</v>
      </c>
      <c r="N731" s="466">
        <f>(N728-N727)/N727</f>
        <v>6.815437211912985E-2</v>
      </c>
      <c r="O731" s="444"/>
      <c r="P731" s="340"/>
      <c r="Q731" s="341"/>
      <c r="R731" s="336">
        <f>(R728-R727)/R727</f>
        <v>0.11705081165826518</v>
      </c>
      <c r="S731" s="470"/>
      <c r="T731" s="339"/>
      <c r="U731" s="340"/>
      <c r="V731" s="470"/>
      <c r="W731" s="315"/>
    </row>
    <row r="732" spans="1:23" ht="13.3" thickBot="1" x14ac:dyDescent="0.25">
      <c r="A732" s="611"/>
      <c r="B732" s="418" t="s">
        <v>58</v>
      </c>
      <c r="C732" s="411">
        <f>C729/C723-1</f>
        <v>5.8823529411764497E-3</v>
      </c>
      <c r="D732" s="353"/>
      <c r="E732" s="353">
        <f>E729/E723-1</f>
        <v>5.6179775280897903E-3</v>
      </c>
      <c r="F732" s="353">
        <f>F729/F723-1</f>
        <v>5.3191489361701372E-3</v>
      </c>
      <c r="G732" s="353">
        <f>G729/G723-1</f>
        <v>4.761904761904745E-3</v>
      </c>
      <c r="H732" s="353"/>
      <c r="I732" s="353"/>
      <c r="J732" s="355"/>
      <c r="K732" s="434"/>
      <c r="L732" s="353">
        <f>L729/L723-1</f>
        <v>4.5871559633026138E-3</v>
      </c>
      <c r="M732" s="467">
        <f>M729/M723-1</f>
        <v>5.3191489361701372E-3</v>
      </c>
      <c r="N732" s="292">
        <f>N729/N723-1</f>
        <v>5.3191489361701372E-3</v>
      </c>
      <c r="O732" s="445"/>
      <c r="P732" s="357"/>
      <c r="Q732" s="358"/>
      <c r="R732" s="353">
        <f>R729/R723-1</f>
        <v>4.9019607843137081E-3</v>
      </c>
      <c r="S732" s="471"/>
      <c r="T732" s="356"/>
      <c r="U732" s="357"/>
      <c r="V732" s="471"/>
      <c r="W732" s="359"/>
    </row>
    <row r="733" spans="1:23" x14ac:dyDescent="0.2">
      <c r="A733" s="563"/>
    </row>
    <row r="734" spans="1:23" x14ac:dyDescent="0.2">
      <c r="A734" s="563"/>
    </row>
    <row r="735" spans="1:23" x14ac:dyDescent="0.2">
      <c r="A735" s="563"/>
    </row>
    <row r="736" spans="1:23" x14ac:dyDescent="0.2">
      <c r="A736" s="563"/>
    </row>
    <row r="737" spans="1:1" x14ac:dyDescent="0.2">
      <c r="A737" s="563"/>
    </row>
  </sheetData>
  <mergeCells count="141">
    <mergeCell ref="A715:A720"/>
    <mergeCell ref="A721:A726"/>
    <mergeCell ref="A703:A708"/>
    <mergeCell ref="A709:A714"/>
    <mergeCell ref="A727:A732"/>
    <mergeCell ref="A679:A684"/>
    <mergeCell ref="A685:A690"/>
    <mergeCell ref="A691:A696"/>
    <mergeCell ref="A697:A702"/>
    <mergeCell ref="A121:A126"/>
    <mergeCell ref="A175:A180"/>
    <mergeCell ref="A475:A480"/>
    <mergeCell ref="A469:A474"/>
    <mergeCell ref="A523:A528"/>
    <mergeCell ref="A127:A132"/>
    <mergeCell ref="A157:A162"/>
    <mergeCell ref="A151:A156"/>
    <mergeCell ref="A199:A204"/>
    <mergeCell ref="A169:A174"/>
    <mergeCell ref="A223:A228"/>
    <mergeCell ref="A229:A234"/>
    <mergeCell ref="A253:A258"/>
    <mergeCell ref="A247:A252"/>
    <mergeCell ref="A265:A270"/>
    <mergeCell ref="A259:A264"/>
    <mergeCell ref="A241:A246"/>
    <mergeCell ref="A277:A282"/>
    <mergeCell ref="A307:A312"/>
    <mergeCell ref="A349:A354"/>
    <mergeCell ref="A301:A306"/>
    <mergeCell ref="A337:A342"/>
    <mergeCell ref="A325:A330"/>
    <mergeCell ref="A295:A300"/>
    <mergeCell ref="A28:A30"/>
    <mergeCell ref="AB2:AB3"/>
    <mergeCell ref="A4:A6"/>
    <mergeCell ref="A7:A9"/>
    <mergeCell ref="A10:A12"/>
    <mergeCell ref="A13:A15"/>
    <mergeCell ref="X2:X3"/>
    <mergeCell ref="AA2:AA3"/>
    <mergeCell ref="Y2:Y3"/>
    <mergeCell ref="Z2:Z3"/>
    <mergeCell ref="A97:A102"/>
    <mergeCell ref="A1:W1"/>
    <mergeCell ref="A67:A69"/>
    <mergeCell ref="A70:A72"/>
    <mergeCell ref="A73:A75"/>
    <mergeCell ref="A76:A78"/>
    <mergeCell ref="A139:A144"/>
    <mergeCell ref="A133:A138"/>
    <mergeCell ref="A43:A45"/>
    <mergeCell ref="A55:A57"/>
    <mergeCell ref="A82:A86"/>
    <mergeCell ref="A79:A81"/>
    <mergeCell ref="A92:A96"/>
    <mergeCell ref="A19:A21"/>
    <mergeCell ref="A22:A24"/>
    <mergeCell ref="A37:A39"/>
    <mergeCell ref="A31:A33"/>
    <mergeCell ref="A61:A63"/>
    <mergeCell ref="A52:A54"/>
    <mergeCell ref="A25:A27"/>
    <mergeCell ref="A40:A42"/>
    <mergeCell ref="A34:A36"/>
    <mergeCell ref="A58:A60"/>
    <mergeCell ref="A115:A120"/>
    <mergeCell ref="A271:A276"/>
    <mergeCell ref="A355:A360"/>
    <mergeCell ref="A367:A372"/>
    <mergeCell ref="A373:A378"/>
    <mergeCell ref="A397:A402"/>
    <mergeCell ref="A313:A318"/>
    <mergeCell ref="A379:A384"/>
    <mergeCell ref="A391:A396"/>
    <mergeCell ref="A16:A18"/>
    <mergeCell ref="A211:A216"/>
    <mergeCell ref="A217:A222"/>
    <mergeCell ref="A187:A192"/>
    <mergeCell ref="A193:A198"/>
    <mergeCell ref="A235:A240"/>
    <mergeCell ref="A163:A168"/>
    <mergeCell ref="A205:A210"/>
    <mergeCell ref="A181:A186"/>
    <mergeCell ref="A145:A150"/>
    <mergeCell ref="A109:A114"/>
    <mergeCell ref="A64:A66"/>
    <mergeCell ref="A46:A48"/>
    <mergeCell ref="A49:A51"/>
    <mergeCell ref="A87:A91"/>
    <mergeCell ref="A103:A108"/>
    <mergeCell ref="A403:A408"/>
    <mergeCell ref="A283:A288"/>
    <mergeCell ref="A361:A366"/>
    <mergeCell ref="A343:A348"/>
    <mergeCell ref="A331:A336"/>
    <mergeCell ref="A319:A324"/>
    <mergeCell ref="A385:A390"/>
    <mergeCell ref="A409:A414"/>
    <mergeCell ref="A517:A522"/>
    <mergeCell ref="A463:A468"/>
    <mergeCell ref="A415:A420"/>
    <mergeCell ref="A433:A438"/>
    <mergeCell ref="A505:A510"/>
    <mergeCell ref="A451:A456"/>
    <mergeCell ref="A481:A486"/>
    <mergeCell ref="A511:A516"/>
    <mergeCell ref="A499:A504"/>
    <mergeCell ref="A457:A462"/>
    <mergeCell ref="A445:A450"/>
    <mergeCell ref="A427:A432"/>
    <mergeCell ref="A439:A444"/>
    <mergeCell ref="A421:A426"/>
    <mergeCell ref="A289:A294"/>
    <mergeCell ref="A571:A576"/>
    <mergeCell ref="A559:A564"/>
    <mergeCell ref="A547:A552"/>
    <mergeCell ref="A487:A492"/>
    <mergeCell ref="A565:A570"/>
    <mergeCell ref="A493:A498"/>
    <mergeCell ref="A529:A534"/>
    <mergeCell ref="A667:A672"/>
    <mergeCell ref="A553:A558"/>
    <mergeCell ref="A541:A546"/>
    <mergeCell ref="A535:A540"/>
    <mergeCell ref="A673:A678"/>
    <mergeCell ref="A643:A648"/>
    <mergeCell ref="A649:A654"/>
    <mergeCell ref="A631:A636"/>
    <mergeCell ref="A577:A582"/>
    <mergeCell ref="A655:A660"/>
    <mergeCell ref="A619:A624"/>
    <mergeCell ref="A613:A618"/>
    <mergeCell ref="A589:A594"/>
    <mergeCell ref="A661:A666"/>
    <mergeCell ref="A637:A642"/>
    <mergeCell ref="A625:A630"/>
    <mergeCell ref="A595:A600"/>
    <mergeCell ref="A601:A606"/>
    <mergeCell ref="A607:A612"/>
    <mergeCell ref="A583:A588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C784"/>
  <sheetViews>
    <sheetView tabSelected="1" zoomScale="107" zoomScaleNormal="107" workbookViewId="0">
      <pane ySplit="1" topLeftCell="A735" activePane="bottomLeft" state="frozen"/>
      <selection pane="bottomLeft" activeCell="A784" sqref="A784"/>
    </sheetView>
  </sheetViews>
  <sheetFormatPr defaultRowHeight="12.65" x14ac:dyDescent="0.2"/>
  <cols>
    <col min="1" max="1" width="18.109375" style="343" customWidth="1"/>
    <col min="2" max="2" width="28.88671875" style="344" customWidth="1"/>
    <col min="3" max="3" width="11.5546875" customWidth="1"/>
    <col min="4" max="4" width="11" hidden="1" customWidth="1"/>
    <col min="5" max="5" width="11.6640625" customWidth="1"/>
    <col min="6" max="6" width="11.109375" customWidth="1"/>
    <col min="7" max="7" width="11.44140625" customWidth="1"/>
    <col min="8" max="10" width="0" hidden="1" customWidth="1"/>
    <col min="11" max="11" width="11.109375" hidden="1" customWidth="1"/>
    <col min="12" max="12" width="11.109375" customWidth="1"/>
    <col min="13" max="13" width="11.44140625" customWidth="1"/>
    <col min="14" max="14" width="12.109375" customWidth="1"/>
    <col min="15" max="15" width="11.6640625" hidden="1" customWidth="1"/>
    <col min="16" max="16" width="11.44140625" hidden="1" customWidth="1"/>
    <col min="17" max="17" width="11" hidden="1" customWidth="1"/>
    <col min="18" max="18" width="17.109375" customWidth="1"/>
    <col min="19" max="19" width="18.88671875" customWidth="1"/>
    <col min="20" max="20" width="15.6640625" hidden="1" customWidth="1"/>
    <col min="21" max="21" width="14.33203125" hidden="1" customWidth="1"/>
    <col min="22" max="22" width="14.33203125" style="117" customWidth="1"/>
    <col min="23" max="23" width="12" style="117" customWidth="1"/>
    <col min="24" max="28" width="0" hidden="1" customWidth="1"/>
    <col min="29" max="29" width="11.6640625" customWidth="1"/>
  </cols>
  <sheetData>
    <row r="1" spans="1:29" ht="27.2" thickBot="1" x14ac:dyDescent="0.3">
      <c r="A1" s="479" t="s">
        <v>59</v>
      </c>
      <c r="B1" s="480" t="s">
        <v>51</v>
      </c>
      <c r="C1" s="481">
        <v>80</v>
      </c>
      <c r="D1" s="482" t="s">
        <v>44</v>
      </c>
      <c r="E1" s="482" t="s">
        <v>45</v>
      </c>
      <c r="F1" s="482" t="s">
        <v>6</v>
      </c>
      <c r="G1" s="482" t="s">
        <v>48</v>
      </c>
      <c r="H1" s="483" t="s">
        <v>3</v>
      </c>
      <c r="I1" s="482" t="s">
        <v>4</v>
      </c>
      <c r="J1" s="484" t="s">
        <v>40</v>
      </c>
      <c r="K1" s="485" t="s">
        <v>28</v>
      </c>
      <c r="L1" s="501" t="s">
        <v>64</v>
      </c>
      <c r="M1" s="494" t="s">
        <v>61</v>
      </c>
      <c r="N1" s="495" t="s">
        <v>62</v>
      </c>
      <c r="O1" s="486" t="s">
        <v>42</v>
      </c>
      <c r="P1" s="487" t="s">
        <v>30</v>
      </c>
      <c r="Q1" s="482"/>
      <c r="R1" s="488" t="s">
        <v>49</v>
      </c>
      <c r="S1" s="488" t="s">
        <v>50</v>
      </c>
      <c r="T1" s="484" t="s">
        <v>43</v>
      </c>
      <c r="U1" s="487" t="s">
        <v>31</v>
      </c>
      <c r="V1" s="490" t="s">
        <v>60</v>
      </c>
      <c r="W1" s="489" t="s">
        <v>27</v>
      </c>
      <c r="X1" s="564"/>
      <c r="Y1" s="308"/>
      <c r="Z1" s="308"/>
      <c r="AA1" s="308"/>
      <c r="AB1" s="308"/>
      <c r="AC1">
        <f>COUNTA(B2:B992)</f>
        <v>783</v>
      </c>
    </row>
    <row r="2" spans="1:29" ht="13.3" thickBot="1" x14ac:dyDescent="0.25">
      <c r="A2" s="566">
        <v>39063</v>
      </c>
      <c r="B2" s="412" t="s">
        <v>0</v>
      </c>
      <c r="C2" s="393"/>
      <c r="D2" s="389"/>
      <c r="E2" s="389"/>
      <c r="F2" s="389"/>
      <c r="G2" s="389"/>
      <c r="H2" s="390"/>
      <c r="I2" s="391"/>
      <c r="J2" s="392"/>
      <c r="K2" s="423"/>
      <c r="L2" s="499"/>
      <c r="M2" s="449"/>
      <c r="N2" s="450"/>
      <c r="O2" s="435"/>
      <c r="P2" s="392"/>
      <c r="Q2" s="392"/>
      <c r="R2" s="392"/>
      <c r="S2" s="392"/>
      <c r="T2" s="392"/>
      <c r="U2" s="392"/>
      <c r="V2" s="392"/>
      <c r="W2" s="392"/>
      <c r="X2" s="308"/>
      <c r="Y2" s="308"/>
      <c r="Z2" s="308"/>
      <c r="AA2" s="308"/>
      <c r="AB2" s="308"/>
    </row>
    <row r="3" spans="1:29" ht="13.3" thickBot="1" x14ac:dyDescent="0.25">
      <c r="A3" s="566">
        <v>39063</v>
      </c>
      <c r="B3" s="413" t="s">
        <v>1</v>
      </c>
      <c r="C3" s="394"/>
      <c r="D3" s="148"/>
      <c r="E3" s="148"/>
      <c r="F3" s="148"/>
      <c r="G3" s="148"/>
      <c r="H3" s="307"/>
      <c r="I3" s="306"/>
      <c r="J3" s="309"/>
      <c r="K3" s="424"/>
      <c r="L3" s="500"/>
      <c r="M3" s="451"/>
      <c r="N3" s="452"/>
      <c r="O3" s="436"/>
      <c r="P3" s="309"/>
      <c r="Q3" s="309"/>
      <c r="R3" s="309"/>
      <c r="S3" s="309"/>
      <c r="T3" s="309"/>
      <c r="U3" s="309"/>
      <c r="V3" s="309"/>
      <c r="W3" s="309"/>
      <c r="X3" s="308"/>
      <c r="Y3" s="308"/>
      <c r="Z3" s="308"/>
      <c r="AA3" s="308"/>
      <c r="AB3" s="308"/>
    </row>
    <row r="4" spans="1:29" x14ac:dyDescent="0.2">
      <c r="A4" s="566">
        <v>39063</v>
      </c>
      <c r="B4" s="413" t="s">
        <v>2</v>
      </c>
      <c r="C4" s="395">
        <v>1400</v>
      </c>
      <c r="D4" s="310">
        <v>1760</v>
      </c>
      <c r="E4" s="311"/>
      <c r="F4" s="310">
        <v>2000</v>
      </c>
      <c r="G4" s="310"/>
      <c r="H4" s="310">
        <v>1400</v>
      </c>
      <c r="I4" s="306"/>
      <c r="J4" s="309"/>
      <c r="K4" s="424"/>
      <c r="L4" s="500"/>
      <c r="M4" s="451"/>
      <c r="N4" s="452"/>
      <c r="O4" s="436"/>
      <c r="P4" s="309"/>
      <c r="Q4" s="309"/>
      <c r="R4" s="309"/>
      <c r="S4" s="309"/>
      <c r="T4" s="309"/>
      <c r="U4" s="309"/>
      <c r="V4" s="309"/>
      <c r="W4" s="309"/>
      <c r="X4" s="308"/>
      <c r="Y4" s="308"/>
      <c r="Z4" s="308"/>
      <c r="AA4" s="308"/>
      <c r="AB4" s="308"/>
    </row>
    <row r="5" spans="1:29" x14ac:dyDescent="0.2">
      <c r="A5" s="567">
        <v>39102</v>
      </c>
      <c r="B5" s="413" t="s">
        <v>0</v>
      </c>
      <c r="C5" s="394"/>
      <c r="D5" s="148"/>
      <c r="E5" s="148"/>
      <c r="F5" s="148"/>
      <c r="G5" s="148"/>
      <c r="H5" s="307"/>
      <c r="I5" s="306"/>
      <c r="J5" s="309"/>
      <c r="K5" s="424"/>
      <c r="L5" s="500"/>
      <c r="M5" s="451"/>
      <c r="N5" s="452"/>
      <c r="O5" s="436"/>
      <c r="P5" s="309"/>
      <c r="Q5" s="309"/>
      <c r="R5" s="309"/>
      <c r="S5" s="309"/>
      <c r="T5" s="309"/>
      <c r="U5" s="309"/>
      <c r="V5" s="309"/>
      <c r="W5" s="309"/>
      <c r="X5" s="308"/>
      <c r="Y5" s="308"/>
      <c r="Z5" s="308"/>
      <c r="AA5" s="308"/>
      <c r="AB5" s="308"/>
    </row>
    <row r="6" spans="1:29" x14ac:dyDescent="0.2">
      <c r="A6" s="567">
        <v>39102</v>
      </c>
      <c r="B6" s="413" t="s">
        <v>1</v>
      </c>
      <c r="C6" s="394"/>
      <c r="D6" s="148"/>
      <c r="E6" s="148"/>
      <c r="F6" s="148"/>
      <c r="G6" s="148"/>
      <c r="H6" s="307"/>
      <c r="I6" s="306"/>
      <c r="J6" s="309"/>
      <c r="K6" s="424"/>
      <c r="L6" s="500"/>
      <c r="M6" s="451"/>
      <c r="N6" s="452"/>
      <c r="O6" s="436"/>
      <c r="P6" s="309"/>
      <c r="Q6" s="309"/>
      <c r="R6" s="309"/>
      <c r="S6" s="309"/>
      <c r="T6" s="309"/>
      <c r="U6" s="309"/>
      <c r="V6" s="309"/>
      <c r="W6" s="309"/>
      <c r="X6" s="308"/>
      <c r="Y6" s="308"/>
      <c r="Z6" s="308"/>
      <c r="AA6" s="308"/>
      <c r="AB6" s="308"/>
    </row>
    <row r="7" spans="1:29" x14ac:dyDescent="0.2">
      <c r="A7" s="567">
        <v>39102</v>
      </c>
      <c r="B7" s="413" t="s">
        <v>2</v>
      </c>
      <c r="C7" s="395">
        <v>1470</v>
      </c>
      <c r="D7" s="310">
        <v>1840</v>
      </c>
      <c r="E7" s="311"/>
      <c r="F7" s="310">
        <v>2100</v>
      </c>
      <c r="G7" s="310"/>
      <c r="H7" s="310">
        <v>1470</v>
      </c>
      <c r="I7" s="306"/>
      <c r="J7" s="309"/>
      <c r="K7" s="424"/>
      <c r="L7" s="500"/>
      <c r="M7" s="451"/>
      <c r="N7" s="452"/>
      <c r="O7" s="436"/>
      <c r="P7" s="309"/>
      <c r="Q7" s="309"/>
      <c r="R7" s="309"/>
      <c r="S7" s="309"/>
      <c r="T7" s="309"/>
      <c r="U7" s="309"/>
      <c r="V7" s="309"/>
      <c r="W7" s="309"/>
      <c r="X7" s="308"/>
      <c r="Y7" s="308"/>
      <c r="Z7" s="308"/>
      <c r="AA7" s="308"/>
      <c r="AB7" s="308"/>
    </row>
    <row r="8" spans="1:29" x14ac:dyDescent="0.2">
      <c r="A8" s="567">
        <v>39216</v>
      </c>
      <c r="B8" s="413" t="s">
        <v>0</v>
      </c>
      <c r="C8" s="394"/>
      <c r="D8" s="148"/>
      <c r="E8" s="148"/>
      <c r="F8" s="148"/>
      <c r="G8" s="148"/>
      <c r="H8" s="307"/>
      <c r="I8" s="306"/>
      <c r="J8" s="309"/>
      <c r="K8" s="424"/>
      <c r="L8" s="500"/>
      <c r="M8" s="451"/>
      <c r="N8" s="452"/>
      <c r="O8" s="436"/>
      <c r="P8" s="309"/>
      <c r="Q8" s="309"/>
      <c r="R8" s="309"/>
      <c r="S8" s="309"/>
      <c r="T8" s="309"/>
      <c r="U8" s="309"/>
      <c r="V8" s="309"/>
      <c r="W8" s="309"/>
      <c r="X8" s="308"/>
      <c r="Y8" s="308"/>
      <c r="Z8" s="308"/>
      <c r="AA8" s="308"/>
      <c r="AB8" s="308"/>
    </row>
    <row r="9" spans="1:29" x14ac:dyDescent="0.2">
      <c r="A9" s="567">
        <v>39216</v>
      </c>
      <c r="B9" s="413" t="s">
        <v>1</v>
      </c>
      <c r="C9" s="394"/>
      <c r="D9" s="148"/>
      <c r="E9" s="148"/>
      <c r="F9" s="148"/>
      <c r="G9" s="148"/>
      <c r="H9" s="307"/>
      <c r="I9" s="306"/>
      <c r="J9" s="309"/>
      <c r="K9" s="424"/>
      <c r="L9" s="500"/>
      <c r="M9" s="451"/>
      <c r="N9" s="452"/>
      <c r="O9" s="436"/>
      <c r="P9" s="309"/>
      <c r="Q9" s="309"/>
      <c r="R9" s="309"/>
      <c r="S9" s="309"/>
      <c r="T9" s="309"/>
      <c r="U9" s="309"/>
      <c r="V9" s="309"/>
      <c r="W9" s="309"/>
      <c r="X9" s="308"/>
      <c r="Y9" s="308"/>
      <c r="Z9" s="308"/>
      <c r="AA9" s="308"/>
      <c r="AB9" s="308"/>
    </row>
    <row r="10" spans="1:29" x14ac:dyDescent="0.2">
      <c r="A10" s="567">
        <v>39216</v>
      </c>
      <c r="B10" s="413" t="s">
        <v>2</v>
      </c>
      <c r="C10" s="394">
        <v>1530</v>
      </c>
      <c r="D10" s="148">
        <v>1930</v>
      </c>
      <c r="E10" s="311"/>
      <c r="F10" s="148">
        <v>2200</v>
      </c>
      <c r="G10" s="148"/>
      <c r="H10" s="148">
        <v>1540</v>
      </c>
      <c r="I10" s="306"/>
      <c r="J10" s="309"/>
      <c r="K10" s="424"/>
      <c r="L10" s="500"/>
      <c r="M10" s="451"/>
      <c r="N10" s="452"/>
      <c r="O10" s="436"/>
      <c r="P10" s="309"/>
      <c r="Q10" s="309"/>
      <c r="R10" s="309"/>
      <c r="S10" s="309"/>
      <c r="T10" s="309"/>
      <c r="U10" s="309"/>
      <c r="V10" s="309"/>
      <c r="W10" s="309"/>
      <c r="X10" s="308"/>
      <c r="Y10" s="308"/>
      <c r="Z10" s="308"/>
      <c r="AA10" s="308"/>
      <c r="AB10" s="308"/>
    </row>
    <row r="11" spans="1:29" x14ac:dyDescent="0.2">
      <c r="A11" s="567">
        <v>39300</v>
      </c>
      <c r="B11" s="413" t="s">
        <v>0</v>
      </c>
      <c r="C11" s="394"/>
      <c r="D11" s="148"/>
      <c r="E11" s="148"/>
      <c r="F11" s="148"/>
      <c r="G11" s="148"/>
      <c r="H11" s="307"/>
      <c r="I11" s="306"/>
      <c r="J11" s="309"/>
      <c r="K11" s="424"/>
      <c r="L11" s="500"/>
      <c r="M11" s="451"/>
      <c r="N11" s="452"/>
      <c r="O11" s="436"/>
      <c r="P11" s="309"/>
      <c r="Q11" s="309"/>
      <c r="R11" s="309"/>
      <c r="S11" s="309"/>
      <c r="T11" s="309"/>
      <c r="U11" s="309"/>
      <c r="V11" s="309"/>
      <c r="W11" s="309"/>
      <c r="X11" s="308"/>
      <c r="Y11" s="308"/>
      <c r="Z11" s="308"/>
      <c r="AA11" s="308"/>
      <c r="AB11" s="308"/>
    </row>
    <row r="12" spans="1:29" x14ac:dyDescent="0.2">
      <c r="A12" s="567">
        <v>39300</v>
      </c>
      <c r="B12" s="413" t="s">
        <v>1</v>
      </c>
      <c r="C12" s="396"/>
      <c r="D12" s="145"/>
      <c r="E12" s="145"/>
      <c r="F12" s="145"/>
      <c r="G12" s="145"/>
      <c r="H12" s="312"/>
      <c r="I12" s="306"/>
      <c r="J12" s="309"/>
      <c r="K12" s="424"/>
      <c r="L12" s="500"/>
      <c r="M12" s="451"/>
      <c r="N12" s="452"/>
      <c r="O12" s="436"/>
      <c r="P12" s="309"/>
      <c r="Q12" s="309"/>
      <c r="R12" s="309"/>
      <c r="S12" s="309"/>
      <c r="T12" s="309"/>
      <c r="U12" s="309"/>
      <c r="V12" s="309"/>
      <c r="W12" s="309"/>
      <c r="X12" s="308"/>
      <c r="Y12" s="308"/>
      <c r="Z12" s="308"/>
      <c r="AA12" s="308"/>
      <c r="AB12" s="308"/>
    </row>
    <row r="13" spans="1:29" x14ac:dyDescent="0.2">
      <c r="A13" s="567">
        <v>39300</v>
      </c>
      <c r="B13" s="413" t="s">
        <v>2</v>
      </c>
      <c r="C13" s="397">
        <v>1600</v>
      </c>
      <c r="D13" s="313">
        <v>2020</v>
      </c>
      <c r="E13" s="311"/>
      <c r="F13" s="313">
        <v>2310</v>
      </c>
      <c r="G13" s="313"/>
      <c r="H13" s="313">
        <v>1610</v>
      </c>
      <c r="I13" s="311"/>
      <c r="J13" s="309"/>
      <c r="K13" s="424"/>
      <c r="L13" s="500"/>
      <c r="M13" s="451"/>
      <c r="N13" s="452"/>
      <c r="O13" s="436"/>
      <c r="P13" s="309"/>
      <c r="Q13" s="309"/>
      <c r="R13" s="309"/>
      <c r="S13" s="309"/>
      <c r="T13" s="309"/>
      <c r="U13" s="309"/>
      <c r="V13" s="309"/>
      <c r="W13" s="309"/>
      <c r="X13" s="308"/>
      <c r="Y13" s="308"/>
      <c r="Z13" s="308"/>
      <c r="AA13" s="308"/>
      <c r="AB13" s="308"/>
    </row>
    <row r="14" spans="1:29" x14ac:dyDescent="0.2">
      <c r="A14" s="567">
        <v>39426</v>
      </c>
      <c r="B14" s="413" t="s">
        <v>0</v>
      </c>
      <c r="C14" s="398"/>
      <c r="D14" s="138"/>
      <c r="E14" s="138"/>
      <c r="F14" s="138"/>
      <c r="G14" s="138"/>
      <c r="H14" s="314"/>
      <c r="I14" s="306"/>
      <c r="J14" s="309"/>
      <c r="K14" s="424"/>
      <c r="L14" s="500"/>
      <c r="M14" s="451"/>
      <c r="N14" s="452"/>
      <c r="O14" s="436"/>
      <c r="P14" s="309"/>
      <c r="Q14" s="309"/>
      <c r="R14" s="309"/>
      <c r="S14" s="309"/>
      <c r="T14" s="309"/>
      <c r="U14" s="309"/>
      <c r="V14" s="309"/>
      <c r="W14" s="309"/>
      <c r="X14" s="308"/>
      <c r="Y14" s="308"/>
      <c r="Z14" s="308"/>
      <c r="AA14" s="308"/>
      <c r="AB14" s="308"/>
    </row>
    <row r="15" spans="1:29" x14ac:dyDescent="0.2">
      <c r="A15" s="567">
        <v>39426</v>
      </c>
      <c r="B15" s="413" t="s">
        <v>1</v>
      </c>
      <c r="C15" s="398"/>
      <c r="D15" s="138"/>
      <c r="E15" s="138"/>
      <c r="F15" s="138"/>
      <c r="G15" s="138"/>
      <c r="H15" s="314"/>
      <c r="I15" s="306"/>
      <c r="J15" s="309"/>
      <c r="K15" s="424"/>
      <c r="L15" s="500"/>
      <c r="M15" s="451"/>
      <c r="N15" s="452"/>
      <c r="O15" s="436"/>
      <c r="P15" s="309"/>
      <c r="Q15" s="309"/>
      <c r="R15" s="309"/>
      <c r="S15" s="309"/>
      <c r="T15" s="309"/>
      <c r="U15" s="309"/>
      <c r="V15" s="309"/>
      <c r="W15" s="309"/>
      <c r="X15" s="308"/>
      <c r="Y15" s="308"/>
      <c r="Z15" s="308"/>
      <c r="AA15" s="308"/>
      <c r="AB15" s="308"/>
    </row>
    <row r="16" spans="1:29" x14ac:dyDescent="0.2">
      <c r="A16" s="567">
        <v>39426</v>
      </c>
      <c r="B16" s="413" t="s">
        <v>2</v>
      </c>
      <c r="C16" s="397">
        <v>1670</v>
      </c>
      <c r="D16" s="313">
        <v>2120</v>
      </c>
      <c r="E16" s="311"/>
      <c r="F16" s="313">
        <v>2420</v>
      </c>
      <c r="G16" s="313"/>
      <c r="H16" s="313">
        <v>1690</v>
      </c>
      <c r="I16" s="306"/>
      <c r="J16" s="309"/>
      <c r="K16" s="424"/>
      <c r="L16" s="500"/>
      <c r="M16" s="451"/>
      <c r="N16" s="452"/>
      <c r="O16" s="436"/>
      <c r="P16" s="309"/>
      <c r="Q16" s="309"/>
      <c r="R16" s="309"/>
      <c r="S16" s="309"/>
      <c r="T16" s="309"/>
      <c r="U16" s="309"/>
      <c r="V16" s="309"/>
      <c r="W16" s="309"/>
      <c r="X16" s="308"/>
      <c r="Y16" s="308"/>
      <c r="Z16" s="308"/>
      <c r="AA16" s="308"/>
      <c r="AB16" s="308"/>
    </row>
    <row r="17" spans="1:28" x14ac:dyDescent="0.2">
      <c r="A17" s="567">
        <v>39609</v>
      </c>
      <c r="B17" s="413" t="s">
        <v>0</v>
      </c>
      <c r="C17" s="398"/>
      <c r="D17" s="138"/>
      <c r="E17" s="138"/>
      <c r="F17" s="138"/>
      <c r="G17" s="138"/>
      <c r="H17" s="314"/>
      <c r="I17" s="306"/>
      <c r="J17" s="309"/>
      <c r="K17" s="424"/>
      <c r="L17" s="500"/>
      <c r="M17" s="451"/>
      <c r="N17" s="452"/>
      <c r="O17" s="436"/>
      <c r="P17" s="309"/>
      <c r="Q17" s="309"/>
      <c r="R17" s="309"/>
      <c r="S17" s="309"/>
      <c r="T17" s="309"/>
      <c r="U17" s="309"/>
      <c r="V17" s="309"/>
      <c r="W17" s="309"/>
      <c r="X17" s="308"/>
      <c r="Y17" s="308"/>
      <c r="Z17" s="308"/>
      <c r="AA17" s="308"/>
      <c r="AB17" s="308"/>
    </row>
    <row r="18" spans="1:28" x14ac:dyDescent="0.2">
      <c r="A18" s="567">
        <v>39609</v>
      </c>
      <c r="B18" s="413" t="s">
        <v>1</v>
      </c>
      <c r="C18" s="398"/>
      <c r="D18" s="138"/>
      <c r="E18" s="138"/>
      <c r="F18" s="138"/>
      <c r="G18" s="138"/>
      <c r="H18" s="314"/>
      <c r="I18" s="306"/>
      <c r="J18" s="309"/>
      <c r="K18" s="424"/>
      <c r="L18" s="500"/>
      <c r="M18" s="451"/>
      <c r="N18" s="452"/>
      <c r="O18" s="436"/>
      <c r="P18" s="309"/>
      <c r="Q18" s="309"/>
      <c r="R18" s="309"/>
      <c r="S18" s="309"/>
      <c r="T18" s="309"/>
      <c r="U18" s="309"/>
      <c r="V18" s="309"/>
      <c r="W18" s="309"/>
      <c r="X18" s="308"/>
      <c r="Y18" s="308"/>
      <c r="Z18" s="308"/>
      <c r="AA18" s="308"/>
      <c r="AB18" s="308"/>
    </row>
    <row r="19" spans="1:28" x14ac:dyDescent="0.2">
      <c r="A19" s="567">
        <v>39609</v>
      </c>
      <c r="B19" s="413" t="s">
        <v>2</v>
      </c>
      <c r="C19" s="397">
        <v>1760</v>
      </c>
      <c r="D19" s="313">
        <v>2230</v>
      </c>
      <c r="E19" s="311"/>
      <c r="F19" s="313">
        <v>2540</v>
      </c>
      <c r="G19" s="313"/>
      <c r="H19" s="313">
        <v>1940</v>
      </c>
      <c r="I19" s="306"/>
      <c r="J19" s="309"/>
      <c r="K19" s="424"/>
      <c r="L19" s="500"/>
      <c r="M19" s="451"/>
      <c r="N19" s="452"/>
      <c r="O19" s="436"/>
      <c r="P19" s="309"/>
      <c r="Q19" s="309"/>
      <c r="R19" s="309"/>
      <c r="S19" s="309"/>
      <c r="T19" s="309"/>
      <c r="U19" s="309"/>
      <c r="V19" s="309"/>
      <c r="W19" s="309"/>
      <c r="X19" s="308"/>
      <c r="Y19" s="308"/>
      <c r="Z19" s="308"/>
      <c r="AA19" s="308"/>
      <c r="AB19" s="308"/>
    </row>
    <row r="20" spans="1:28" x14ac:dyDescent="0.2">
      <c r="A20" s="567">
        <v>39635</v>
      </c>
      <c r="B20" s="413" t="s">
        <v>0</v>
      </c>
      <c r="C20" s="398"/>
      <c r="D20" s="138"/>
      <c r="E20" s="138"/>
      <c r="F20" s="138"/>
      <c r="G20" s="138"/>
      <c r="H20" s="314"/>
      <c r="I20" s="306"/>
      <c r="J20" s="309"/>
      <c r="K20" s="424"/>
      <c r="L20" s="500"/>
      <c r="M20" s="451"/>
      <c r="N20" s="452"/>
      <c r="O20" s="436"/>
      <c r="P20" s="309"/>
      <c r="Q20" s="309"/>
      <c r="R20" s="309"/>
      <c r="S20" s="309"/>
      <c r="T20" s="309"/>
      <c r="U20" s="309"/>
      <c r="V20" s="309"/>
      <c r="W20" s="309"/>
      <c r="X20" s="308"/>
      <c r="Y20" s="308"/>
      <c r="Z20" s="308"/>
      <c r="AA20" s="308"/>
      <c r="AB20" s="308"/>
    </row>
    <row r="21" spans="1:28" x14ac:dyDescent="0.2">
      <c r="A21" s="567">
        <v>39635</v>
      </c>
      <c r="B21" s="413" t="s">
        <v>1</v>
      </c>
      <c r="C21" s="398"/>
      <c r="D21" s="138"/>
      <c r="E21" s="138"/>
      <c r="F21" s="138"/>
      <c r="G21" s="138"/>
      <c r="H21" s="314"/>
      <c r="I21" s="306"/>
      <c r="J21" s="309"/>
      <c r="K21" s="424"/>
      <c r="L21" s="500"/>
      <c r="M21" s="451"/>
      <c r="N21" s="452"/>
      <c r="O21" s="436"/>
      <c r="P21" s="309"/>
      <c r="Q21" s="309"/>
      <c r="R21" s="309"/>
      <c r="S21" s="309"/>
      <c r="T21" s="309"/>
      <c r="U21" s="309"/>
      <c r="V21" s="309"/>
      <c r="W21" s="309"/>
      <c r="X21" s="308"/>
      <c r="Y21" s="308"/>
      <c r="Z21" s="308"/>
      <c r="AA21" s="308"/>
      <c r="AB21" s="308"/>
    </row>
    <row r="22" spans="1:28" x14ac:dyDescent="0.2">
      <c r="A22" s="567">
        <v>39635</v>
      </c>
      <c r="B22" s="413" t="s">
        <v>2</v>
      </c>
      <c r="C22" s="397">
        <v>1850</v>
      </c>
      <c r="D22" s="313">
        <v>2350</v>
      </c>
      <c r="E22" s="311"/>
      <c r="F22" s="313">
        <v>2670</v>
      </c>
      <c r="G22" s="313"/>
      <c r="H22" s="313">
        <v>2130</v>
      </c>
      <c r="I22" s="306"/>
      <c r="J22" s="309"/>
      <c r="K22" s="424"/>
      <c r="L22" s="500"/>
      <c r="M22" s="451"/>
      <c r="N22" s="452"/>
      <c r="O22" s="436"/>
      <c r="P22" s="309"/>
      <c r="Q22" s="309"/>
      <c r="R22" s="309"/>
      <c r="S22" s="309"/>
      <c r="T22" s="309"/>
      <c r="U22" s="309"/>
      <c r="V22" s="309"/>
      <c r="W22" s="309"/>
      <c r="X22" s="308"/>
      <c r="Y22" s="308"/>
      <c r="Z22" s="308"/>
      <c r="AA22" s="308"/>
      <c r="AB22" s="308"/>
    </row>
    <row r="23" spans="1:28" x14ac:dyDescent="0.2">
      <c r="A23" s="567">
        <v>39652</v>
      </c>
      <c r="B23" s="413" t="s">
        <v>0</v>
      </c>
      <c r="C23" s="398"/>
      <c r="D23" s="138"/>
      <c r="E23" s="138"/>
      <c r="F23" s="138"/>
      <c r="G23" s="138"/>
      <c r="H23" s="314"/>
      <c r="I23" s="306"/>
      <c r="J23" s="309"/>
      <c r="K23" s="424"/>
      <c r="L23" s="500"/>
      <c r="M23" s="451"/>
      <c r="N23" s="452"/>
      <c r="O23" s="436"/>
      <c r="P23" s="309"/>
      <c r="Q23" s="309"/>
      <c r="R23" s="309"/>
      <c r="S23" s="309"/>
      <c r="T23" s="309"/>
      <c r="U23" s="309"/>
      <c r="V23" s="309"/>
      <c r="W23" s="309"/>
      <c r="X23" s="308"/>
      <c r="Y23" s="308"/>
      <c r="Z23" s="308"/>
      <c r="AA23" s="308"/>
      <c r="AB23" s="308"/>
    </row>
    <row r="24" spans="1:28" x14ac:dyDescent="0.2">
      <c r="A24" s="567">
        <v>39652</v>
      </c>
      <c r="B24" s="413" t="s">
        <v>1</v>
      </c>
      <c r="C24" s="398"/>
      <c r="D24" s="138"/>
      <c r="E24" s="138"/>
      <c r="F24" s="138"/>
      <c r="G24" s="138"/>
      <c r="H24" s="314"/>
      <c r="I24" s="306"/>
      <c r="J24" s="309"/>
      <c r="K24" s="424"/>
      <c r="L24" s="500"/>
      <c r="M24" s="451"/>
      <c r="N24" s="452"/>
      <c r="O24" s="436"/>
      <c r="P24" s="309"/>
      <c r="Q24" s="309"/>
      <c r="R24" s="309"/>
      <c r="S24" s="309"/>
      <c r="T24" s="309"/>
      <c r="U24" s="309"/>
      <c r="V24" s="309"/>
      <c r="W24" s="309"/>
      <c r="X24" s="308"/>
      <c r="Y24" s="308"/>
      <c r="Z24" s="308"/>
      <c r="AA24" s="308"/>
      <c r="AB24" s="308"/>
    </row>
    <row r="25" spans="1:28" x14ac:dyDescent="0.2">
      <c r="A25" s="567">
        <v>39652</v>
      </c>
      <c r="B25" s="413" t="s">
        <v>2</v>
      </c>
      <c r="C25" s="397">
        <v>1950</v>
      </c>
      <c r="D25" s="313">
        <v>2470</v>
      </c>
      <c r="E25" s="315"/>
      <c r="F25" s="313">
        <v>2810</v>
      </c>
      <c r="G25" s="313"/>
      <c r="H25" s="313">
        <v>2240</v>
      </c>
      <c r="I25" s="309"/>
      <c r="J25" s="309"/>
      <c r="K25" s="424"/>
      <c r="L25" s="500"/>
      <c r="M25" s="451"/>
      <c r="N25" s="452"/>
      <c r="O25" s="436"/>
      <c r="P25" s="309"/>
      <c r="Q25" s="309"/>
      <c r="R25" s="309"/>
      <c r="S25" s="309"/>
      <c r="T25" s="309"/>
      <c r="U25" s="309"/>
      <c r="V25" s="309"/>
      <c r="W25" s="309"/>
      <c r="X25" s="308"/>
      <c r="Y25" s="308"/>
      <c r="Z25" s="308"/>
      <c r="AA25" s="308"/>
      <c r="AB25" s="308"/>
    </row>
    <row r="26" spans="1:28" x14ac:dyDescent="0.2">
      <c r="A26" s="567">
        <v>39783</v>
      </c>
      <c r="B26" s="413" t="s">
        <v>0</v>
      </c>
      <c r="C26" s="38">
        <v>1791000</v>
      </c>
      <c r="D26" s="11">
        <v>2239160</v>
      </c>
      <c r="E26" s="11"/>
      <c r="F26" s="11">
        <v>2563220</v>
      </c>
      <c r="G26" s="11"/>
      <c r="H26" s="11">
        <v>1642230</v>
      </c>
      <c r="I26" s="11"/>
      <c r="J26" s="11"/>
      <c r="K26" s="45"/>
      <c r="L26" s="155"/>
      <c r="M26" s="10"/>
      <c r="N26" s="12"/>
      <c r="O26" s="38"/>
      <c r="P26" s="11"/>
      <c r="Q26" s="11"/>
      <c r="R26" s="191"/>
      <c r="S26" s="191"/>
      <c r="T26" s="11"/>
      <c r="U26" s="11"/>
      <c r="V26" s="191"/>
      <c r="W26" s="191"/>
      <c r="X26" s="191"/>
      <c r="Y26" s="191"/>
      <c r="Z26" s="191"/>
      <c r="AA26" s="191"/>
      <c r="AB26" s="191"/>
    </row>
    <row r="27" spans="1:28" x14ac:dyDescent="0.2">
      <c r="A27" s="567">
        <v>39783</v>
      </c>
      <c r="B27" s="413" t="s">
        <v>1</v>
      </c>
      <c r="C27" s="38">
        <v>1938983</v>
      </c>
      <c r="D27" s="11">
        <v>2445763</v>
      </c>
      <c r="E27" s="11"/>
      <c r="F27" s="11">
        <v>2787288</v>
      </c>
      <c r="G27" s="11"/>
      <c r="H27" s="11">
        <v>2054237</v>
      </c>
      <c r="I27" s="11">
        <v>1789831</v>
      </c>
      <c r="J27" s="11"/>
      <c r="K27" s="45"/>
      <c r="L27" s="155"/>
      <c r="M27" s="10"/>
      <c r="N27" s="12"/>
      <c r="O27" s="38"/>
      <c r="P27" s="11"/>
      <c r="Q27" s="11"/>
      <c r="R27" s="191"/>
      <c r="S27" s="191"/>
      <c r="T27" s="11"/>
      <c r="U27" s="11"/>
      <c r="V27" s="191"/>
      <c r="W27" s="191"/>
      <c r="X27" s="191"/>
      <c r="Y27" s="191"/>
      <c r="Z27" s="191"/>
      <c r="AA27" s="191"/>
      <c r="AB27" s="191"/>
    </row>
    <row r="28" spans="1:28" x14ac:dyDescent="0.2">
      <c r="A28" s="567">
        <v>39783</v>
      </c>
      <c r="B28" s="413" t="s">
        <v>2</v>
      </c>
      <c r="C28" s="38">
        <v>1760</v>
      </c>
      <c r="D28" s="11">
        <v>2220</v>
      </c>
      <c r="E28" s="11"/>
      <c r="F28" s="11">
        <v>2530</v>
      </c>
      <c r="G28" s="11"/>
      <c r="H28" s="11">
        <v>2020</v>
      </c>
      <c r="I28" s="11">
        <v>1760</v>
      </c>
      <c r="J28" s="11"/>
      <c r="K28" s="45"/>
      <c r="L28" s="155"/>
      <c r="M28" s="10"/>
      <c r="N28" s="12"/>
      <c r="O28" s="38"/>
      <c r="P28" s="11"/>
      <c r="Q28" s="11"/>
      <c r="R28" s="191"/>
      <c r="S28" s="191"/>
      <c r="T28" s="11"/>
      <c r="U28" s="11"/>
      <c r="V28" s="191"/>
      <c r="W28" s="191"/>
      <c r="X28" s="191"/>
      <c r="Y28" s="191"/>
      <c r="Z28" s="191"/>
      <c r="AA28" s="191"/>
      <c r="AB28" s="191"/>
    </row>
    <row r="29" spans="1:28" x14ac:dyDescent="0.2">
      <c r="A29" s="567">
        <v>40066</v>
      </c>
      <c r="B29" s="413" t="s">
        <v>0</v>
      </c>
      <c r="C29" s="38">
        <v>1952190</v>
      </c>
      <c r="D29" s="11">
        <v>2485470</v>
      </c>
      <c r="E29" s="11"/>
      <c r="F29" s="11">
        <v>2819540</v>
      </c>
      <c r="G29" s="11"/>
      <c r="H29" s="317">
        <v>1888560</v>
      </c>
      <c r="I29" s="11">
        <v>1563840</v>
      </c>
      <c r="J29" s="11"/>
      <c r="K29" s="45"/>
      <c r="L29" s="155"/>
      <c r="M29" s="10"/>
      <c r="N29" s="12"/>
      <c r="O29" s="38"/>
      <c r="P29" s="11"/>
      <c r="Q29" s="11"/>
      <c r="R29" s="191"/>
      <c r="S29" s="191"/>
      <c r="T29" s="11"/>
      <c r="U29" s="11"/>
      <c r="V29" s="191"/>
      <c r="W29" s="191"/>
      <c r="X29" s="191"/>
      <c r="Y29" s="191"/>
      <c r="Z29" s="191"/>
      <c r="AA29" s="191"/>
      <c r="AB29" s="191"/>
    </row>
    <row r="30" spans="1:28" x14ac:dyDescent="0.2">
      <c r="A30" s="567">
        <v>40066</v>
      </c>
      <c r="B30" s="413" t="s">
        <v>1</v>
      </c>
      <c r="C30" s="38">
        <v>2093220</v>
      </c>
      <c r="D30" s="11">
        <v>2721186</v>
      </c>
      <c r="E30" s="11"/>
      <c r="F30" s="11">
        <v>3062712</v>
      </c>
      <c r="G30" s="11"/>
      <c r="H30" s="11">
        <v>2257627</v>
      </c>
      <c r="I30" s="11">
        <v>1942373</v>
      </c>
      <c r="J30" s="11"/>
      <c r="K30" s="45"/>
      <c r="L30" s="155"/>
      <c r="M30" s="10"/>
      <c r="N30" s="12"/>
      <c r="O30" s="38"/>
      <c r="P30" s="11"/>
      <c r="Q30" s="11"/>
      <c r="R30" s="191"/>
      <c r="S30" s="191"/>
      <c r="T30" s="11"/>
      <c r="U30" s="11"/>
      <c r="V30" s="191"/>
      <c r="W30" s="191"/>
      <c r="X30" s="191"/>
      <c r="Y30" s="191"/>
      <c r="Z30" s="191"/>
      <c r="AA30" s="191"/>
      <c r="AB30" s="191"/>
    </row>
    <row r="31" spans="1:28" x14ac:dyDescent="0.2">
      <c r="A31" s="567">
        <v>40066</v>
      </c>
      <c r="B31" s="413" t="s">
        <v>2</v>
      </c>
      <c r="C31" s="38">
        <v>1900</v>
      </c>
      <c r="D31" s="11">
        <v>2470</v>
      </c>
      <c r="E31" s="11"/>
      <c r="F31" s="11">
        <v>2780</v>
      </c>
      <c r="G31" s="11"/>
      <c r="H31" s="11">
        <v>2220</v>
      </c>
      <c r="I31" s="11">
        <v>1910</v>
      </c>
      <c r="J31" s="11"/>
      <c r="K31" s="45"/>
      <c r="L31" s="155"/>
      <c r="M31" s="10"/>
      <c r="N31" s="12"/>
      <c r="O31" s="38"/>
      <c r="P31" s="11"/>
      <c r="Q31" s="11"/>
      <c r="R31" s="191"/>
      <c r="S31" s="191"/>
      <c r="T31" s="11"/>
      <c r="U31" s="11"/>
      <c r="V31" s="191"/>
      <c r="W31" s="191"/>
      <c r="X31" s="191"/>
      <c r="Y31" s="191"/>
      <c r="Z31" s="191"/>
      <c r="AA31" s="191"/>
      <c r="AB31" s="191"/>
    </row>
    <row r="32" spans="1:28" x14ac:dyDescent="0.2">
      <c r="A32" s="567">
        <v>40201</v>
      </c>
      <c r="B32" s="413" t="s">
        <v>0</v>
      </c>
      <c r="C32" s="38">
        <v>1991230</v>
      </c>
      <c r="D32" s="11">
        <v>2535180</v>
      </c>
      <c r="E32" s="11"/>
      <c r="F32" s="11">
        <v>2875930</v>
      </c>
      <c r="G32" s="11"/>
      <c r="H32" s="317">
        <v>1926330</v>
      </c>
      <c r="I32" s="11">
        <v>1706780</v>
      </c>
      <c r="J32" s="11"/>
      <c r="K32" s="45"/>
      <c r="L32" s="155"/>
      <c r="M32" s="10"/>
      <c r="N32" s="12"/>
      <c r="O32" s="38"/>
      <c r="P32" s="11"/>
      <c r="Q32" s="11"/>
      <c r="R32" s="191"/>
      <c r="S32" s="191"/>
      <c r="T32" s="11"/>
      <c r="U32" s="11"/>
      <c r="V32" s="191"/>
      <c r="W32" s="191"/>
      <c r="X32" s="191"/>
      <c r="Y32" s="191"/>
      <c r="Z32" s="191"/>
      <c r="AA32" s="191"/>
      <c r="AB32" s="191"/>
    </row>
    <row r="33" spans="1:28" x14ac:dyDescent="0.2">
      <c r="A33" s="567">
        <v>40201</v>
      </c>
      <c r="B33" s="413" t="s">
        <v>1</v>
      </c>
      <c r="C33" s="38">
        <v>2100667</v>
      </c>
      <c r="D33" s="11">
        <v>2730000</v>
      </c>
      <c r="E33" s="11"/>
      <c r="F33" s="11">
        <v>3076667</v>
      </c>
      <c r="G33" s="11"/>
      <c r="H33" s="11">
        <v>2270000</v>
      </c>
      <c r="I33" s="11">
        <v>1950000</v>
      </c>
      <c r="J33" s="11"/>
      <c r="K33" s="45"/>
      <c r="L33" s="155"/>
      <c r="M33" s="10"/>
      <c r="N33" s="12"/>
      <c r="O33" s="38"/>
      <c r="P33" s="11"/>
      <c r="Q33" s="11"/>
      <c r="R33" s="191"/>
      <c r="S33" s="191"/>
      <c r="T33" s="11"/>
      <c r="U33" s="11"/>
      <c r="V33" s="191"/>
      <c r="W33" s="191"/>
      <c r="X33" s="191"/>
      <c r="Y33" s="191"/>
      <c r="Z33" s="191"/>
      <c r="AA33" s="191"/>
      <c r="AB33" s="191"/>
    </row>
    <row r="34" spans="1:28" x14ac:dyDescent="0.2">
      <c r="A34" s="567">
        <v>40201</v>
      </c>
      <c r="B34" s="413" t="s">
        <v>2</v>
      </c>
      <c r="C34" s="38">
        <v>1940</v>
      </c>
      <c r="D34" s="11">
        <v>2520</v>
      </c>
      <c r="E34" s="11"/>
      <c r="F34" s="11">
        <v>2840</v>
      </c>
      <c r="G34" s="11"/>
      <c r="H34" s="11">
        <v>2270</v>
      </c>
      <c r="I34" s="11">
        <v>1950</v>
      </c>
      <c r="J34" s="11"/>
      <c r="K34" s="45"/>
      <c r="L34" s="155"/>
      <c r="M34" s="10"/>
      <c r="N34" s="12"/>
      <c r="O34" s="38"/>
      <c r="P34" s="11"/>
      <c r="Q34" s="11"/>
      <c r="R34" s="191"/>
      <c r="S34" s="191"/>
      <c r="T34" s="11"/>
      <c r="U34" s="11"/>
      <c r="V34" s="191"/>
      <c r="W34" s="191"/>
      <c r="X34" s="191"/>
      <c r="Y34" s="191"/>
      <c r="Z34" s="191"/>
      <c r="AA34" s="191"/>
      <c r="AB34" s="191"/>
    </row>
    <row r="35" spans="1:28" x14ac:dyDescent="0.2">
      <c r="A35" s="568">
        <v>40210</v>
      </c>
      <c r="B35" s="414" t="s">
        <v>0</v>
      </c>
      <c r="C35" s="399">
        <v>2050970</v>
      </c>
      <c r="D35" s="168">
        <v>2611240</v>
      </c>
      <c r="E35" s="168"/>
      <c r="F35" s="168">
        <v>2962210</v>
      </c>
      <c r="G35" s="168"/>
      <c r="H35" s="318">
        <v>1984120</v>
      </c>
      <c r="I35" s="168">
        <v>1757980</v>
      </c>
      <c r="J35" s="11"/>
      <c r="K35" s="45"/>
      <c r="L35" s="155"/>
      <c r="M35" s="10"/>
      <c r="N35" s="12"/>
      <c r="O35" s="38"/>
      <c r="P35" s="11"/>
      <c r="Q35" s="11"/>
      <c r="R35" s="191"/>
      <c r="S35" s="191"/>
      <c r="T35" s="11"/>
      <c r="U35" s="11"/>
      <c r="V35" s="191"/>
      <c r="W35" s="191"/>
      <c r="X35" s="191"/>
      <c r="Y35" s="191"/>
      <c r="Z35" s="191"/>
      <c r="AA35" s="191"/>
      <c r="AB35" s="191"/>
    </row>
    <row r="36" spans="1:28" x14ac:dyDescent="0.2">
      <c r="A36" s="568">
        <v>40210</v>
      </c>
      <c r="B36" s="414" t="s">
        <v>1</v>
      </c>
      <c r="C36" s="399">
        <v>2100667</v>
      </c>
      <c r="D36" s="168">
        <v>2730000</v>
      </c>
      <c r="E36" s="168"/>
      <c r="F36" s="168">
        <v>3076667</v>
      </c>
      <c r="G36" s="168"/>
      <c r="H36" s="168">
        <v>2270000</v>
      </c>
      <c r="I36" s="168">
        <v>1950000</v>
      </c>
      <c r="J36" s="11"/>
      <c r="K36" s="45"/>
      <c r="L36" s="155"/>
      <c r="M36" s="10"/>
      <c r="N36" s="12"/>
      <c r="O36" s="38"/>
      <c r="P36" s="11"/>
      <c r="Q36" s="11"/>
      <c r="R36" s="191"/>
      <c r="S36" s="191"/>
      <c r="T36" s="11"/>
      <c r="U36" s="11"/>
      <c r="V36" s="191"/>
      <c r="W36" s="191"/>
      <c r="X36" s="191"/>
      <c r="Y36" s="191"/>
      <c r="Z36" s="191"/>
      <c r="AA36" s="191"/>
      <c r="AB36" s="191"/>
    </row>
    <row r="37" spans="1:28" x14ac:dyDescent="0.2">
      <c r="A37" s="568">
        <v>40210</v>
      </c>
      <c r="B37" s="414" t="s">
        <v>2</v>
      </c>
      <c r="C37" s="399">
        <v>1940</v>
      </c>
      <c r="D37" s="168">
        <v>2520</v>
      </c>
      <c r="E37" s="168"/>
      <c r="F37" s="168">
        <v>2840</v>
      </c>
      <c r="G37" s="168"/>
      <c r="H37" s="168">
        <v>2270</v>
      </c>
      <c r="I37" s="168">
        <v>1950</v>
      </c>
      <c r="J37" s="11"/>
      <c r="K37" s="45"/>
      <c r="L37" s="502"/>
      <c r="M37" s="10"/>
      <c r="N37" s="12"/>
      <c r="O37" s="38"/>
      <c r="P37" s="11"/>
      <c r="Q37" s="11"/>
      <c r="R37" s="191"/>
      <c r="S37" s="191"/>
      <c r="T37" s="11"/>
      <c r="U37" s="11"/>
      <c r="V37" s="191"/>
      <c r="W37" s="191"/>
      <c r="X37" s="191"/>
      <c r="Y37" s="191"/>
      <c r="Z37" s="191"/>
      <c r="AA37" s="191"/>
      <c r="AB37" s="191"/>
    </row>
    <row r="38" spans="1:28" x14ac:dyDescent="0.2">
      <c r="A38" s="567">
        <v>40236</v>
      </c>
      <c r="B38" s="413" t="s">
        <v>0</v>
      </c>
      <c r="C38" s="38">
        <v>2133010</v>
      </c>
      <c r="D38" s="11">
        <v>2715690</v>
      </c>
      <c r="E38" s="11"/>
      <c r="F38" s="11">
        <v>3080700</v>
      </c>
      <c r="G38" s="11"/>
      <c r="H38" s="317">
        <v>2026350</v>
      </c>
      <c r="I38" s="11">
        <v>1828300</v>
      </c>
      <c r="J38" s="11"/>
      <c r="K38" s="45"/>
      <c r="L38" s="502"/>
      <c r="M38" s="10"/>
      <c r="N38" s="12"/>
      <c r="O38" s="38"/>
      <c r="P38" s="11"/>
      <c r="Q38" s="11"/>
      <c r="R38" s="191"/>
      <c r="S38" s="191"/>
      <c r="T38" s="11"/>
      <c r="U38" s="11"/>
      <c r="V38" s="191"/>
      <c r="W38" s="191"/>
      <c r="X38" s="191"/>
      <c r="Y38" s="191"/>
      <c r="Z38" s="191"/>
      <c r="AA38" s="191"/>
      <c r="AB38" s="191"/>
    </row>
    <row r="39" spans="1:28" x14ac:dyDescent="0.2">
      <c r="A39" s="567">
        <v>40236</v>
      </c>
      <c r="B39" s="413" t="s">
        <v>1</v>
      </c>
      <c r="C39" s="38">
        <v>2253333</v>
      </c>
      <c r="D39" s="11">
        <v>2925000</v>
      </c>
      <c r="E39" s="11"/>
      <c r="F39" s="11">
        <v>3304167</v>
      </c>
      <c r="G39" s="11"/>
      <c r="H39" s="11">
        <v>2430000</v>
      </c>
      <c r="I39" s="11">
        <v>2090000</v>
      </c>
      <c r="J39" s="11"/>
      <c r="K39" s="45"/>
      <c r="L39" s="502"/>
      <c r="M39" s="10"/>
      <c r="N39" s="12"/>
      <c r="O39" s="38"/>
      <c r="P39" s="11"/>
      <c r="Q39" s="11"/>
      <c r="R39" s="191"/>
      <c r="S39" s="191"/>
      <c r="T39" s="11"/>
      <c r="U39" s="11"/>
      <c r="V39" s="191"/>
      <c r="W39" s="191"/>
      <c r="X39" s="191"/>
      <c r="Y39" s="191"/>
      <c r="Z39" s="191"/>
      <c r="AA39" s="191"/>
      <c r="AB39" s="191"/>
    </row>
    <row r="40" spans="1:28" x14ac:dyDescent="0.2">
      <c r="A40" s="567">
        <v>40236</v>
      </c>
      <c r="B40" s="413" t="s">
        <v>2</v>
      </c>
      <c r="C40" s="38">
        <v>2080</v>
      </c>
      <c r="D40" s="11">
        <v>2700</v>
      </c>
      <c r="E40" s="11"/>
      <c r="F40" s="11">
        <v>3050</v>
      </c>
      <c r="G40" s="11"/>
      <c r="H40" s="11">
        <v>2430</v>
      </c>
      <c r="I40" s="11">
        <v>2090</v>
      </c>
      <c r="J40" s="11"/>
      <c r="K40" s="45"/>
      <c r="L40" s="502"/>
      <c r="M40" s="10"/>
      <c r="N40" s="12"/>
      <c r="O40" s="38"/>
      <c r="P40" s="11"/>
      <c r="Q40" s="11"/>
      <c r="R40" s="191"/>
      <c r="S40" s="191"/>
      <c r="T40" s="11"/>
      <c r="U40" s="11"/>
      <c r="V40" s="191"/>
      <c r="W40" s="191"/>
      <c r="X40" s="191"/>
      <c r="Y40" s="191"/>
      <c r="Z40" s="191"/>
      <c r="AA40" s="191"/>
      <c r="AB40" s="191"/>
    </row>
    <row r="41" spans="1:28" x14ac:dyDescent="0.2">
      <c r="A41" s="567">
        <v>40310</v>
      </c>
      <c r="B41" s="413" t="s">
        <v>0</v>
      </c>
      <c r="C41" s="38">
        <v>2260990</v>
      </c>
      <c r="D41" s="11">
        <v>2878630</v>
      </c>
      <c r="E41" s="11"/>
      <c r="F41" s="11">
        <v>3265540</v>
      </c>
      <c r="G41" s="11"/>
      <c r="H41" s="317">
        <v>2187290</v>
      </c>
      <c r="I41" s="11">
        <v>1938000</v>
      </c>
      <c r="J41" s="11"/>
      <c r="K41" s="45"/>
      <c r="L41" s="502"/>
      <c r="M41" s="10"/>
      <c r="N41" s="12"/>
      <c r="O41" s="38"/>
      <c r="P41" s="11"/>
      <c r="Q41" s="11"/>
      <c r="R41" s="191"/>
      <c r="S41" s="191"/>
      <c r="T41" s="11"/>
      <c r="U41" s="11"/>
      <c r="V41" s="191"/>
      <c r="W41" s="191"/>
      <c r="X41" s="191"/>
      <c r="Y41" s="191"/>
      <c r="Z41" s="191"/>
      <c r="AA41" s="191"/>
      <c r="AB41" s="191"/>
    </row>
    <row r="42" spans="1:28" x14ac:dyDescent="0.2">
      <c r="A42" s="567">
        <v>40310</v>
      </c>
      <c r="B42" s="413" t="s">
        <v>1</v>
      </c>
      <c r="C42" s="38">
        <v>2437500</v>
      </c>
      <c r="D42" s="11">
        <v>3109167</v>
      </c>
      <c r="E42" s="11"/>
      <c r="F42" s="11">
        <v>3510000</v>
      </c>
      <c r="G42" s="11"/>
      <c r="H42" s="11">
        <v>2580000</v>
      </c>
      <c r="I42" s="11">
        <v>2220000</v>
      </c>
      <c r="J42" s="11"/>
      <c r="K42" s="45"/>
      <c r="L42" s="502"/>
      <c r="M42" s="10"/>
      <c r="N42" s="12"/>
      <c r="O42" s="38"/>
      <c r="P42" s="11"/>
      <c r="Q42" s="11"/>
      <c r="R42" s="191"/>
      <c r="S42" s="191"/>
      <c r="T42" s="11"/>
      <c r="U42" s="11"/>
      <c r="V42" s="191"/>
      <c r="W42" s="191"/>
      <c r="X42" s="191"/>
      <c r="Y42" s="191"/>
      <c r="Z42" s="191"/>
      <c r="AA42" s="191"/>
      <c r="AB42" s="191"/>
    </row>
    <row r="43" spans="1:28" x14ac:dyDescent="0.2">
      <c r="A43" s="567">
        <v>40310</v>
      </c>
      <c r="B43" s="413" t="s">
        <v>2</v>
      </c>
      <c r="C43" s="38">
        <v>2250</v>
      </c>
      <c r="D43" s="11">
        <v>2870</v>
      </c>
      <c r="E43" s="11"/>
      <c r="F43" s="11">
        <v>3240</v>
      </c>
      <c r="G43" s="11"/>
      <c r="H43" s="11">
        <v>2580</v>
      </c>
      <c r="I43" s="11">
        <v>2220</v>
      </c>
      <c r="J43" s="11"/>
      <c r="K43" s="45"/>
      <c r="L43" s="502"/>
      <c r="M43" s="10"/>
      <c r="N43" s="12"/>
      <c r="O43" s="38"/>
      <c r="P43" s="11"/>
      <c r="Q43" s="11"/>
      <c r="R43" s="191"/>
      <c r="S43" s="191"/>
      <c r="T43" s="11"/>
      <c r="U43" s="11"/>
      <c r="V43" s="191"/>
      <c r="W43" s="191"/>
      <c r="X43" s="191"/>
      <c r="Y43" s="191"/>
      <c r="Z43" s="191"/>
      <c r="AA43" s="191"/>
      <c r="AB43" s="191"/>
    </row>
    <row r="44" spans="1:28" x14ac:dyDescent="0.2">
      <c r="A44" s="568">
        <v>40568</v>
      </c>
      <c r="B44" s="414" t="s">
        <v>0</v>
      </c>
      <c r="C44" s="399">
        <v>2260990</v>
      </c>
      <c r="D44" s="168">
        <v>2878630</v>
      </c>
      <c r="E44" s="168"/>
      <c r="F44" s="168">
        <v>3265540</v>
      </c>
      <c r="G44" s="168"/>
      <c r="H44" s="318">
        <v>2274780</v>
      </c>
      <c r="I44" s="168">
        <v>2073660</v>
      </c>
      <c r="J44" s="11"/>
      <c r="K44" s="45"/>
      <c r="L44" s="502"/>
      <c r="M44" s="10"/>
      <c r="N44" s="12"/>
      <c r="O44" s="38"/>
      <c r="P44" s="11"/>
      <c r="Q44" s="11"/>
      <c r="R44" s="191"/>
      <c r="S44" s="191"/>
      <c r="T44" s="11"/>
      <c r="U44" s="11"/>
      <c r="V44" s="191"/>
      <c r="W44" s="191"/>
      <c r="X44" s="191"/>
      <c r="Y44" s="191"/>
      <c r="Z44" s="191"/>
      <c r="AA44" s="191"/>
      <c r="AB44" s="191"/>
    </row>
    <row r="45" spans="1:28" x14ac:dyDescent="0.2">
      <c r="A45" s="568">
        <v>40568</v>
      </c>
      <c r="B45" s="414" t="s">
        <v>1</v>
      </c>
      <c r="C45" s="399">
        <v>2437500</v>
      </c>
      <c r="D45" s="168">
        <v>3109167</v>
      </c>
      <c r="E45" s="168"/>
      <c r="F45" s="168">
        <v>3510000</v>
      </c>
      <c r="G45" s="168"/>
      <c r="H45" s="168">
        <v>2580000</v>
      </c>
      <c r="I45" s="168">
        <v>2220000</v>
      </c>
      <c r="J45" s="11"/>
      <c r="K45" s="45"/>
      <c r="L45" s="502"/>
      <c r="M45" s="10"/>
      <c r="N45" s="12"/>
      <c r="O45" s="38"/>
      <c r="P45" s="11"/>
      <c r="Q45" s="11"/>
      <c r="R45" s="191"/>
      <c r="S45" s="191"/>
      <c r="T45" s="11"/>
      <c r="U45" s="11"/>
      <c r="V45" s="191"/>
      <c r="W45" s="191"/>
      <c r="X45" s="191"/>
      <c r="Y45" s="191"/>
      <c r="Z45" s="191"/>
      <c r="AA45" s="191"/>
      <c r="AB45" s="191"/>
    </row>
    <row r="46" spans="1:28" x14ac:dyDescent="0.2">
      <c r="A46" s="568">
        <v>40568</v>
      </c>
      <c r="B46" s="414" t="s">
        <v>2</v>
      </c>
      <c r="C46" s="399">
        <v>2250</v>
      </c>
      <c r="D46" s="168">
        <v>2870</v>
      </c>
      <c r="E46" s="168"/>
      <c r="F46" s="168">
        <v>3240</v>
      </c>
      <c r="G46" s="168"/>
      <c r="H46" s="168">
        <v>2580</v>
      </c>
      <c r="I46" s="168">
        <v>2220</v>
      </c>
      <c r="J46" s="11"/>
      <c r="K46" s="45"/>
      <c r="L46" s="502"/>
      <c r="M46" s="10"/>
      <c r="N46" s="12"/>
      <c r="O46" s="38"/>
      <c r="P46" s="11"/>
      <c r="Q46" s="11"/>
      <c r="R46" s="191"/>
      <c r="S46" s="191"/>
      <c r="T46" s="11"/>
      <c r="U46" s="11"/>
      <c r="V46" s="191"/>
      <c r="W46" s="191"/>
      <c r="X46" s="191"/>
      <c r="Y46" s="191"/>
      <c r="Z46" s="191"/>
      <c r="AA46" s="191"/>
      <c r="AB46" s="191"/>
    </row>
    <row r="47" spans="1:28" x14ac:dyDescent="0.2">
      <c r="A47" s="567">
        <v>40605</v>
      </c>
      <c r="B47" s="413" t="s">
        <v>0</v>
      </c>
      <c r="C47" s="38">
        <v>2375800</v>
      </c>
      <c r="D47" s="11">
        <v>3024300</v>
      </c>
      <c r="E47" s="11"/>
      <c r="F47" s="11">
        <v>3430600</v>
      </c>
      <c r="G47" s="11"/>
      <c r="H47" s="317">
        <v>2503300</v>
      </c>
      <c r="I47" s="11">
        <v>2283400</v>
      </c>
      <c r="J47" s="11"/>
      <c r="K47" s="45"/>
      <c r="L47" s="502"/>
      <c r="M47" s="10"/>
      <c r="N47" s="12"/>
      <c r="O47" s="38"/>
      <c r="P47" s="11"/>
      <c r="Q47" s="11"/>
      <c r="R47" s="191"/>
      <c r="S47" s="191"/>
      <c r="T47" s="11"/>
      <c r="U47" s="11"/>
      <c r="V47" s="191"/>
      <c r="W47" s="191"/>
      <c r="X47" s="191"/>
      <c r="Y47" s="191"/>
      <c r="Z47" s="191"/>
      <c r="AA47" s="191"/>
      <c r="AB47" s="191"/>
    </row>
    <row r="48" spans="1:28" x14ac:dyDescent="0.2">
      <c r="A48" s="567">
        <v>40605</v>
      </c>
      <c r="B48" s="413" t="s">
        <v>1</v>
      </c>
      <c r="C48" s="38">
        <v>2600000</v>
      </c>
      <c r="D48" s="11">
        <v>3250000</v>
      </c>
      <c r="E48" s="11"/>
      <c r="F48" s="11">
        <v>3683333</v>
      </c>
      <c r="G48" s="11"/>
      <c r="H48" s="11">
        <v>2850000</v>
      </c>
      <c r="I48" s="11">
        <v>2220000</v>
      </c>
      <c r="J48" s="11"/>
      <c r="K48" s="45"/>
      <c r="L48" s="502"/>
      <c r="M48" s="10"/>
      <c r="N48" s="12"/>
      <c r="O48" s="38"/>
      <c r="P48" s="11"/>
      <c r="Q48" s="11"/>
      <c r="R48" s="191"/>
      <c r="S48" s="191"/>
      <c r="T48" s="11"/>
      <c r="U48" s="11"/>
      <c r="V48" s="191"/>
      <c r="W48" s="191"/>
      <c r="X48" s="191"/>
      <c r="Y48" s="191"/>
      <c r="Z48" s="191"/>
      <c r="AA48" s="191"/>
      <c r="AB48" s="191"/>
    </row>
    <row r="49" spans="1:28" x14ac:dyDescent="0.2">
      <c r="A49" s="567">
        <v>40605</v>
      </c>
      <c r="B49" s="413" t="s">
        <v>2</v>
      </c>
      <c r="C49" s="38">
        <v>2400</v>
      </c>
      <c r="D49" s="11">
        <v>3000</v>
      </c>
      <c r="E49" s="11"/>
      <c r="F49" s="11">
        <v>3400</v>
      </c>
      <c r="G49" s="11"/>
      <c r="H49" s="11">
        <v>2850</v>
      </c>
      <c r="I49" s="11">
        <v>2220</v>
      </c>
      <c r="J49" s="11"/>
      <c r="K49" s="45"/>
      <c r="L49" s="502"/>
      <c r="M49" s="10"/>
      <c r="N49" s="12"/>
      <c r="O49" s="38"/>
      <c r="P49" s="11"/>
      <c r="Q49" s="11"/>
      <c r="R49" s="191"/>
      <c r="S49" s="191"/>
      <c r="T49" s="11"/>
      <c r="U49" s="11"/>
      <c r="V49" s="191"/>
      <c r="W49" s="191"/>
      <c r="X49" s="191"/>
      <c r="Y49" s="191"/>
      <c r="Z49" s="191"/>
      <c r="AA49" s="191"/>
      <c r="AB49" s="191"/>
    </row>
    <row r="50" spans="1:28" x14ac:dyDescent="0.2">
      <c r="A50" s="567">
        <v>40616</v>
      </c>
      <c r="B50" s="413" t="s">
        <v>0</v>
      </c>
      <c r="C50" s="38"/>
      <c r="D50" s="11"/>
      <c r="E50" s="11"/>
      <c r="F50" s="11"/>
      <c r="G50" s="11"/>
      <c r="H50" s="11"/>
      <c r="I50" s="11"/>
      <c r="J50" s="11"/>
      <c r="K50" s="45"/>
      <c r="L50" s="502"/>
      <c r="M50" s="10"/>
      <c r="N50" s="12"/>
      <c r="O50" s="38"/>
      <c r="P50" s="11"/>
      <c r="Q50" s="11"/>
      <c r="R50" s="191"/>
      <c r="S50" s="191"/>
      <c r="T50" s="11"/>
      <c r="U50" s="11"/>
      <c r="V50" s="191"/>
      <c r="W50" s="191"/>
      <c r="X50" s="191"/>
      <c r="Y50" s="191"/>
      <c r="Z50" s="191"/>
      <c r="AA50" s="191"/>
      <c r="AB50" s="191"/>
    </row>
    <row r="51" spans="1:28" x14ac:dyDescent="0.2">
      <c r="A51" s="567">
        <v>40616</v>
      </c>
      <c r="B51" s="413" t="s">
        <v>1</v>
      </c>
      <c r="C51" s="38"/>
      <c r="D51" s="11"/>
      <c r="E51" s="11"/>
      <c r="F51" s="11"/>
      <c r="G51" s="11"/>
      <c r="H51" s="11"/>
      <c r="I51" s="11"/>
      <c r="J51" s="11"/>
      <c r="K51" s="45"/>
      <c r="L51" s="502"/>
      <c r="M51" s="10"/>
      <c r="N51" s="12"/>
      <c r="O51" s="38"/>
      <c r="P51" s="11"/>
      <c r="Q51" s="11"/>
      <c r="R51" s="191"/>
      <c r="S51" s="191"/>
      <c r="T51" s="11"/>
      <c r="U51" s="11"/>
      <c r="V51" s="191"/>
      <c r="W51" s="191"/>
      <c r="X51" s="191"/>
      <c r="Y51" s="191"/>
      <c r="Z51" s="191"/>
      <c r="AA51" s="191"/>
      <c r="AB51" s="191"/>
    </row>
    <row r="52" spans="1:28" x14ac:dyDescent="0.2">
      <c r="A52" s="567">
        <v>40616</v>
      </c>
      <c r="B52" s="413" t="s">
        <v>2</v>
      </c>
      <c r="C52" s="38">
        <v>2850</v>
      </c>
      <c r="D52" s="11">
        <v>3000</v>
      </c>
      <c r="E52" s="311"/>
      <c r="F52" s="11">
        <v>3400</v>
      </c>
      <c r="G52" s="11"/>
      <c r="H52" s="11">
        <v>2850</v>
      </c>
      <c r="I52" s="11">
        <v>2220</v>
      </c>
      <c r="J52" s="11"/>
      <c r="K52" s="45"/>
      <c r="L52" s="502"/>
      <c r="M52" s="10"/>
      <c r="N52" s="12"/>
      <c r="O52" s="38"/>
      <c r="P52" s="11"/>
      <c r="Q52" s="11"/>
      <c r="R52" s="191"/>
      <c r="S52" s="191"/>
      <c r="T52" s="11"/>
      <c r="U52" s="11"/>
      <c r="V52" s="191"/>
      <c r="W52" s="191"/>
      <c r="X52" s="191"/>
      <c r="Y52" s="191"/>
      <c r="Z52" s="191"/>
      <c r="AA52" s="191"/>
      <c r="AB52" s="191"/>
    </row>
    <row r="53" spans="1:28" x14ac:dyDescent="0.2">
      <c r="A53" s="567">
        <v>40633</v>
      </c>
      <c r="B53" s="413" t="s">
        <v>0</v>
      </c>
      <c r="C53" s="38">
        <v>3054900</v>
      </c>
      <c r="D53" s="11">
        <v>3325000</v>
      </c>
      <c r="E53" s="11"/>
      <c r="F53" s="11">
        <v>3771900</v>
      </c>
      <c r="G53" s="11"/>
      <c r="H53" s="317">
        <v>2751900</v>
      </c>
      <c r="I53" s="11"/>
      <c r="J53" s="11"/>
      <c r="K53" s="45"/>
      <c r="L53" s="502"/>
      <c r="M53" s="10"/>
      <c r="N53" s="12"/>
      <c r="O53" s="38"/>
      <c r="P53" s="11"/>
      <c r="Q53" s="11"/>
      <c r="R53" s="191"/>
      <c r="S53" s="191"/>
      <c r="T53" s="11"/>
      <c r="U53" s="11"/>
      <c r="V53" s="191"/>
      <c r="W53" s="191"/>
      <c r="X53" s="191"/>
      <c r="Y53" s="191"/>
      <c r="Z53" s="191"/>
      <c r="AA53" s="191"/>
      <c r="AB53" s="191"/>
    </row>
    <row r="54" spans="1:28" x14ac:dyDescent="0.2">
      <c r="A54" s="567">
        <v>40633</v>
      </c>
      <c r="B54" s="413" t="s">
        <v>1</v>
      </c>
      <c r="C54" s="38">
        <v>3412500</v>
      </c>
      <c r="D54" s="11">
        <v>3575000</v>
      </c>
      <c r="E54" s="11"/>
      <c r="F54" s="11">
        <v>4062500</v>
      </c>
      <c r="G54" s="11"/>
      <c r="H54" s="11">
        <v>3150000</v>
      </c>
      <c r="I54" s="11"/>
      <c r="J54" s="11"/>
      <c r="K54" s="45"/>
      <c r="L54" s="502"/>
      <c r="M54" s="10"/>
      <c r="N54" s="12"/>
      <c r="O54" s="38"/>
      <c r="P54" s="11"/>
      <c r="Q54" s="11"/>
      <c r="R54" s="191"/>
      <c r="S54" s="191"/>
      <c r="T54" s="11"/>
      <c r="U54" s="11"/>
      <c r="V54" s="191"/>
      <c r="W54" s="191"/>
      <c r="X54" s="191"/>
      <c r="Y54" s="191"/>
      <c r="Z54" s="191"/>
      <c r="AA54" s="191"/>
      <c r="AB54" s="191"/>
    </row>
    <row r="55" spans="1:28" x14ac:dyDescent="0.2">
      <c r="A55" s="567">
        <v>40633</v>
      </c>
      <c r="B55" s="413" t="s">
        <v>2</v>
      </c>
      <c r="C55" s="38">
        <v>3150</v>
      </c>
      <c r="D55" s="11">
        <v>3300</v>
      </c>
      <c r="E55" s="11"/>
      <c r="F55" s="11">
        <v>3750</v>
      </c>
      <c r="G55" s="11"/>
      <c r="H55" s="11">
        <v>3150</v>
      </c>
      <c r="I55" s="11"/>
      <c r="J55" s="11"/>
      <c r="K55" s="45"/>
      <c r="L55" s="502"/>
      <c r="M55" s="10"/>
      <c r="N55" s="12"/>
      <c r="O55" s="38"/>
      <c r="P55" s="11"/>
      <c r="Q55" s="11"/>
      <c r="R55" s="191"/>
      <c r="S55" s="191"/>
      <c r="T55" s="11"/>
      <c r="U55" s="11"/>
      <c r="V55" s="191"/>
      <c r="W55" s="191"/>
      <c r="X55" s="191"/>
      <c r="Y55" s="191"/>
      <c r="Z55" s="191"/>
      <c r="AA55" s="191"/>
      <c r="AB55" s="191"/>
    </row>
    <row r="56" spans="1:28" x14ac:dyDescent="0.2">
      <c r="A56" s="567">
        <v>40687</v>
      </c>
      <c r="B56" s="413" t="s">
        <v>0</v>
      </c>
      <c r="C56" s="38">
        <v>3828200</v>
      </c>
      <c r="D56" s="11">
        <v>3986500</v>
      </c>
      <c r="E56" s="11"/>
      <c r="F56" s="11">
        <v>4410100</v>
      </c>
      <c r="G56" s="11"/>
      <c r="H56" s="317">
        <v>3476000</v>
      </c>
      <c r="I56" s="11"/>
      <c r="J56" s="11"/>
      <c r="K56" s="45"/>
      <c r="L56" s="502"/>
      <c r="M56" s="10"/>
      <c r="N56" s="12"/>
      <c r="O56" s="38"/>
      <c r="P56" s="11"/>
      <c r="Q56" s="11"/>
      <c r="R56" s="191"/>
      <c r="S56" s="191"/>
      <c r="T56" s="11"/>
      <c r="U56" s="11"/>
      <c r="V56" s="191"/>
      <c r="W56" s="191"/>
      <c r="X56" s="191"/>
      <c r="Y56" s="191"/>
      <c r="Z56" s="191"/>
      <c r="AA56" s="191"/>
      <c r="AB56" s="191"/>
    </row>
    <row r="57" spans="1:28" x14ac:dyDescent="0.2">
      <c r="A57" s="567">
        <v>40687</v>
      </c>
      <c r="B57" s="413" t="s">
        <v>1</v>
      </c>
      <c r="C57" s="38">
        <v>4170833</v>
      </c>
      <c r="D57" s="11">
        <v>4279167</v>
      </c>
      <c r="E57" s="11"/>
      <c r="F57" s="11">
        <v>4712500</v>
      </c>
      <c r="G57" s="11"/>
      <c r="H57" s="11">
        <v>3900000</v>
      </c>
      <c r="I57" s="11"/>
      <c r="J57" s="11"/>
      <c r="K57" s="45"/>
      <c r="L57" s="502"/>
      <c r="M57" s="10"/>
      <c r="N57" s="12"/>
      <c r="O57" s="38"/>
      <c r="P57" s="11"/>
      <c r="Q57" s="11"/>
      <c r="R57" s="191"/>
      <c r="S57" s="191"/>
      <c r="T57" s="11"/>
      <c r="U57" s="11"/>
      <c r="V57" s="191"/>
      <c r="W57" s="191"/>
      <c r="X57" s="191"/>
      <c r="Y57" s="191"/>
      <c r="Z57" s="191"/>
      <c r="AA57" s="191"/>
      <c r="AB57" s="191"/>
    </row>
    <row r="58" spans="1:28" x14ac:dyDescent="0.2">
      <c r="A58" s="567">
        <v>40687</v>
      </c>
      <c r="B58" s="413" t="s">
        <v>2</v>
      </c>
      <c r="C58" s="38">
        <v>3850</v>
      </c>
      <c r="D58" s="11">
        <v>3950</v>
      </c>
      <c r="E58" s="11"/>
      <c r="F58" s="11">
        <v>4350</v>
      </c>
      <c r="G58" s="11"/>
      <c r="H58" s="11">
        <v>3900</v>
      </c>
      <c r="I58" s="11"/>
      <c r="J58" s="11"/>
      <c r="K58" s="45"/>
      <c r="L58" s="502"/>
      <c r="M58" s="10"/>
      <c r="N58" s="12"/>
      <c r="O58" s="38"/>
      <c r="P58" s="11"/>
      <c r="Q58" s="11"/>
      <c r="R58" s="191"/>
      <c r="S58" s="191"/>
      <c r="T58" s="11"/>
      <c r="U58" s="11"/>
      <c r="V58" s="191"/>
      <c r="W58" s="191"/>
      <c r="X58" s="191"/>
      <c r="Y58" s="191"/>
      <c r="Z58" s="191"/>
      <c r="AA58" s="191"/>
      <c r="AB58" s="191"/>
    </row>
    <row r="59" spans="1:28" x14ac:dyDescent="0.2">
      <c r="A59" s="567">
        <v>40701</v>
      </c>
      <c r="B59" s="413" t="s">
        <v>0</v>
      </c>
      <c r="C59" s="38">
        <v>5009500</v>
      </c>
      <c r="D59" s="11">
        <v>5216900</v>
      </c>
      <c r="E59" s="11"/>
      <c r="F59" s="11">
        <v>5903600</v>
      </c>
      <c r="G59" s="11"/>
      <c r="H59" s="317">
        <v>4617300</v>
      </c>
      <c r="I59" s="11"/>
      <c r="J59" s="11"/>
      <c r="K59" s="45"/>
      <c r="L59" s="502"/>
      <c r="M59" s="10"/>
      <c r="N59" s="12"/>
      <c r="O59" s="38"/>
      <c r="P59" s="11"/>
      <c r="Q59" s="11"/>
      <c r="R59" s="191"/>
      <c r="S59" s="191"/>
      <c r="T59" s="11"/>
      <c r="U59" s="11"/>
      <c r="V59" s="191"/>
      <c r="W59" s="191"/>
      <c r="X59" s="191"/>
      <c r="Y59" s="191"/>
      <c r="Z59" s="191"/>
      <c r="AA59" s="191"/>
      <c r="AB59" s="191"/>
    </row>
    <row r="60" spans="1:28" x14ac:dyDescent="0.2">
      <c r="A60" s="567">
        <v>40701</v>
      </c>
      <c r="B60" s="413" t="s">
        <v>1</v>
      </c>
      <c r="C60" s="38">
        <v>5362500</v>
      </c>
      <c r="D60" s="11">
        <v>5525000</v>
      </c>
      <c r="E60" s="11"/>
      <c r="F60" s="11">
        <v>6283333</v>
      </c>
      <c r="G60" s="11"/>
      <c r="H60" s="11">
        <v>5100000</v>
      </c>
      <c r="I60" s="11"/>
      <c r="J60" s="11"/>
      <c r="K60" s="45"/>
      <c r="L60" s="502"/>
      <c r="M60" s="10"/>
      <c r="N60" s="12"/>
      <c r="O60" s="38"/>
      <c r="P60" s="11"/>
      <c r="Q60" s="11"/>
      <c r="R60" s="191"/>
      <c r="S60" s="191"/>
      <c r="T60" s="11"/>
      <c r="U60" s="11"/>
      <c r="V60" s="191"/>
      <c r="W60" s="191"/>
      <c r="X60" s="191"/>
      <c r="Y60" s="191"/>
      <c r="Z60" s="191"/>
      <c r="AA60" s="191"/>
      <c r="AB60" s="191"/>
    </row>
    <row r="61" spans="1:28" x14ac:dyDescent="0.2">
      <c r="A61" s="567">
        <v>40701</v>
      </c>
      <c r="B61" s="413" t="s">
        <v>2</v>
      </c>
      <c r="C61" s="38">
        <v>4950</v>
      </c>
      <c r="D61" s="11">
        <v>5100</v>
      </c>
      <c r="E61" s="11"/>
      <c r="F61" s="11">
        <v>5800</v>
      </c>
      <c r="G61" s="11"/>
      <c r="H61" s="11">
        <v>5100</v>
      </c>
      <c r="I61" s="11"/>
      <c r="J61" s="11"/>
      <c r="K61" s="45"/>
      <c r="L61" s="502"/>
      <c r="M61" s="10"/>
      <c r="N61" s="12"/>
      <c r="O61" s="38"/>
      <c r="P61" s="11"/>
      <c r="Q61" s="11"/>
      <c r="R61" s="191"/>
      <c r="S61" s="191"/>
      <c r="T61" s="11"/>
      <c r="U61" s="11"/>
      <c r="V61" s="191"/>
      <c r="W61" s="191"/>
      <c r="X61" s="191"/>
      <c r="Y61" s="191"/>
      <c r="Z61" s="191"/>
      <c r="AA61" s="191"/>
      <c r="AB61" s="191"/>
    </row>
    <row r="62" spans="1:28" x14ac:dyDescent="0.2">
      <c r="A62" s="567">
        <v>40703</v>
      </c>
      <c r="B62" s="413" t="s">
        <v>0</v>
      </c>
      <c r="C62" s="38">
        <v>3980600</v>
      </c>
      <c r="D62" s="11">
        <v>4224600</v>
      </c>
      <c r="E62" s="11"/>
      <c r="F62" s="11">
        <v>4563800</v>
      </c>
      <c r="G62" s="11"/>
      <c r="H62" s="317">
        <v>3994800</v>
      </c>
      <c r="I62" s="11"/>
      <c r="J62" s="11"/>
      <c r="K62" s="45"/>
      <c r="L62" s="502"/>
      <c r="M62" s="10"/>
      <c r="N62" s="12"/>
      <c r="O62" s="38"/>
      <c r="P62" s="11"/>
      <c r="Q62" s="11"/>
      <c r="R62" s="191"/>
      <c r="S62" s="191"/>
      <c r="T62" s="11"/>
      <c r="U62" s="11"/>
      <c r="V62" s="191"/>
      <c r="W62" s="191"/>
      <c r="X62" s="191"/>
      <c r="Y62" s="191"/>
      <c r="Z62" s="191"/>
      <c r="AA62" s="191"/>
      <c r="AB62" s="191"/>
    </row>
    <row r="63" spans="1:28" x14ac:dyDescent="0.2">
      <c r="A63" s="567">
        <v>40703</v>
      </c>
      <c r="B63" s="413" t="s">
        <v>1</v>
      </c>
      <c r="C63" s="38">
        <v>4333333</v>
      </c>
      <c r="D63" s="11">
        <v>4550000</v>
      </c>
      <c r="E63" s="11"/>
      <c r="F63" s="11">
        <v>4875000</v>
      </c>
      <c r="G63" s="11"/>
      <c r="H63" s="11">
        <v>4450000</v>
      </c>
      <c r="I63" s="11"/>
      <c r="J63" s="11"/>
      <c r="K63" s="45"/>
      <c r="L63" s="502"/>
      <c r="M63" s="10"/>
      <c r="N63" s="12"/>
      <c r="O63" s="38"/>
      <c r="P63" s="11"/>
      <c r="Q63" s="11"/>
      <c r="R63" s="191"/>
      <c r="S63" s="191"/>
      <c r="T63" s="11"/>
      <c r="U63" s="11"/>
      <c r="V63" s="191"/>
      <c r="W63" s="191"/>
      <c r="X63" s="191"/>
      <c r="Y63" s="191"/>
      <c r="Z63" s="191"/>
      <c r="AA63" s="191"/>
      <c r="AB63" s="191"/>
    </row>
    <row r="64" spans="1:28" x14ac:dyDescent="0.2">
      <c r="A64" s="567">
        <v>40703</v>
      </c>
      <c r="B64" s="413" t="s">
        <v>2</v>
      </c>
      <c r="C64" s="38">
        <v>4100</v>
      </c>
      <c r="D64" s="11">
        <v>4200</v>
      </c>
      <c r="E64" s="11"/>
      <c r="F64" s="11">
        <v>4500</v>
      </c>
      <c r="G64" s="11"/>
      <c r="H64" s="11">
        <v>4450</v>
      </c>
      <c r="I64" s="11"/>
      <c r="J64" s="11"/>
      <c r="K64" s="45"/>
      <c r="L64" s="502"/>
      <c r="M64" s="10"/>
      <c r="N64" s="12"/>
      <c r="O64" s="38"/>
      <c r="P64" s="11"/>
      <c r="Q64" s="11"/>
      <c r="R64" s="191"/>
      <c r="S64" s="191"/>
      <c r="T64" s="11"/>
      <c r="U64" s="11"/>
      <c r="V64" s="191"/>
      <c r="W64" s="191"/>
      <c r="X64" s="191"/>
      <c r="Y64" s="191"/>
      <c r="Z64" s="191"/>
      <c r="AA64" s="191"/>
      <c r="AB64" s="191"/>
    </row>
    <row r="65" spans="1:28" x14ac:dyDescent="0.2">
      <c r="A65" s="567">
        <v>40745</v>
      </c>
      <c r="B65" s="413" t="s">
        <v>0</v>
      </c>
      <c r="C65" s="38">
        <v>4141600</v>
      </c>
      <c r="D65" s="11">
        <v>4395400</v>
      </c>
      <c r="E65" s="11"/>
      <c r="F65" s="11">
        <v>4748200</v>
      </c>
      <c r="G65" s="11"/>
      <c r="H65" s="317">
        <v>4156400</v>
      </c>
      <c r="I65" s="11"/>
      <c r="J65" s="11"/>
      <c r="K65" s="45"/>
      <c r="L65" s="502"/>
      <c r="M65" s="10"/>
      <c r="N65" s="12"/>
      <c r="O65" s="38"/>
      <c r="P65" s="11"/>
      <c r="Q65" s="11"/>
      <c r="R65" s="191"/>
      <c r="S65" s="191"/>
      <c r="T65" s="11"/>
      <c r="U65" s="11"/>
      <c r="V65" s="191"/>
      <c r="W65" s="191"/>
      <c r="X65" s="191"/>
      <c r="Y65" s="191"/>
      <c r="Z65" s="191"/>
      <c r="AA65" s="191"/>
      <c r="AB65" s="191"/>
    </row>
    <row r="66" spans="1:28" x14ac:dyDescent="0.2">
      <c r="A66" s="567">
        <v>40745</v>
      </c>
      <c r="B66" s="413" t="s">
        <v>1</v>
      </c>
      <c r="C66" s="38">
        <v>4463333</v>
      </c>
      <c r="D66" s="11">
        <v>4690833</v>
      </c>
      <c r="E66" s="11"/>
      <c r="F66" s="11">
        <v>5037500</v>
      </c>
      <c r="G66" s="11"/>
      <c r="H66" s="11">
        <v>4580000</v>
      </c>
      <c r="I66" s="11"/>
      <c r="J66" s="11"/>
      <c r="K66" s="45"/>
      <c r="L66" s="502"/>
      <c r="M66" s="10"/>
      <c r="N66" s="12"/>
      <c r="O66" s="38"/>
      <c r="P66" s="11"/>
      <c r="Q66" s="11"/>
      <c r="R66" s="191"/>
      <c r="S66" s="191"/>
      <c r="T66" s="11"/>
      <c r="U66" s="11"/>
      <c r="V66" s="191"/>
      <c r="W66" s="191"/>
      <c r="X66" s="191"/>
      <c r="Y66" s="191"/>
      <c r="Z66" s="191"/>
      <c r="AA66" s="191"/>
      <c r="AB66" s="191"/>
    </row>
    <row r="67" spans="1:28" x14ac:dyDescent="0.2">
      <c r="A67" s="567">
        <v>40745</v>
      </c>
      <c r="B67" s="413" t="s">
        <v>2</v>
      </c>
      <c r="C67" s="38">
        <v>4120</v>
      </c>
      <c r="D67" s="11">
        <v>4330</v>
      </c>
      <c r="E67" s="11"/>
      <c r="F67" s="11">
        <v>4650</v>
      </c>
      <c r="G67" s="11"/>
      <c r="H67" s="11">
        <v>4580</v>
      </c>
      <c r="I67" s="11"/>
      <c r="J67" s="11"/>
      <c r="K67" s="45"/>
      <c r="L67" s="502"/>
      <c r="M67" s="10"/>
      <c r="N67" s="12"/>
      <c r="O67" s="38"/>
      <c r="P67" s="11"/>
      <c r="Q67" s="11"/>
      <c r="R67" s="191"/>
      <c r="S67" s="191"/>
      <c r="T67" s="11"/>
      <c r="U67" s="11"/>
      <c r="V67" s="191"/>
      <c r="W67" s="191"/>
      <c r="X67" s="191"/>
      <c r="Y67" s="191"/>
      <c r="Z67" s="191"/>
      <c r="AA67" s="191"/>
      <c r="AB67" s="191"/>
    </row>
    <row r="68" spans="1:28" x14ac:dyDescent="0.2">
      <c r="A68" s="567">
        <v>40775</v>
      </c>
      <c r="B68" s="413" t="s">
        <v>0</v>
      </c>
      <c r="C68" s="38">
        <v>4265200</v>
      </c>
      <c r="D68" s="11">
        <v>4526700</v>
      </c>
      <c r="E68" s="11"/>
      <c r="F68" s="11">
        <v>4890000</v>
      </c>
      <c r="G68" s="11"/>
      <c r="H68" s="317">
        <v>4280500</v>
      </c>
      <c r="I68" s="11"/>
      <c r="J68" s="11"/>
      <c r="K68" s="45"/>
      <c r="L68" s="502"/>
      <c r="M68" s="10"/>
      <c r="N68" s="12"/>
      <c r="O68" s="38"/>
      <c r="P68" s="11"/>
      <c r="Q68" s="11"/>
      <c r="R68" s="191"/>
      <c r="S68" s="191"/>
      <c r="T68" s="11"/>
      <c r="U68" s="11"/>
      <c r="V68" s="191"/>
      <c r="W68" s="191"/>
      <c r="X68" s="191"/>
      <c r="Y68" s="191"/>
      <c r="Z68" s="191"/>
      <c r="AA68" s="191"/>
      <c r="AB68" s="191"/>
    </row>
    <row r="69" spans="1:28" x14ac:dyDescent="0.2">
      <c r="A69" s="567">
        <v>40775</v>
      </c>
      <c r="B69" s="413" t="s">
        <v>1</v>
      </c>
      <c r="C69" s="38">
        <v>4593333</v>
      </c>
      <c r="D69" s="11">
        <v>4831667</v>
      </c>
      <c r="E69" s="11"/>
      <c r="F69" s="11">
        <v>5200000</v>
      </c>
      <c r="G69" s="11"/>
      <c r="H69" s="11">
        <v>4720000</v>
      </c>
      <c r="I69" s="11"/>
      <c r="J69" s="11"/>
      <c r="K69" s="45"/>
      <c r="L69" s="502"/>
      <c r="M69" s="10"/>
      <c r="N69" s="12"/>
      <c r="O69" s="38"/>
      <c r="P69" s="11"/>
      <c r="Q69" s="11"/>
      <c r="R69" s="191"/>
      <c r="S69" s="191"/>
      <c r="T69" s="11"/>
      <c r="U69" s="11"/>
      <c r="V69" s="191"/>
      <c r="W69" s="191"/>
      <c r="X69" s="191"/>
      <c r="Y69" s="191"/>
      <c r="Z69" s="191"/>
      <c r="AA69" s="191"/>
      <c r="AB69" s="191"/>
    </row>
    <row r="70" spans="1:28" x14ac:dyDescent="0.2">
      <c r="A70" s="567">
        <v>40775</v>
      </c>
      <c r="B70" s="413" t="s">
        <v>2</v>
      </c>
      <c r="C70" s="38">
        <v>4240</v>
      </c>
      <c r="D70" s="11">
        <v>4460</v>
      </c>
      <c r="E70" s="11"/>
      <c r="F70" s="11">
        <v>4800</v>
      </c>
      <c r="G70" s="11"/>
      <c r="H70" s="11">
        <v>4720</v>
      </c>
      <c r="I70" s="11"/>
      <c r="J70" s="11"/>
      <c r="K70" s="45"/>
      <c r="L70" s="502"/>
      <c r="M70" s="10"/>
      <c r="N70" s="12"/>
      <c r="O70" s="38"/>
      <c r="P70" s="11"/>
      <c r="Q70" s="11"/>
      <c r="R70" s="191"/>
      <c r="S70" s="191"/>
      <c r="T70" s="11"/>
      <c r="U70" s="11"/>
      <c r="V70" s="191"/>
      <c r="W70" s="191"/>
      <c r="X70" s="191"/>
      <c r="Y70" s="191"/>
      <c r="Z70" s="191"/>
      <c r="AA70" s="191"/>
      <c r="AB70" s="191"/>
    </row>
    <row r="71" spans="1:28" x14ac:dyDescent="0.2">
      <c r="A71" s="567">
        <v>40800</v>
      </c>
      <c r="B71" s="413" t="s">
        <v>0</v>
      </c>
      <c r="C71" s="38">
        <v>4456200</v>
      </c>
      <c r="D71" s="11">
        <v>4684400</v>
      </c>
      <c r="E71" s="11"/>
      <c r="F71" s="11">
        <v>5084800</v>
      </c>
      <c r="G71" s="11"/>
      <c r="H71" s="317">
        <v>4450900</v>
      </c>
      <c r="I71" s="11"/>
      <c r="J71" s="11"/>
      <c r="K71" s="45"/>
      <c r="L71" s="502"/>
      <c r="M71" s="10"/>
      <c r="N71" s="12"/>
      <c r="O71" s="38"/>
      <c r="P71" s="11"/>
      <c r="Q71" s="11"/>
      <c r="R71" s="191"/>
      <c r="S71" s="191"/>
      <c r="T71" s="11"/>
      <c r="U71" s="11"/>
      <c r="V71" s="191"/>
      <c r="W71" s="191"/>
      <c r="X71" s="191"/>
      <c r="Y71" s="191"/>
      <c r="Z71" s="191"/>
      <c r="AA71" s="191"/>
      <c r="AB71" s="191"/>
    </row>
    <row r="72" spans="1:28" x14ac:dyDescent="0.2">
      <c r="A72" s="567">
        <v>40800</v>
      </c>
      <c r="B72" s="413" t="s">
        <v>1</v>
      </c>
      <c r="C72" s="38">
        <v>4745000</v>
      </c>
      <c r="D72" s="11">
        <v>4972500</v>
      </c>
      <c r="E72" s="11"/>
      <c r="F72" s="11">
        <v>5362500</v>
      </c>
      <c r="G72" s="11"/>
      <c r="H72" s="11">
        <v>4860000</v>
      </c>
      <c r="I72" s="11"/>
      <c r="J72" s="11"/>
      <c r="K72" s="45"/>
      <c r="L72" s="502"/>
      <c r="M72" s="10"/>
      <c r="N72" s="12"/>
      <c r="O72" s="38"/>
      <c r="P72" s="11"/>
      <c r="Q72" s="11"/>
      <c r="R72" s="191"/>
      <c r="S72" s="191"/>
      <c r="T72" s="11"/>
      <c r="U72" s="11"/>
      <c r="V72" s="191"/>
      <c r="W72" s="191"/>
      <c r="X72" s="191"/>
      <c r="Y72" s="191"/>
      <c r="Z72" s="191"/>
      <c r="AA72" s="191"/>
      <c r="AB72" s="191"/>
    </row>
    <row r="73" spans="1:28" x14ac:dyDescent="0.2">
      <c r="A73" s="567">
        <v>40800</v>
      </c>
      <c r="B73" s="413" t="s">
        <v>2</v>
      </c>
      <c r="C73" s="38">
        <v>4380</v>
      </c>
      <c r="D73" s="11">
        <v>4590</v>
      </c>
      <c r="E73" s="11"/>
      <c r="F73" s="11">
        <v>4950</v>
      </c>
      <c r="G73" s="11"/>
      <c r="H73" s="11">
        <v>4860</v>
      </c>
      <c r="I73" s="11"/>
      <c r="J73" s="11"/>
      <c r="K73" s="45"/>
      <c r="L73" s="502"/>
      <c r="M73" s="10"/>
      <c r="N73" s="12"/>
      <c r="O73" s="38"/>
      <c r="P73" s="11"/>
      <c r="Q73" s="11"/>
      <c r="R73" s="191"/>
      <c r="S73" s="191"/>
      <c r="T73" s="11"/>
      <c r="U73" s="11"/>
      <c r="V73" s="191"/>
      <c r="W73" s="191"/>
      <c r="X73" s="191"/>
      <c r="Y73" s="191"/>
      <c r="Z73" s="191"/>
      <c r="AA73" s="191"/>
      <c r="AB73" s="191"/>
    </row>
    <row r="74" spans="1:28" x14ac:dyDescent="0.2">
      <c r="A74" s="567">
        <v>40817</v>
      </c>
      <c r="B74" s="413" t="s">
        <v>0</v>
      </c>
      <c r="C74" s="38">
        <v>4691300</v>
      </c>
      <c r="D74" s="11">
        <v>4931600</v>
      </c>
      <c r="E74" s="11"/>
      <c r="F74" s="11">
        <v>5327600</v>
      </c>
      <c r="G74" s="11"/>
      <c r="H74" s="317">
        <v>4681300</v>
      </c>
      <c r="I74" s="11"/>
      <c r="J74" s="11"/>
      <c r="K74" s="45"/>
      <c r="L74" s="502"/>
      <c r="M74" s="10"/>
      <c r="N74" s="12"/>
      <c r="O74" s="38"/>
      <c r="P74" s="11"/>
      <c r="Q74" s="11"/>
      <c r="R74" s="191">
        <v>5240700</v>
      </c>
      <c r="S74" s="191"/>
      <c r="T74" s="11"/>
      <c r="U74" s="11"/>
      <c r="V74" s="191"/>
      <c r="W74" s="191"/>
      <c r="X74" s="191"/>
      <c r="Y74" s="191"/>
      <c r="Z74" s="191"/>
      <c r="AA74" s="191"/>
      <c r="AB74" s="191"/>
    </row>
    <row r="75" spans="1:28" x14ac:dyDescent="0.2">
      <c r="A75" s="567">
        <v>40817</v>
      </c>
      <c r="B75" s="413" t="s">
        <v>1</v>
      </c>
      <c r="C75" s="38">
        <v>4983333</v>
      </c>
      <c r="D75" s="11">
        <v>5221667</v>
      </c>
      <c r="E75" s="11"/>
      <c r="F75" s="11">
        <v>5633333</v>
      </c>
      <c r="G75" s="11"/>
      <c r="H75" s="11">
        <v>5100000</v>
      </c>
      <c r="I75" s="11"/>
      <c r="J75" s="11"/>
      <c r="K75" s="45"/>
      <c r="L75" s="502"/>
      <c r="M75" s="10"/>
      <c r="N75" s="12"/>
      <c r="O75" s="38"/>
      <c r="P75" s="11"/>
      <c r="Q75" s="11"/>
      <c r="R75" s="191">
        <v>5700000</v>
      </c>
      <c r="S75" s="191"/>
      <c r="T75" s="11"/>
      <c r="U75" s="11"/>
      <c r="V75" s="191"/>
      <c r="W75" s="191"/>
      <c r="X75" s="191"/>
      <c r="Y75" s="191"/>
      <c r="Z75" s="191"/>
      <c r="AA75" s="191"/>
      <c r="AB75" s="191"/>
    </row>
    <row r="76" spans="1:28" x14ac:dyDescent="0.2">
      <c r="A76" s="567">
        <v>40817</v>
      </c>
      <c r="B76" s="413" t="s">
        <v>2</v>
      </c>
      <c r="C76" s="38">
        <v>4600</v>
      </c>
      <c r="D76" s="11">
        <v>4820</v>
      </c>
      <c r="E76" s="11"/>
      <c r="F76" s="11">
        <v>5200</v>
      </c>
      <c r="G76" s="11"/>
      <c r="H76" s="11">
        <v>5100</v>
      </c>
      <c r="I76" s="11"/>
      <c r="J76" s="11"/>
      <c r="K76" s="45"/>
      <c r="L76" s="502"/>
      <c r="M76" s="10"/>
      <c r="N76" s="12"/>
      <c r="O76" s="38"/>
      <c r="P76" s="11"/>
      <c r="Q76" s="11"/>
      <c r="R76" s="191">
        <v>5700</v>
      </c>
      <c r="S76" s="191"/>
      <c r="T76" s="11"/>
      <c r="U76" s="11"/>
      <c r="V76" s="191"/>
      <c r="W76" s="191"/>
      <c r="X76" s="191"/>
      <c r="Y76" s="191"/>
      <c r="Z76" s="191"/>
      <c r="AA76" s="191"/>
      <c r="AB76" s="191"/>
    </row>
    <row r="77" spans="1:28" x14ac:dyDescent="0.2">
      <c r="A77" s="567">
        <v>40832</v>
      </c>
      <c r="B77" s="413" t="s">
        <v>0</v>
      </c>
      <c r="C77" s="38">
        <v>4843000</v>
      </c>
      <c r="D77" s="11">
        <v>5094100</v>
      </c>
      <c r="E77" s="11"/>
      <c r="F77" s="11">
        <v>5497400</v>
      </c>
      <c r="G77" s="11"/>
      <c r="H77" s="319">
        <v>4893500</v>
      </c>
      <c r="I77" s="11"/>
      <c r="J77" s="11"/>
      <c r="K77" s="45"/>
      <c r="L77" s="502"/>
      <c r="M77" s="10"/>
      <c r="N77" s="12"/>
      <c r="O77" s="38"/>
      <c r="P77" s="11"/>
      <c r="Q77" s="11"/>
      <c r="R77" s="191">
        <v>5527800</v>
      </c>
      <c r="S77" s="191"/>
      <c r="T77" s="11"/>
      <c r="U77" s="11"/>
      <c r="V77" s="191"/>
      <c r="W77" s="191"/>
      <c r="X77" s="191"/>
      <c r="Y77" s="191"/>
      <c r="Z77" s="191"/>
      <c r="AA77" s="191"/>
      <c r="AB77" s="191"/>
    </row>
    <row r="78" spans="1:28" x14ac:dyDescent="0.2">
      <c r="A78" s="567">
        <v>40832</v>
      </c>
      <c r="B78" s="413" t="s">
        <v>1</v>
      </c>
      <c r="C78" s="38">
        <v>5135000</v>
      </c>
      <c r="D78" s="11">
        <v>5384167</v>
      </c>
      <c r="E78" s="11"/>
      <c r="F78" s="11">
        <v>5806667</v>
      </c>
      <c r="G78" s="11"/>
      <c r="H78" s="11">
        <v>5360000</v>
      </c>
      <c r="I78" s="11"/>
      <c r="J78" s="11"/>
      <c r="K78" s="45"/>
      <c r="L78" s="502"/>
      <c r="M78" s="10"/>
      <c r="N78" s="12"/>
      <c r="O78" s="38"/>
      <c r="P78" s="11"/>
      <c r="Q78" s="11"/>
      <c r="R78" s="191">
        <v>5999000</v>
      </c>
      <c r="S78" s="191"/>
      <c r="T78" s="11"/>
      <c r="U78" s="11"/>
      <c r="V78" s="191"/>
      <c r="W78" s="191"/>
      <c r="X78" s="191"/>
      <c r="Y78" s="191"/>
      <c r="Z78" s="191"/>
      <c r="AA78" s="191"/>
      <c r="AB78" s="191"/>
    </row>
    <row r="79" spans="1:28" x14ac:dyDescent="0.2">
      <c r="A79" s="567">
        <v>40832</v>
      </c>
      <c r="B79" s="413" t="s">
        <v>2</v>
      </c>
      <c r="C79" s="38">
        <v>4740</v>
      </c>
      <c r="D79" s="11">
        <v>4970</v>
      </c>
      <c r="E79" s="11"/>
      <c r="F79" s="11">
        <v>5360</v>
      </c>
      <c r="G79" s="11"/>
      <c r="H79" s="11">
        <v>5360</v>
      </c>
      <c r="I79" s="11"/>
      <c r="J79" s="11"/>
      <c r="K79" s="45"/>
      <c r="L79" s="502"/>
      <c r="M79" s="10"/>
      <c r="N79" s="12"/>
      <c r="O79" s="38"/>
      <c r="P79" s="11"/>
      <c r="Q79" s="11"/>
      <c r="R79" s="191">
        <v>5990</v>
      </c>
      <c r="S79" s="191"/>
      <c r="T79" s="11"/>
      <c r="U79" s="11"/>
      <c r="V79" s="191"/>
      <c r="W79" s="191"/>
      <c r="X79" s="191"/>
      <c r="Y79" s="191"/>
      <c r="Z79" s="191"/>
      <c r="AA79" s="191"/>
      <c r="AB79" s="191"/>
    </row>
    <row r="80" spans="1:28" x14ac:dyDescent="0.2">
      <c r="A80" s="567">
        <v>40857</v>
      </c>
      <c r="B80" s="414" t="s">
        <v>13</v>
      </c>
      <c r="C80" s="38">
        <v>5005800</v>
      </c>
      <c r="D80" s="11">
        <v>5277900</v>
      </c>
      <c r="E80" s="11"/>
      <c r="F80" s="11">
        <v>5691600</v>
      </c>
      <c r="G80" s="11"/>
      <c r="H80" s="320">
        <v>5331200</v>
      </c>
      <c r="I80" s="11"/>
      <c r="J80" s="11"/>
      <c r="K80" s="45"/>
      <c r="L80" s="502"/>
      <c r="M80" s="10"/>
      <c r="N80" s="12"/>
      <c r="O80" s="38"/>
      <c r="P80" s="11"/>
      <c r="Q80" s="11"/>
      <c r="R80" s="191">
        <v>5983800</v>
      </c>
      <c r="S80" s="191"/>
      <c r="T80" s="11"/>
      <c r="U80" s="11"/>
      <c r="V80" s="191"/>
      <c r="W80" s="191"/>
      <c r="X80" s="191"/>
      <c r="Y80" s="191"/>
      <c r="Z80" s="191"/>
      <c r="AA80" s="191"/>
      <c r="AB80" s="191"/>
    </row>
    <row r="81" spans="1:28" x14ac:dyDescent="0.2">
      <c r="A81" s="567">
        <v>40857</v>
      </c>
      <c r="B81" s="414" t="s">
        <v>12</v>
      </c>
      <c r="C81" s="38">
        <v>5308333</v>
      </c>
      <c r="D81" s="11">
        <v>5579167</v>
      </c>
      <c r="E81" s="11"/>
      <c r="F81" s="11">
        <v>6012500</v>
      </c>
      <c r="G81" s="11"/>
      <c r="H81" s="11">
        <v>5750000</v>
      </c>
      <c r="I81" s="11"/>
      <c r="J81" s="11"/>
      <c r="K81" s="45"/>
      <c r="L81" s="502"/>
      <c r="M81" s="10"/>
      <c r="N81" s="12"/>
      <c r="O81" s="38"/>
      <c r="P81" s="11"/>
      <c r="Q81" s="11"/>
      <c r="R81" s="191">
        <v>6450000</v>
      </c>
      <c r="S81" s="191"/>
      <c r="T81" s="11"/>
      <c r="U81" s="11"/>
      <c r="V81" s="191"/>
      <c r="W81" s="191"/>
      <c r="X81" s="191"/>
      <c r="Y81" s="191"/>
      <c r="Z81" s="191"/>
      <c r="AA81" s="191"/>
      <c r="AB81" s="191"/>
    </row>
    <row r="82" spans="1:28" x14ac:dyDescent="0.2">
      <c r="A82" s="567">
        <v>40857</v>
      </c>
      <c r="B82" s="414" t="s">
        <v>11</v>
      </c>
      <c r="C82" s="38">
        <v>4900</v>
      </c>
      <c r="D82" s="11">
        <v>5150</v>
      </c>
      <c r="E82" s="11"/>
      <c r="F82" s="11">
        <v>5550</v>
      </c>
      <c r="G82" s="11"/>
      <c r="H82" s="11">
        <v>5750</v>
      </c>
      <c r="I82" s="11"/>
      <c r="J82" s="11"/>
      <c r="K82" s="45"/>
      <c r="L82" s="502"/>
      <c r="M82" s="10"/>
      <c r="N82" s="12"/>
      <c r="O82" s="38"/>
      <c r="P82" s="11"/>
      <c r="Q82" s="11"/>
      <c r="R82" s="191">
        <v>6450</v>
      </c>
      <c r="S82" s="191"/>
      <c r="T82" s="11"/>
      <c r="U82" s="11"/>
      <c r="V82" s="191"/>
      <c r="W82" s="191"/>
      <c r="X82" s="191"/>
      <c r="Y82" s="191"/>
      <c r="Z82" s="191"/>
      <c r="AA82" s="191"/>
      <c r="AB82" s="191"/>
    </row>
    <row r="83" spans="1:28" x14ac:dyDescent="0.2">
      <c r="A83" s="567">
        <v>40857</v>
      </c>
      <c r="B83" s="415" t="s">
        <v>15</v>
      </c>
      <c r="C83" s="400">
        <f>(C81-C80)/C81</f>
        <v>5.6992091490869166E-2</v>
      </c>
      <c r="D83" s="24">
        <f>(D81-D80)/D81</f>
        <v>5.3998562867897663E-2</v>
      </c>
      <c r="E83" s="24"/>
      <c r="F83" s="24">
        <f>(F81-F80)/F81</f>
        <v>5.3372141372141371E-2</v>
      </c>
      <c r="G83" s="24"/>
      <c r="H83" s="24">
        <f>(H81-H80)/H81</f>
        <v>7.283478260869565E-2</v>
      </c>
      <c r="I83" s="24"/>
      <c r="J83" s="24"/>
      <c r="K83" s="59"/>
      <c r="L83" s="194"/>
      <c r="M83" s="27"/>
      <c r="N83" s="47"/>
      <c r="O83" s="400"/>
      <c r="P83" s="24"/>
      <c r="Q83" s="24"/>
      <c r="R83" s="322">
        <f>(R81-R80)/R81</f>
        <v>7.2279069767441861E-2</v>
      </c>
      <c r="S83" s="322"/>
      <c r="T83" s="24"/>
      <c r="U83" s="24"/>
      <c r="V83" s="322"/>
      <c r="W83" s="322"/>
      <c r="X83" s="322"/>
      <c r="Y83" s="322"/>
      <c r="Z83" s="322"/>
      <c r="AA83" s="322"/>
      <c r="AB83" s="322"/>
    </row>
    <row r="84" spans="1:28" x14ac:dyDescent="0.2">
      <c r="A84" s="567">
        <v>40857</v>
      </c>
      <c r="B84" s="415" t="s">
        <v>10</v>
      </c>
      <c r="C84" s="400">
        <f>C82/C79-1</f>
        <v>3.3755274261603407E-2</v>
      </c>
      <c r="D84" s="24">
        <f>D82/D79-1</f>
        <v>3.6217303822937641E-2</v>
      </c>
      <c r="E84" s="24"/>
      <c r="F84" s="24">
        <f>F82/F79-1</f>
        <v>3.5447761194029814E-2</v>
      </c>
      <c r="G84" s="24"/>
      <c r="H84" s="24">
        <f>H82/H79-1</f>
        <v>7.2761194029850706E-2</v>
      </c>
      <c r="I84" s="24"/>
      <c r="J84" s="24"/>
      <c r="K84" s="59"/>
      <c r="L84" s="194"/>
      <c r="M84" s="27"/>
      <c r="N84" s="47"/>
      <c r="O84" s="400"/>
      <c r="P84" s="24"/>
      <c r="Q84" s="24"/>
      <c r="R84" s="322">
        <f>R82/R79-1</f>
        <v>7.6794657762938145E-2</v>
      </c>
      <c r="S84" s="322"/>
      <c r="T84" s="24"/>
      <c r="U84" s="24"/>
      <c r="V84" s="322"/>
      <c r="W84" s="322"/>
      <c r="X84" s="322"/>
      <c r="Y84" s="322"/>
      <c r="Z84" s="322"/>
      <c r="AA84" s="322"/>
      <c r="AB84" s="322"/>
    </row>
    <row r="85" spans="1:28" x14ac:dyDescent="0.2">
      <c r="A85" s="567">
        <v>40880</v>
      </c>
      <c r="B85" s="414" t="s">
        <v>13</v>
      </c>
      <c r="C85" s="38">
        <v>5520800</v>
      </c>
      <c r="D85" s="11">
        <v>5849800</v>
      </c>
      <c r="E85" s="11"/>
      <c r="F85" s="11">
        <v>6262800</v>
      </c>
      <c r="G85" s="11"/>
      <c r="H85" s="320">
        <v>5852000</v>
      </c>
      <c r="I85" s="11"/>
      <c r="J85" s="11"/>
      <c r="K85" s="45"/>
      <c r="L85" s="502"/>
      <c r="M85" s="10"/>
      <c r="N85" s="12"/>
      <c r="O85" s="38"/>
      <c r="P85" s="11"/>
      <c r="Q85" s="11"/>
      <c r="R85" s="191">
        <v>6602100</v>
      </c>
      <c r="S85" s="191"/>
      <c r="T85" s="11"/>
      <c r="U85" s="11"/>
      <c r="V85" s="191"/>
      <c r="W85" s="191"/>
      <c r="X85" s="191"/>
      <c r="Y85" s="191"/>
      <c r="Z85" s="191"/>
      <c r="AA85" s="191"/>
      <c r="AB85" s="191"/>
    </row>
    <row r="86" spans="1:28" x14ac:dyDescent="0.2">
      <c r="A86" s="567">
        <v>40880</v>
      </c>
      <c r="B86" s="414" t="s">
        <v>12</v>
      </c>
      <c r="C86" s="38">
        <v>5850000</v>
      </c>
      <c r="D86" s="11">
        <v>6175000</v>
      </c>
      <c r="E86" s="11"/>
      <c r="F86" s="11">
        <v>6608333</v>
      </c>
      <c r="G86" s="11"/>
      <c r="H86" s="11">
        <v>6300000</v>
      </c>
      <c r="I86" s="11"/>
      <c r="J86" s="11"/>
      <c r="K86" s="45"/>
      <c r="L86" s="502"/>
      <c r="M86" s="10"/>
      <c r="N86" s="12"/>
      <c r="O86" s="38"/>
      <c r="P86" s="11"/>
      <c r="Q86" s="11"/>
      <c r="R86" s="191">
        <v>7100000</v>
      </c>
      <c r="S86" s="191"/>
      <c r="T86" s="11"/>
      <c r="U86" s="11"/>
      <c r="V86" s="191"/>
      <c r="W86" s="191"/>
      <c r="X86" s="191"/>
      <c r="Y86" s="191"/>
      <c r="Z86" s="191"/>
      <c r="AA86" s="191"/>
      <c r="AB86" s="191"/>
    </row>
    <row r="87" spans="1:28" x14ac:dyDescent="0.2">
      <c r="A87" s="567">
        <v>40880</v>
      </c>
      <c r="B87" s="414" t="s">
        <v>11</v>
      </c>
      <c r="C87" s="38">
        <v>5400</v>
      </c>
      <c r="D87" s="11">
        <v>5700</v>
      </c>
      <c r="E87" s="11"/>
      <c r="F87" s="11">
        <v>6100</v>
      </c>
      <c r="G87" s="11"/>
      <c r="H87" s="11">
        <v>6300</v>
      </c>
      <c r="I87" s="11"/>
      <c r="J87" s="11"/>
      <c r="K87" s="45"/>
      <c r="L87" s="502"/>
      <c r="M87" s="10"/>
      <c r="N87" s="12"/>
      <c r="O87" s="38"/>
      <c r="P87" s="11"/>
      <c r="Q87" s="11"/>
      <c r="R87" s="191">
        <v>7100</v>
      </c>
      <c r="S87" s="191"/>
      <c r="T87" s="11"/>
      <c r="U87" s="11"/>
      <c r="V87" s="191"/>
      <c r="W87" s="191"/>
      <c r="X87" s="191"/>
      <c r="Y87" s="191"/>
      <c r="Z87" s="191"/>
      <c r="AA87" s="191"/>
      <c r="AB87" s="191"/>
    </row>
    <row r="88" spans="1:28" x14ac:dyDescent="0.2">
      <c r="A88" s="567">
        <v>40880</v>
      </c>
      <c r="B88" s="415" t="s">
        <v>15</v>
      </c>
      <c r="C88" s="400">
        <f>(C86-C85)/C86</f>
        <v>5.6273504273504277E-2</v>
      </c>
      <c r="D88" s="24">
        <f>(D86-D85)/D86</f>
        <v>5.2663967611336029E-2</v>
      </c>
      <c r="E88" s="24"/>
      <c r="F88" s="24">
        <f>(F86-F85)/F86</f>
        <v>5.2287467959014775E-2</v>
      </c>
      <c r="G88" s="24"/>
      <c r="H88" s="24">
        <f>(H86-H85)/H86</f>
        <v>7.1111111111111111E-2</v>
      </c>
      <c r="I88" s="24"/>
      <c r="J88" s="24"/>
      <c r="K88" s="59"/>
      <c r="L88" s="194"/>
      <c r="M88" s="27"/>
      <c r="N88" s="47"/>
      <c r="O88" s="400"/>
      <c r="P88" s="24"/>
      <c r="Q88" s="24"/>
      <c r="R88" s="322">
        <f>(R86-R85)/R86</f>
        <v>7.0126760563380283E-2</v>
      </c>
      <c r="S88" s="322"/>
      <c r="T88" s="24"/>
      <c r="U88" s="24"/>
      <c r="V88" s="322"/>
      <c r="W88" s="322"/>
      <c r="X88" s="322"/>
      <c r="Y88" s="322"/>
      <c r="Z88" s="322"/>
      <c r="AA88" s="322"/>
      <c r="AB88" s="322"/>
    </row>
    <row r="89" spans="1:28" x14ac:dyDescent="0.2">
      <c r="A89" s="567">
        <v>40880</v>
      </c>
      <c r="B89" s="415" t="s">
        <v>10</v>
      </c>
      <c r="C89" s="400">
        <f>C87/C82-1</f>
        <v>0.1020408163265305</v>
      </c>
      <c r="D89" s="24">
        <f>D87/D82-1</f>
        <v>0.10679611650485432</v>
      </c>
      <c r="E89" s="24"/>
      <c r="F89" s="24">
        <f>F87/F82-1</f>
        <v>9.9099099099099197E-2</v>
      </c>
      <c r="G89" s="24"/>
      <c r="H89" s="24">
        <f>H87/H82-1</f>
        <v>9.565217391304337E-2</v>
      </c>
      <c r="I89" s="24"/>
      <c r="J89" s="24"/>
      <c r="K89" s="59"/>
      <c r="L89" s="194"/>
      <c r="M89" s="27"/>
      <c r="N89" s="47"/>
      <c r="O89" s="400"/>
      <c r="P89" s="24"/>
      <c r="Q89" s="24"/>
      <c r="R89" s="322">
        <f>R87/R82-1</f>
        <v>0.10077519379844957</v>
      </c>
      <c r="S89" s="322"/>
      <c r="T89" s="24"/>
      <c r="U89" s="24"/>
      <c r="V89" s="322"/>
      <c r="W89" s="322"/>
      <c r="X89" s="322"/>
      <c r="Y89" s="322"/>
      <c r="Z89" s="322"/>
      <c r="AA89" s="322"/>
      <c r="AB89" s="322"/>
    </row>
    <row r="90" spans="1:28" x14ac:dyDescent="0.2">
      <c r="A90" s="567">
        <v>40982</v>
      </c>
      <c r="B90" s="414" t="s">
        <v>13</v>
      </c>
      <c r="C90" s="38">
        <v>5740700</v>
      </c>
      <c r="D90" s="11">
        <v>6082800</v>
      </c>
      <c r="E90" s="11"/>
      <c r="F90" s="11">
        <v>6512400</v>
      </c>
      <c r="G90" s="11"/>
      <c r="H90" s="320">
        <v>6085100</v>
      </c>
      <c r="I90" s="11"/>
      <c r="J90" s="11"/>
      <c r="K90" s="45"/>
      <c r="L90" s="502"/>
      <c r="M90" s="10"/>
      <c r="N90" s="12"/>
      <c r="O90" s="38"/>
      <c r="P90" s="11"/>
      <c r="Q90" s="11"/>
      <c r="R90" s="191">
        <v>6746200</v>
      </c>
      <c r="S90" s="191"/>
      <c r="T90" s="11"/>
      <c r="U90" s="11"/>
      <c r="V90" s="191"/>
      <c r="W90" s="191"/>
      <c r="X90" s="191"/>
      <c r="Y90" s="191"/>
      <c r="Z90" s="191"/>
      <c r="AA90" s="191"/>
      <c r="AB90" s="191"/>
    </row>
    <row r="91" spans="1:28" x14ac:dyDescent="0.2">
      <c r="A91" s="567">
        <v>40982</v>
      </c>
      <c r="B91" s="414" t="s">
        <v>12</v>
      </c>
      <c r="C91" s="38">
        <v>6175000</v>
      </c>
      <c r="D91" s="11">
        <v>6500000</v>
      </c>
      <c r="E91" s="11"/>
      <c r="F91" s="11">
        <v>6987500</v>
      </c>
      <c r="G91" s="11"/>
      <c r="H91" s="11">
        <v>6600000</v>
      </c>
      <c r="I91" s="11"/>
      <c r="J91" s="11"/>
      <c r="K91" s="45"/>
      <c r="L91" s="502"/>
      <c r="M91" s="10"/>
      <c r="N91" s="12"/>
      <c r="O91" s="38"/>
      <c r="P91" s="11"/>
      <c r="Q91" s="11"/>
      <c r="R91" s="191">
        <v>7450000</v>
      </c>
      <c r="S91" s="191"/>
      <c r="T91" s="11"/>
      <c r="U91" s="11"/>
      <c r="V91" s="191"/>
      <c r="W91" s="191"/>
      <c r="X91" s="191"/>
      <c r="Y91" s="191"/>
      <c r="Z91" s="191"/>
      <c r="AA91" s="191"/>
      <c r="AB91" s="191"/>
    </row>
    <row r="92" spans="1:28" x14ac:dyDescent="0.2">
      <c r="A92" s="567">
        <v>40982</v>
      </c>
      <c r="B92" s="414" t="s">
        <v>11</v>
      </c>
      <c r="C92" s="38">
        <v>5700</v>
      </c>
      <c r="D92" s="11">
        <v>6000</v>
      </c>
      <c r="E92" s="11"/>
      <c r="F92" s="11">
        <v>6450</v>
      </c>
      <c r="G92" s="11"/>
      <c r="H92" s="11">
        <v>6600</v>
      </c>
      <c r="I92" s="11"/>
      <c r="J92" s="11"/>
      <c r="K92" s="45"/>
      <c r="L92" s="502"/>
      <c r="M92" s="10"/>
      <c r="N92" s="12"/>
      <c r="O92" s="38"/>
      <c r="P92" s="11"/>
      <c r="Q92" s="11"/>
      <c r="R92" s="191">
        <v>7450</v>
      </c>
      <c r="S92" s="191"/>
      <c r="T92" s="11"/>
      <c r="U92" s="11"/>
      <c r="V92" s="191"/>
      <c r="W92" s="191"/>
      <c r="X92" s="191"/>
      <c r="Y92" s="191"/>
      <c r="Z92" s="191"/>
      <c r="AA92" s="191"/>
      <c r="AB92" s="191"/>
    </row>
    <row r="93" spans="1:28" x14ac:dyDescent="0.2">
      <c r="A93" s="567">
        <v>40982</v>
      </c>
      <c r="B93" s="415" t="s">
        <v>15</v>
      </c>
      <c r="C93" s="400">
        <f>(C91-C90)/C91</f>
        <v>7.0331983805668019E-2</v>
      </c>
      <c r="D93" s="24">
        <f>(D91-D90)/D91</f>
        <v>6.4184615384615382E-2</v>
      </c>
      <c r="E93" s="24"/>
      <c r="F93" s="24">
        <f>(F91-F90)/F91</f>
        <v>6.7992844364937383E-2</v>
      </c>
      <c r="G93" s="24"/>
      <c r="H93" s="24">
        <f>(H91-H90)/H91</f>
        <v>7.801515151515151E-2</v>
      </c>
      <c r="I93" s="24"/>
      <c r="J93" s="24"/>
      <c r="K93" s="59"/>
      <c r="L93" s="194"/>
      <c r="M93" s="27"/>
      <c r="N93" s="47"/>
      <c r="O93" s="400"/>
      <c r="P93" s="24"/>
      <c r="Q93" s="24"/>
      <c r="R93" s="322">
        <f>(R91-R90)/R91</f>
        <v>9.4469798657718124E-2</v>
      </c>
      <c r="S93" s="322"/>
      <c r="T93" s="24"/>
      <c r="U93" s="24"/>
      <c r="V93" s="322"/>
      <c r="W93" s="322"/>
      <c r="X93" s="322"/>
      <c r="Y93" s="322"/>
      <c r="Z93" s="322"/>
      <c r="AA93" s="322"/>
      <c r="AB93" s="322"/>
    </row>
    <row r="94" spans="1:28" x14ac:dyDescent="0.2">
      <c r="A94" s="567">
        <v>40982</v>
      </c>
      <c r="B94" s="415" t="s">
        <v>10</v>
      </c>
      <c r="C94" s="400">
        <f>C92/C87-1</f>
        <v>5.555555555555558E-2</v>
      </c>
      <c r="D94" s="24">
        <f>D92/D87-1</f>
        <v>5.2631578947368363E-2</v>
      </c>
      <c r="E94" s="24"/>
      <c r="F94" s="24">
        <f>F92/F87-1</f>
        <v>5.7377049180327822E-2</v>
      </c>
      <c r="G94" s="24"/>
      <c r="H94" s="24">
        <f>H92/H87-1</f>
        <v>4.7619047619047672E-2</v>
      </c>
      <c r="I94" s="24"/>
      <c r="J94" s="24"/>
      <c r="K94" s="59"/>
      <c r="L94" s="194"/>
      <c r="M94" s="27"/>
      <c r="N94" s="47"/>
      <c r="O94" s="400"/>
      <c r="P94" s="24"/>
      <c r="Q94" s="24"/>
      <c r="R94" s="322">
        <f>R92/R87-1</f>
        <v>4.9295774647887258E-2</v>
      </c>
      <c r="S94" s="322"/>
      <c r="T94" s="24"/>
      <c r="U94" s="24"/>
      <c r="V94" s="322"/>
      <c r="W94" s="322"/>
      <c r="X94" s="322"/>
      <c r="Y94" s="322"/>
      <c r="Z94" s="322"/>
      <c r="AA94" s="322"/>
      <c r="AB94" s="322"/>
    </row>
    <row r="95" spans="1:28" x14ac:dyDescent="0.2">
      <c r="A95" s="567">
        <v>41010</v>
      </c>
      <c r="B95" s="414" t="s">
        <v>13</v>
      </c>
      <c r="C95" s="38">
        <v>6038000</v>
      </c>
      <c r="D95" s="11">
        <v>6326400</v>
      </c>
      <c r="E95" s="11"/>
      <c r="F95" s="11">
        <v>6801800</v>
      </c>
      <c r="G95" s="11"/>
      <c r="H95" s="319">
        <v>6287100</v>
      </c>
      <c r="I95" s="11"/>
      <c r="J95" s="11"/>
      <c r="K95" s="45"/>
      <c r="L95" s="502"/>
      <c r="M95" s="10"/>
      <c r="N95" s="12"/>
      <c r="O95" s="38"/>
      <c r="P95" s="11"/>
      <c r="Q95" s="11"/>
      <c r="R95" s="191">
        <v>7038600</v>
      </c>
      <c r="S95" s="191"/>
      <c r="T95" s="11"/>
      <c r="U95" s="11"/>
      <c r="V95" s="191"/>
      <c r="W95" s="191"/>
      <c r="X95" s="191"/>
      <c r="Y95" s="191"/>
      <c r="Z95" s="191"/>
      <c r="AA95" s="191"/>
      <c r="AB95" s="191"/>
    </row>
    <row r="96" spans="1:28" x14ac:dyDescent="0.2">
      <c r="A96" s="567">
        <v>41010</v>
      </c>
      <c r="B96" s="414" t="s">
        <v>12</v>
      </c>
      <c r="C96" s="38">
        <v>6554167</v>
      </c>
      <c r="D96" s="11">
        <v>6825000</v>
      </c>
      <c r="E96" s="11"/>
      <c r="F96" s="11">
        <v>7366667</v>
      </c>
      <c r="G96" s="11"/>
      <c r="H96" s="11">
        <v>6950000</v>
      </c>
      <c r="I96" s="11"/>
      <c r="J96" s="11"/>
      <c r="K96" s="45"/>
      <c r="L96" s="502"/>
      <c r="M96" s="10"/>
      <c r="N96" s="12"/>
      <c r="O96" s="38"/>
      <c r="P96" s="11"/>
      <c r="Q96" s="11"/>
      <c r="R96" s="191">
        <v>7850000</v>
      </c>
      <c r="S96" s="191"/>
      <c r="T96" s="11"/>
      <c r="U96" s="11"/>
      <c r="V96" s="191"/>
      <c r="W96" s="191"/>
      <c r="X96" s="191"/>
      <c r="Y96" s="191"/>
      <c r="Z96" s="191"/>
      <c r="AA96" s="191"/>
      <c r="AB96" s="191"/>
    </row>
    <row r="97" spans="1:28" x14ac:dyDescent="0.2">
      <c r="A97" s="567">
        <v>41010</v>
      </c>
      <c r="B97" s="414" t="s">
        <v>11</v>
      </c>
      <c r="C97" s="38">
        <v>6050</v>
      </c>
      <c r="D97" s="11">
        <v>6300</v>
      </c>
      <c r="E97" s="11"/>
      <c r="F97" s="11">
        <v>6800</v>
      </c>
      <c r="G97" s="11"/>
      <c r="H97" s="11">
        <v>6950</v>
      </c>
      <c r="I97" s="11"/>
      <c r="J97" s="11"/>
      <c r="K97" s="45"/>
      <c r="L97" s="502"/>
      <c r="M97" s="10"/>
      <c r="N97" s="12"/>
      <c r="O97" s="38"/>
      <c r="P97" s="11"/>
      <c r="Q97" s="11"/>
      <c r="R97" s="191">
        <v>7850</v>
      </c>
      <c r="S97" s="191"/>
      <c r="T97" s="11"/>
      <c r="U97" s="11"/>
      <c r="V97" s="191"/>
      <c r="W97" s="191"/>
      <c r="X97" s="191"/>
      <c r="Y97" s="191"/>
      <c r="Z97" s="191"/>
      <c r="AA97" s="191"/>
      <c r="AB97" s="191"/>
    </row>
    <row r="98" spans="1:28" x14ac:dyDescent="0.2">
      <c r="A98" s="567">
        <v>41010</v>
      </c>
      <c r="B98" s="415" t="s">
        <v>15</v>
      </c>
      <c r="C98" s="400">
        <f>(C96-C95)/C96</f>
        <v>7.8754020152370235E-2</v>
      </c>
      <c r="D98" s="24">
        <f>(D96-D95)/D96</f>
        <v>7.3054945054945059E-2</v>
      </c>
      <c r="E98" s="24"/>
      <c r="F98" s="24">
        <f>(F96-F95)/F96</f>
        <v>7.6678774810915173E-2</v>
      </c>
      <c r="G98" s="24"/>
      <c r="H98" s="24">
        <f>(H96-H95)/H96</f>
        <v>9.5381294964028779E-2</v>
      </c>
      <c r="I98" s="24"/>
      <c r="J98" s="24"/>
      <c r="K98" s="59"/>
      <c r="L98" s="194"/>
      <c r="M98" s="27"/>
      <c r="N98" s="47"/>
      <c r="O98" s="400"/>
      <c r="P98" s="24"/>
      <c r="Q98" s="24"/>
      <c r="R98" s="322">
        <f>(R96-R95)/R96</f>
        <v>0.10336305732484076</v>
      </c>
      <c r="S98" s="322"/>
      <c r="T98" s="24"/>
      <c r="U98" s="24"/>
      <c r="V98" s="322"/>
      <c r="W98" s="322"/>
      <c r="X98" s="322"/>
      <c r="Y98" s="322"/>
      <c r="Z98" s="322"/>
      <c r="AA98" s="322"/>
      <c r="AB98" s="322"/>
    </row>
    <row r="99" spans="1:28" x14ac:dyDescent="0.2">
      <c r="A99" s="567">
        <v>41010</v>
      </c>
      <c r="B99" s="415" t="s">
        <v>16</v>
      </c>
      <c r="C99" s="400">
        <f>(C96-C95)/C95</f>
        <v>8.54864193441537E-2</v>
      </c>
      <c r="D99" s="24">
        <f>(D96-D95)/D95</f>
        <v>7.8812594840667674E-2</v>
      </c>
      <c r="E99" s="24"/>
      <c r="F99" s="24">
        <f>(F96-F95)/F95</f>
        <v>8.3046693522302914E-2</v>
      </c>
      <c r="G99" s="24"/>
      <c r="H99" s="24">
        <f>(H96-H95)/H95</f>
        <v>0.10543811932369455</v>
      </c>
      <c r="I99" s="24"/>
      <c r="J99" s="24"/>
      <c r="K99" s="59"/>
      <c r="L99" s="194"/>
      <c r="M99" s="27"/>
      <c r="N99" s="47"/>
      <c r="O99" s="400"/>
      <c r="P99" s="24"/>
      <c r="Q99" s="24"/>
      <c r="R99" s="322">
        <f>(R96-R95)/R95</f>
        <v>0.11527860654107351</v>
      </c>
      <c r="S99" s="322"/>
      <c r="T99" s="24"/>
      <c r="U99" s="24"/>
      <c r="V99" s="322"/>
      <c r="W99" s="322"/>
      <c r="X99" s="322"/>
      <c r="Y99" s="322"/>
      <c r="Z99" s="322"/>
      <c r="AA99" s="322"/>
      <c r="AB99" s="322"/>
    </row>
    <row r="100" spans="1:28" x14ac:dyDescent="0.2">
      <c r="A100" s="567">
        <v>41010</v>
      </c>
      <c r="B100" s="415" t="s">
        <v>10</v>
      </c>
      <c r="C100" s="400">
        <f>C97/C92-1</f>
        <v>6.1403508771929793E-2</v>
      </c>
      <c r="D100" s="24">
        <f>D97/D92-1</f>
        <v>5.0000000000000044E-2</v>
      </c>
      <c r="E100" s="24"/>
      <c r="F100" s="24">
        <f>F97/F92-1</f>
        <v>5.4263565891472965E-2</v>
      </c>
      <c r="G100" s="24"/>
      <c r="H100" s="24">
        <f>H97/H92-1</f>
        <v>5.3030303030302983E-2</v>
      </c>
      <c r="I100" s="24"/>
      <c r="J100" s="24"/>
      <c r="K100" s="59"/>
      <c r="L100" s="194"/>
      <c r="M100" s="27"/>
      <c r="N100" s="47"/>
      <c r="O100" s="400"/>
      <c r="P100" s="24"/>
      <c r="Q100" s="24"/>
      <c r="R100" s="322">
        <f>R97/R92-1</f>
        <v>5.3691275167785157E-2</v>
      </c>
      <c r="S100" s="322"/>
      <c r="T100" s="24"/>
      <c r="U100" s="24"/>
      <c r="V100" s="322"/>
      <c r="W100" s="322"/>
      <c r="X100" s="322"/>
      <c r="Y100" s="322"/>
      <c r="Z100" s="322"/>
      <c r="AA100" s="322"/>
      <c r="AB100" s="322"/>
    </row>
    <row r="101" spans="1:28" x14ac:dyDescent="0.2">
      <c r="A101" s="567">
        <v>41054</v>
      </c>
      <c r="B101" s="414" t="s">
        <v>13</v>
      </c>
      <c r="C101" s="38">
        <v>6038000</v>
      </c>
      <c r="D101" s="11">
        <v>6326400</v>
      </c>
      <c r="E101" s="11"/>
      <c r="F101" s="11">
        <v>6801800</v>
      </c>
      <c r="G101" s="11"/>
      <c r="H101" s="319">
        <v>6287100</v>
      </c>
      <c r="I101" s="11">
        <v>4992800</v>
      </c>
      <c r="J101" s="11"/>
      <c r="K101" s="45"/>
      <c r="L101" s="502"/>
      <c r="M101" s="10">
        <v>6941400</v>
      </c>
      <c r="N101" s="12"/>
      <c r="O101" s="38">
        <v>6397500</v>
      </c>
      <c r="P101" s="11"/>
      <c r="Q101" s="11">
        <v>5097500</v>
      </c>
      <c r="R101" s="191">
        <v>7038600</v>
      </c>
      <c r="S101" s="191">
        <v>7148800</v>
      </c>
      <c r="T101" s="11"/>
      <c r="U101" s="11">
        <v>7054600</v>
      </c>
      <c r="V101" s="191"/>
      <c r="W101" s="191"/>
      <c r="X101" s="191"/>
      <c r="Y101" s="191"/>
      <c r="Z101" s="191"/>
      <c r="AA101" s="191"/>
      <c r="AB101" s="191"/>
    </row>
    <row r="102" spans="1:28" x14ac:dyDescent="0.2">
      <c r="A102" s="567">
        <v>41054</v>
      </c>
      <c r="B102" s="414" t="s">
        <v>12</v>
      </c>
      <c r="C102" s="38">
        <v>6554167</v>
      </c>
      <c r="D102" s="11">
        <v>6825000</v>
      </c>
      <c r="E102" s="11"/>
      <c r="F102" s="11">
        <v>7366667</v>
      </c>
      <c r="G102" s="11"/>
      <c r="H102" s="11">
        <v>6950000</v>
      </c>
      <c r="I102" s="11"/>
      <c r="J102" s="11"/>
      <c r="K102" s="45"/>
      <c r="L102" s="502"/>
      <c r="M102" s="10">
        <v>7600000</v>
      </c>
      <c r="N102" s="12"/>
      <c r="O102" s="38">
        <v>7050000</v>
      </c>
      <c r="P102" s="11"/>
      <c r="Q102" s="11"/>
      <c r="R102" s="191">
        <v>7850000</v>
      </c>
      <c r="S102" s="191">
        <v>7950000</v>
      </c>
      <c r="T102" s="11"/>
      <c r="U102" s="11">
        <v>7700000</v>
      </c>
      <c r="V102" s="191"/>
      <c r="W102" s="191"/>
      <c r="X102" s="191"/>
      <c r="Y102" s="191"/>
      <c r="Z102" s="191"/>
      <c r="AA102" s="191"/>
      <c r="AB102" s="191"/>
    </row>
    <row r="103" spans="1:28" x14ac:dyDescent="0.2">
      <c r="A103" s="567">
        <v>41054</v>
      </c>
      <c r="B103" s="414" t="s">
        <v>11</v>
      </c>
      <c r="C103" s="38">
        <v>6050</v>
      </c>
      <c r="D103" s="11">
        <v>6300</v>
      </c>
      <c r="E103" s="11"/>
      <c r="F103" s="11">
        <v>6800</v>
      </c>
      <c r="G103" s="11"/>
      <c r="H103" s="11">
        <v>6950</v>
      </c>
      <c r="I103" s="11"/>
      <c r="J103" s="11"/>
      <c r="K103" s="45"/>
      <c r="L103" s="502"/>
      <c r="M103" s="10">
        <v>7600</v>
      </c>
      <c r="N103" s="12"/>
      <c r="O103" s="38">
        <v>7050</v>
      </c>
      <c r="P103" s="11"/>
      <c r="Q103" s="11"/>
      <c r="R103" s="191">
        <v>7850</v>
      </c>
      <c r="S103" s="191">
        <v>7950</v>
      </c>
      <c r="T103" s="11"/>
      <c r="U103" s="11">
        <v>7700</v>
      </c>
      <c r="V103" s="191"/>
      <c r="W103" s="191"/>
      <c r="X103" s="191"/>
      <c r="Y103" s="191"/>
      <c r="Z103" s="191"/>
      <c r="AA103" s="191"/>
      <c r="AB103" s="191"/>
    </row>
    <row r="104" spans="1:28" x14ac:dyDescent="0.2">
      <c r="A104" s="567">
        <v>41054</v>
      </c>
      <c r="B104" s="415" t="s">
        <v>15</v>
      </c>
      <c r="C104" s="400">
        <f>(C102-C101)/C102</f>
        <v>7.8754020152370235E-2</v>
      </c>
      <c r="D104" s="24">
        <f>(D102-D101)/D102</f>
        <v>7.3054945054945059E-2</v>
      </c>
      <c r="E104" s="24"/>
      <c r="F104" s="24">
        <f>(F102-F101)/F102</f>
        <v>7.6678774810915173E-2</v>
      </c>
      <c r="G104" s="24"/>
      <c r="H104" s="24">
        <f>(H102-H101)/H102</f>
        <v>9.5381294964028779E-2</v>
      </c>
      <c r="I104" s="24"/>
      <c r="J104" s="24"/>
      <c r="K104" s="59"/>
      <c r="L104" s="194"/>
      <c r="M104" s="27">
        <f>(M102-M101)/M102</f>
        <v>8.66578947368421E-2</v>
      </c>
      <c r="N104" s="47"/>
      <c r="O104" s="400">
        <f>(O102-O101)/O102</f>
        <v>9.2553191489361697E-2</v>
      </c>
      <c r="P104" s="24"/>
      <c r="Q104" s="24"/>
      <c r="R104" s="322">
        <f>(R102-R101)/R102</f>
        <v>0.10336305732484076</v>
      </c>
      <c r="S104" s="322">
        <f>(S102-S101)/S102</f>
        <v>0.10077987421383648</v>
      </c>
      <c r="T104" s="24"/>
      <c r="U104" s="24">
        <f>(U102-U101)/U102</f>
        <v>8.3818181818181819E-2</v>
      </c>
      <c r="V104" s="322"/>
      <c r="W104" s="322"/>
      <c r="X104" s="322"/>
      <c r="Y104" s="322"/>
      <c r="Z104" s="322"/>
      <c r="AA104" s="322"/>
      <c r="AB104" s="322"/>
    </row>
    <row r="105" spans="1:28" x14ac:dyDescent="0.2">
      <c r="A105" s="567">
        <v>41054</v>
      </c>
      <c r="B105" s="415" t="s">
        <v>16</v>
      </c>
      <c r="C105" s="400">
        <f>(C102-C101)/C101</f>
        <v>8.54864193441537E-2</v>
      </c>
      <c r="D105" s="24">
        <f>(D102-D101)/D101</f>
        <v>7.8812594840667674E-2</v>
      </c>
      <c r="E105" s="24"/>
      <c r="F105" s="24">
        <f>(F102-F101)/F101</f>
        <v>8.3046693522302914E-2</v>
      </c>
      <c r="G105" s="24"/>
      <c r="H105" s="24">
        <f>(H102-H101)/H101</f>
        <v>0.10543811932369455</v>
      </c>
      <c r="I105" s="24"/>
      <c r="J105" s="24"/>
      <c r="K105" s="59"/>
      <c r="L105" s="194"/>
      <c r="M105" s="27">
        <f>(M102-M101)/M101</f>
        <v>9.4879995389978961E-2</v>
      </c>
      <c r="N105" s="47"/>
      <c r="O105" s="400">
        <f>(O102-O101)/O101</f>
        <v>0.10199296600234467</v>
      </c>
      <c r="P105" s="24"/>
      <c r="Q105" s="24"/>
      <c r="R105" s="322">
        <f>(R102-R101)/R101</f>
        <v>0.11527860654107351</v>
      </c>
      <c r="S105" s="322">
        <f>(S102-S101)/S101</f>
        <v>0.11207475380483438</v>
      </c>
      <c r="T105" s="24"/>
      <c r="U105" s="24">
        <f>(U102-U101)/U101</f>
        <v>9.1486406032943043E-2</v>
      </c>
      <c r="V105" s="322"/>
      <c r="W105" s="322"/>
      <c r="X105" s="322"/>
      <c r="Y105" s="322"/>
      <c r="Z105" s="322"/>
      <c r="AA105" s="322"/>
      <c r="AB105" s="322"/>
    </row>
    <row r="106" spans="1:28" x14ac:dyDescent="0.2">
      <c r="A106" s="567">
        <v>41054</v>
      </c>
      <c r="B106" s="415" t="s">
        <v>10</v>
      </c>
      <c r="C106" s="400">
        <f>C103/C97-1</f>
        <v>0</v>
      </c>
      <c r="D106" s="24">
        <f>D103/D97-1</f>
        <v>0</v>
      </c>
      <c r="E106" s="24"/>
      <c r="F106" s="24">
        <f>F103/F97-1</f>
        <v>0</v>
      </c>
      <c r="G106" s="24"/>
      <c r="H106" s="24">
        <f>H103/H97-1</f>
        <v>0</v>
      </c>
      <c r="I106" s="24"/>
      <c r="J106" s="24"/>
      <c r="K106" s="59"/>
      <c r="L106" s="194"/>
      <c r="M106" s="27"/>
      <c r="N106" s="47"/>
      <c r="O106" s="400"/>
      <c r="P106" s="24"/>
      <c r="Q106" s="24"/>
      <c r="R106" s="322">
        <f>R103/R97-1</f>
        <v>0</v>
      </c>
      <c r="S106" s="322"/>
      <c r="T106" s="24"/>
      <c r="U106" s="24"/>
      <c r="V106" s="322"/>
      <c r="W106" s="322"/>
      <c r="X106" s="322"/>
      <c r="Y106" s="322"/>
      <c r="Z106" s="322"/>
      <c r="AA106" s="322"/>
      <c r="AB106" s="322"/>
    </row>
    <row r="107" spans="1:28" x14ac:dyDescent="0.2">
      <c r="A107" s="567">
        <v>41068</v>
      </c>
      <c r="B107" s="414" t="s">
        <v>13</v>
      </c>
      <c r="C107" s="38">
        <v>6342300</v>
      </c>
      <c r="D107" s="11">
        <v>6682800</v>
      </c>
      <c r="E107" s="11"/>
      <c r="F107" s="11">
        <v>7156900</v>
      </c>
      <c r="G107" s="11"/>
      <c r="H107" s="319">
        <v>6608800</v>
      </c>
      <c r="I107" s="11">
        <v>5242900</v>
      </c>
      <c r="J107" s="11">
        <v>6608800</v>
      </c>
      <c r="K107" s="45">
        <v>6673600</v>
      </c>
      <c r="L107" s="502"/>
      <c r="M107" s="10">
        <v>7260000</v>
      </c>
      <c r="N107" s="12"/>
      <c r="O107" s="38">
        <v>6713100</v>
      </c>
      <c r="P107" s="11">
        <v>6777900</v>
      </c>
      <c r="Q107" s="11">
        <v>5347600</v>
      </c>
      <c r="R107" s="191">
        <v>7368100</v>
      </c>
      <c r="S107" s="191">
        <v>7472200</v>
      </c>
      <c r="T107" s="11"/>
      <c r="U107" s="11">
        <v>7364100</v>
      </c>
      <c r="V107" s="191"/>
      <c r="W107" s="191"/>
      <c r="X107" s="191"/>
      <c r="Y107" s="191"/>
      <c r="Z107" s="191"/>
      <c r="AA107" s="191"/>
      <c r="AB107" s="191"/>
    </row>
    <row r="108" spans="1:28" x14ac:dyDescent="0.2">
      <c r="A108" s="567">
        <v>41068</v>
      </c>
      <c r="B108" s="414" t="s">
        <v>12</v>
      </c>
      <c r="C108" s="38">
        <v>6879167</v>
      </c>
      <c r="D108" s="11">
        <v>7204167</v>
      </c>
      <c r="E108" s="11"/>
      <c r="F108" s="11">
        <v>7745833</v>
      </c>
      <c r="G108" s="11"/>
      <c r="H108" s="11">
        <v>7300000</v>
      </c>
      <c r="I108" s="11"/>
      <c r="J108" s="11">
        <v>7300000</v>
      </c>
      <c r="K108" s="45">
        <v>7300000</v>
      </c>
      <c r="L108" s="502"/>
      <c r="M108" s="10">
        <v>7950000</v>
      </c>
      <c r="N108" s="12"/>
      <c r="O108" s="38">
        <v>7400000</v>
      </c>
      <c r="P108" s="11">
        <v>7400000</v>
      </c>
      <c r="Q108" s="11"/>
      <c r="R108" s="191">
        <v>8250000</v>
      </c>
      <c r="S108" s="191">
        <v>8350000</v>
      </c>
      <c r="T108" s="11"/>
      <c r="U108" s="11">
        <v>8050000</v>
      </c>
      <c r="V108" s="191"/>
      <c r="W108" s="191"/>
      <c r="X108" s="191"/>
      <c r="Y108" s="191"/>
      <c r="Z108" s="191"/>
      <c r="AA108" s="191"/>
      <c r="AB108" s="191"/>
    </row>
    <row r="109" spans="1:28" x14ac:dyDescent="0.2">
      <c r="A109" s="567">
        <v>41068</v>
      </c>
      <c r="B109" s="414" t="s">
        <v>11</v>
      </c>
      <c r="C109" s="38">
        <v>6350</v>
      </c>
      <c r="D109" s="11">
        <v>6650</v>
      </c>
      <c r="E109" s="11"/>
      <c r="F109" s="11">
        <v>7150</v>
      </c>
      <c r="G109" s="11"/>
      <c r="H109" s="11">
        <v>7300</v>
      </c>
      <c r="I109" s="11"/>
      <c r="J109" s="11">
        <v>7300</v>
      </c>
      <c r="K109" s="45">
        <v>7300</v>
      </c>
      <c r="L109" s="502"/>
      <c r="M109" s="10">
        <v>7950</v>
      </c>
      <c r="N109" s="12"/>
      <c r="O109" s="38">
        <v>7400</v>
      </c>
      <c r="P109" s="11">
        <v>7400</v>
      </c>
      <c r="Q109" s="11"/>
      <c r="R109" s="191">
        <v>8250</v>
      </c>
      <c r="S109" s="191">
        <v>8350</v>
      </c>
      <c r="T109" s="11"/>
      <c r="U109" s="11">
        <v>8050</v>
      </c>
      <c r="V109" s="191"/>
      <c r="W109" s="191"/>
      <c r="X109" s="191"/>
      <c r="Y109" s="191"/>
      <c r="Z109" s="191"/>
      <c r="AA109" s="191"/>
      <c r="AB109" s="191"/>
    </row>
    <row r="110" spans="1:28" x14ac:dyDescent="0.2">
      <c r="A110" s="567">
        <v>41068</v>
      </c>
      <c r="B110" s="415" t="s">
        <v>15</v>
      </c>
      <c r="C110" s="400">
        <f>(C108-C107)/C108</f>
        <v>7.8042443220232918E-2</v>
      </c>
      <c r="D110" s="24">
        <f>(D108-D107)/D108</f>
        <v>7.2370199080615427E-2</v>
      </c>
      <c r="E110" s="24"/>
      <c r="F110" s="24">
        <f>(F108-F107)/F108</f>
        <v>7.603223565496442E-2</v>
      </c>
      <c r="G110" s="24"/>
      <c r="H110" s="24">
        <f>(H108-H107)/H108</f>
        <v>9.4684931506849312E-2</v>
      </c>
      <c r="I110" s="24"/>
      <c r="J110" s="24">
        <f>(J108-J107)/J108</f>
        <v>9.4684931506849312E-2</v>
      </c>
      <c r="K110" s="59">
        <f>(K108-K107)/K108</f>
        <v>8.5808219178082193E-2</v>
      </c>
      <c r="L110" s="194"/>
      <c r="M110" s="27">
        <f>(M108-M107)/M108</f>
        <v>8.6792452830188674E-2</v>
      </c>
      <c r="N110" s="47"/>
      <c r="O110" s="400">
        <f>(O108-O107)/O108</f>
        <v>9.2824324324324331E-2</v>
      </c>
      <c r="P110" s="24">
        <f>(P108-P107)/P108</f>
        <v>8.4067567567567572E-2</v>
      </c>
      <c r="Q110" s="24"/>
      <c r="R110" s="322">
        <f>(R108-R107)/R108</f>
        <v>0.1068969696969697</v>
      </c>
      <c r="S110" s="322">
        <f>(S108-S107)/S108</f>
        <v>0.10512574850299401</v>
      </c>
      <c r="T110" s="24"/>
      <c r="U110" s="24">
        <f>(U108-U107)/U108</f>
        <v>8.5204968944099374E-2</v>
      </c>
      <c r="V110" s="322"/>
      <c r="W110" s="322"/>
      <c r="X110" s="322"/>
      <c r="Y110" s="322"/>
      <c r="Z110" s="322"/>
      <c r="AA110" s="322"/>
      <c r="AB110" s="322"/>
    </row>
    <row r="111" spans="1:28" x14ac:dyDescent="0.2">
      <c r="A111" s="567">
        <v>41068</v>
      </c>
      <c r="B111" s="415" t="s">
        <v>16</v>
      </c>
      <c r="C111" s="400">
        <f>(C108-C107)/C107</f>
        <v>8.4648629046245052E-2</v>
      </c>
      <c r="D111" s="24">
        <f>(D108-D107)/D107</f>
        <v>7.8016250673370438E-2</v>
      </c>
      <c r="E111" s="24"/>
      <c r="F111" s="24">
        <f>(F108-F107)/F107</f>
        <v>8.2288840140284203E-2</v>
      </c>
      <c r="G111" s="24"/>
      <c r="H111" s="24">
        <f>(H108-H107)/H107</f>
        <v>0.10458782229754267</v>
      </c>
      <c r="I111" s="24"/>
      <c r="J111" s="24">
        <f>(J108-J107)/J107</f>
        <v>0.10458782229754267</v>
      </c>
      <c r="K111" s="59">
        <f>(K108-K107)/K107</f>
        <v>9.386238312155358E-2</v>
      </c>
      <c r="L111" s="194"/>
      <c r="M111" s="27">
        <f>(M108-M107)/M107</f>
        <v>9.5041322314049589E-2</v>
      </c>
      <c r="N111" s="47"/>
      <c r="O111" s="400">
        <f>(O108-O107)/O107</f>
        <v>0.1023223250063309</v>
      </c>
      <c r="P111" s="24">
        <f>(P108-P107)/P107</f>
        <v>9.1783590787707106E-2</v>
      </c>
      <c r="Q111" s="24"/>
      <c r="R111" s="322">
        <f>(R108-R107)/R107</f>
        <v>0.11969164370733296</v>
      </c>
      <c r="S111" s="322">
        <f>(S108-S107)/S107</f>
        <v>0.11747544230614812</v>
      </c>
      <c r="T111" s="24"/>
      <c r="U111" s="24">
        <f>(U108-U107)/U107</f>
        <v>9.3141049143819335E-2</v>
      </c>
      <c r="V111" s="322"/>
      <c r="W111" s="322"/>
      <c r="X111" s="322"/>
      <c r="Y111" s="322"/>
      <c r="Z111" s="322"/>
      <c r="AA111" s="322"/>
      <c r="AB111" s="322"/>
    </row>
    <row r="112" spans="1:28" x14ac:dyDescent="0.2">
      <c r="A112" s="567">
        <v>41068</v>
      </c>
      <c r="B112" s="415" t="s">
        <v>10</v>
      </c>
      <c r="C112" s="400">
        <f>C109/C103-1</f>
        <v>4.9586776859504189E-2</v>
      </c>
      <c r="D112" s="24">
        <f>D109/D103-1</f>
        <v>5.555555555555558E-2</v>
      </c>
      <c r="E112" s="24"/>
      <c r="F112" s="24">
        <f>F109/F103-1</f>
        <v>5.1470588235294157E-2</v>
      </c>
      <c r="G112" s="24"/>
      <c r="H112" s="24">
        <f>H109/H103-1</f>
        <v>5.0359712230215736E-2</v>
      </c>
      <c r="I112" s="24"/>
      <c r="J112" s="24"/>
      <c r="K112" s="59"/>
      <c r="L112" s="194"/>
      <c r="M112" s="27">
        <f>M109/M103-1</f>
        <v>4.6052631578947345E-2</v>
      </c>
      <c r="N112" s="47"/>
      <c r="O112" s="400">
        <f>O109/O103-1</f>
        <v>4.9645390070921946E-2</v>
      </c>
      <c r="P112" s="24"/>
      <c r="Q112" s="24"/>
      <c r="R112" s="322">
        <f>R109/R103-1</f>
        <v>5.0955414012738842E-2</v>
      </c>
      <c r="S112" s="322">
        <f>S109/S103-1</f>
        <v>5.031446540880502E-2</v>
      </c>
      <c r="T112" s="24"/>
      <c r="U112" s="24"/>
      <c r="V112" s="322"/>
      <c r="W112" s="322"/>
      <c r="X112" s="322"/>
      <c r="Y112" s="322"/>
      <c r="Z112" s="322"/>
      <c r="AA112" s="322"/>
      <c r="AB112" s="322"/>
    </row>
    <row r="113" spans="1:28" x14ac:dyDescent="0.2">
      <c r="A113" s="567">
        <v>41185</v>
      </c>
      <c r="B113" s="414" t="s">
        <v>13</v>
      </c>
      <c r="C113" s="38">
        <v>6685400</v>
      </c>
      <c r="D113" s="11">
        <v>6924800</v>
      </c>
      <c r="E113" s="11"/>
      <c r="F113" s="11">
        <v>7443300</v>
      </c>
      <c r="G113" s="11"/>
      <c r="H113" s="323">
        <v>6934600</v>
      </c>
      <c r="I113" s="11">
        <v>5512000</v>
      </c>
      <c r="J113" s="319">
        <v>6867300</v>
      </c>
      <c r="K113" s="425">
        <v>6934600</v>
      </c>
      <c r="L113" s="502"/>
      <c r="M113" s="30">
        <v>7268500</v>
      </c>
      <c r="N113" s="453">
        <v>7339900</v>
      </c>
      <c r="O113" s="437">
        <v>7518900</v>
      </c>
      <c r="P113" s="316">
        <v>7591600</v>
      </c>
      <c r="Q113" s="11">
        <v>5616600</v>
      </c>
      <c r="R113" s="191">
        <v>7376600</v>
      </c>
      <c r="S113" s="191">
        <v>8068900</v>
      </c>
      <c r="T113" s="319">
        <v>7952200</v>
      </c>
      <c r="U113" s="316">
        <v>8029300</v>
      </c>
      <c r="V113" s="191"/>
      <c r="W113" s="191"/>
      <c r="X113" s="191"/>
      <c r="Y113" s="191"/>
      <c r="Z113" s="191"/>
      <c r="AA113" s="191"/>
      <c r="AB113" s="191"/>
    </row>
    <row r="114" spans="1:28" x14ac:dyDescent="0.2">
      <c r="A114" s="567">
        <v>41185</v>
      </c>
      <c r="B114" s="414" t="s">
        <v>12</v>
      </c>
      <c r="C114" s="38">
        <v>7312500</v>
      </c>
      <c r="D114" s="11">
        <v>7529167</v>
      </c>
      <c r="E114" s="11"/>
      <c r="F114" s="11">
        <v>8125000</v>
      </c>
      <c r="G114" s="11"/>
      <c r="H114" s="71"/>
      <c r="I114" s="11"/>
      <c r="J114" s="319">
        <v>7650000</v>
      </c>
      <c r="K114" s="425">
        <v>7650000</v>
      </c>
      <c r="L114" s="502"/>
      <c r="M114" s="30">
        <v>8050000</v>
      </c>
      <c r="N114" s="453">
        <v>8050000</v>
      </c>
      <c r="O114" s="437">
        <v>7750000</v>
      </c>
      <c r="P114" s="316">
        <v>7750000</v>
      </c>
      <c r="Q114" s="11"/>
      <c r="R114" s="191">
        <v>8600000</v>
      </c>
      <c r="S114" s="191">
        <v>8700000</v>
      </c>
      <c r="T114" s="319">
        <v>8150000</v>
      </c>
      <c r="U114" s="316">
        <v>8150000</v>
      </c>
      <c r="V114" s="191"/>
      <c r="W114" s="191"/>
      <c r="X114" s="191"/>
      <c r="Y114" s="191"/>
      <c r="Z114" s="191"/>
      <c r="AA114" s="191"/>
      <c r="AB114" s="191"/>
    </row>
    <row r="115" spans="1:28" x14ac:dyDescent="0.2">
      <c r="A115" s="567">
        <v>41185</v>
      </c>
      <c r="B115" s="414" t="s">
        <v>11</v>
      </c>
      <c r="C115" s="38">
        <v>6750</v>
      </c>
      <c r="D115" s="11">
        <v>6950</v>
      </c>
      <c r="E115" s="11"/>
      <c r="F115" s="11">
        <v>7500</v>
      </c>
      <c r="G115" s="11"/>
      <c r="H115" s="71"/>
      <c r="I115" s="11"/>
      <c r="J115" s="319">
        <v>7650</v>
      </c>
      <c r="K115" s="425">
        <v>7650</v>
      </c>
      <c r="L115" s="502"/>
      <c r="M115" s="30">
        <v>8050</v>
      </c>
      <c r="N115" s="453">
        <v>8050</v>
      </c>
      <c r="O115" s="437">
        <v>7750</v>
      </c>
      <c r="P115" s="316">
        <v>7750</v>
      </c>
      <c r="Q115" s="11"/>
      <c r="R115" s="191">
        <v>8600</v>
      </c>
      <c r="S115" s="191">
        <v>8700</v>
      </c>
      <c r="T115" s="319">
        <v>8150</v>
      </c>
      <c r="U115" s="316">
        <v>8150</v>
      </c>
      <c r="V115" s="191"/>
      <c r="W115" s="191"/>
      <c r="X115" s="191"/>
      <c r="Y115" s="191"/>
      <c r="Z115" s="191"/>
      <c r="AA115" s="191"/>
      <c r="AB115" s="191"/>
    </row>
    <row r="116" spans="1:28" x14ac:dyDescent="0.2">
      <c r="A116" s="567">
        <v>41185</v>
      </c>
      <c r="B116" s="415" t="s">
        <v>15</v>
      </c>
      <c r="C116" s="400">
        <f>(C114-C113)/C114</f>
        <v>8.5757264957264961E-2</v>
      </c>
      <c r="D116" s="24">
        <f>(D114-D113)/D114</f>
        <v>8.0270101592911938E-2</v>
      </c>
      <c r="E116" s="24"/>
      <c r="F116" s="24">
        <f>(F114-F113)/F114</f>
        <v>8.3901538461538458E-2</v>
      </c>
      <c r="G116" s="24"/>
      <c r="H116" s="324"/>
      <c r="I116" s="24"/>
      <c r="J116" s="325">
        <f>(J114-J113)/J114</f>
        <v>0.10231372549019607</v>
      </c>
      <c r="K116" s="426">
        <f>(K114-K113)/K114</f>
        <v>9.351633986928104E-2</v>
      </c>
      <c r="L116" s="194"/>
      <c r="M116" s="454">
        <f>(M114-M113)/M114</f>
        <v>9.7080745341614913E-2</v>
      </c>
      <c r="N116" s="455">
        <f>(N114-N113)/N114</f>
        <v>8.8211180124223604E-2</v>
      </c>
      <c r="O116" s="438">
        <f>(O114-O113)/O114</f>
        <v>2.9819354838709677E-2</v>
      </c>
      <c r="P116" s="321">
        <f>(P114-P113)/P114</f>
        <v>2.0438709677419356E-2</v>
      </c>
      <c r="Q116" s="24"/>
      <c r="R116" s="322">
        <f>(R114-R113)/R114</f>
        <v>0.14225581395348838</v>
      </c>
      <c r="S116" s="322">
        <f>(S114-S113)/S114</f>
        <v>7.2540229885057469E-2</v>
      </c>
      <c r="T116" s="325">
        <f>(T114-T113)/T114</f>
        <v>2.4269938650306747E-2</v>
      </c>
      <c r="U116" s="321">
        <f>(U114-U113)/U114</f>
        <v>1.4809815950920246E-2</v>
      </c>
      <c r="V116" s="322"/>
      <c r="W116" s="322"/>
      <c r="X116" s="322"/>
      <c r="Y116" s="322"/>
      <c r="Z116" s="322"/>
      <c r="AA116" s="322"/>
      <c r="AB116" s="322"/>
    </row>
    <row r="117" spans="1:28" x14ac:dyDescent="0.2">
      <c r="A117" s="567">
        <v>41185</v>
      </c>
      <c r="B117" s="415" t="s">
        <v>16</v>
      </c>
      <c r="C117" s="400">
        <f>(C114-C113)/C113</f>
        <v>9.3801418015376795E-2</v>
      </c>
      <c r="D117" s="24">
        <f>(D114-D113)/D113</f>
        <v>8.7275733595194083E-2</v>
      </c>
      <c r="E117" s="24"/>
      <c r="F117" s="24">
        <f>(F114-F113)/F113</f>
        <v>9.1585721387019203E-2</v>
      </c>
      <c r="G117" s="24"/>
      <c r="H117" s="324"/>
      <c r="I117" s="24"/>
      <c r="J117" s="325">
        <f>(J114-J113)/J113</f>
        <v>0.11397492464287275</v>
      </c>
      <c r="K117" s="426">
        <f>(K114-K113)/K113</f>
        <v>0.10316384506676665</v>
      </c>
      <c r="L117" s="194"/>
      <c r="M117" s="454">
        <f>(M114-M113)/M113</f>
        <v>0.10751874527068858</v>
      </c>
      <c r="N117" s="455">
        <f>(N114-N113)/N113</f>
        <v>9.6745187264131657E-2</v>
      </c>
      <c r="O117" s="438">
        <f>(O114-O113)/O113</f>
        <v>3.0735878918458817E-2</v>
      </c>
      <c r="P117" s="321">
        <f>(P114-P113)/P113</f>
        <v>2.0865166763264661E-2</v>
      </c>
      <c r="Q117" s="24"/>
      <c r="R117" s="322">
        <f>(R114-R113)/R113</f>
        <v>0.16584876501369195</v>
      </c>
      <c r="S117" s="322">
        <f>(S114-S113)/S113</f>
        <v>7.8213882933237486E-2</v>
      </c>
      <c r="T117" s="325">
        <f>(T114-T113)/T113</f>
        <v>2.4873619878775684E-2</v>
      </c>
      <c r="U117" s="321">
        <f>(U114-U113)/U113</f>
        <v>1.5032443675040166E-2</v>
      </c>
      <c r="V117" s="322"/>
      <c r="W117" s="322"/>
      <c r="X117" s="322"/>
      <c r="Y117" s="322"/>
      <c r="Z117" s="322"/>
      <c r="AA117" s="322"/>
      <c r="AB117" s="322"/>
    </row>
    <row r="118" spans="1:28" x14ac:dyDescent="0.2">
      <c r="A118" s="567">
        <v>41185</v>
      </c>
      <c r="B118" s="415" t="s">
        <v>10</v>
      </c>
      <c r="C118" s="400">
        <f>C115/C109-1</f>
        <v>6.2992125984252079E-2</v>
      </c>
      <c r="D118" s="24">
        <f>D115/D109-1</f>
        <v>4.5112781954887327E-2</v>
      </c>
      <c r="E118" s="24"/>
      <c r="F118" s="24">
        <f>F115/F109-1</f>
        <v>4.8951048951048959E-2</v>
      </c>
      <c r="G118" s="24"/>
      <c r="H118" s="324"/>
      <c r="I118" s="24"/>
      <c r="J118" s="325">
        <f>J115/J109-1</f>
        <v>4.7945205479452024E-2</v>
      </c>
      <c r="K118" s="426">
        <f>K115/K109-1</f>
        <v>4.7945205479452024E-2</v>
      </c>
      <c r="L118" s="194"/>
      <c r="M118" s="454">
        <f>M115/M109-1</f>
        <v>1.2578616352201255E-2</v>
      </c>
      <c r="N118" s="455" t="e">
        <f>N115/N109-1</f>
        <v>#DIV/0!</v>
      </c>
      <c r="O118" s="438">
        <f>O115/O109-1</f>
        <v>4.7297297297297369E-2</v>
      </c>
      <c r="P118" s="321">
        <f>P115/P109-1</f>
        <v>4.7297297297297369E-2</v>
      </c>
      <c r="Q118" s="24"/>
      <c r="R118" s="322">
        <f>R115/R109-1</f>
        <v>4.2424242424242475E-2</v>
      </c>
      <c r="S118" s="322">
        <f>S115/S109-1</f>
        <v>4.1916167664670656E-2</v>
      </c>
      <c r="T118" s="325" t="e">
        <f>T115/T109-1</f>
        <v>#DIV/0!</v>
      </c>
      <c r="U118" s="321">
        <f>U115/U109-1</f>
        <v>1.2422360248447228E-2</v>
      </c>
      <c r="V118" s="322"/>
      <c r="W118" s="322"/>
      <c r="X118" s="322"/>
      <c r="Y118" s="322"/>
      <c r="Z118" s="322"/>
      <c r="AA118" s="322"/>
      <c r="AB118" s="322"/>
    </row>
    <row r="119" spans="1:28" x14ac:dyDescent="0.2">
      <c r="A119" s="567">
        <v>41290</v>
      </c>
      <c r="B119" s="414" t="s">
        <v>13</v>
      </c>
      <c r="C119" s="38">
        <v>7231800</v>
      </c>
      <c r="D119" s="11">
        <v>7274000</v>
      </c>
      <c r="E119" s="11">
        <v>7325300</v>
      </c>
      <c r="F119" s="11">
        <v>7758800</v>
      </c>
      <c r="G119" s="11"/>
      <c r="H119" s="323"/>
      <c r="I119" s="11">
        <v>5939200</v>
      </c>
      <c r="J119" s="319">
        <v>7232200</v>
      </c>
      <c r="K119" s="425">
        <v>7301600</v>
      </c>
      <c r="L119" s="502"/>
      <c r="M119" s="30">
        <v>7616700</v>
      </c>
      <c r="N119" s="453">
        <v>7690100</v>
      </c>
      <c r="O119" s="437">
        <v>7913000</v>
      </c>
      <c r="P119" s="316">
        <v>7987900</v>
      </c>
      <c r="Q119" s="11">
        <v>6075700</v>
      </c>
      <c r="R119" s="191">
        <v>8100000</v>
      </c>
      <c r="S119" s="191">
        <v>8850200</v>
      </c>
      <c r="T119" s="319">
        <v>8328200</v>
      </c>
      <c r="U119" s="316">
        <v>8407500</v>
      </c>
      <c r="V119" s="191"/>
      <c r="W119" s="191">
        <v>7954200</v>
      </c>
      <c r="X119" s="326">
        <v>0.09</v>
      </c>
      <c r="Y119" s="326">
        <v>0.08</v>
      </c>
      <c r="Z119" s="326">
        <v>0.05</v>
      </c>
      <c r="AA119" s="326">
        <v>0.03</v>
      </c>
      <c r="AB119" s="326">
        <v>1.4999999999999999E-2</v>
      </c>
    </row>
    <row r="120" spans="1:28" x14ac:dyDescent="0.2">
      <c r="A120" s="567">
        <v>41290</v>
      </c>
      <c r="B120" s="414" t="s">
        <v>12</v>
      </c>
      <c r="C120" s="38">
        <v>7800000</v>
      </c>
      <c r="D120" s="11">
        <v>7908333</v>
      </c>
      <c r="E120" s="11">
        <v>8016667</v>
      </c>
      <c r="F120" s="11">
        <v>8450000</v>
      </c>
      <c r="G120" s="11"/>
      <c r="H120" s="71"/>
      <c r="I120" s="11"/>
      <c r="J120" s="319"/>
      <c r="K120" s="425">
        <v>8000000</v>
      </c>
      <c r="L120" s="502"/>
      <c r="M120" s="30"/>
      <c r="N120" s="453">
        <v>8400000</v>
      </c>
      <c r="O120" s="437"/>
      <c r="P120" s="316">
        <v>8100000</v>
      </c>
      <c r="Q120" s="11"/>
      <c r="R120" s="191">
        <v>9300000</v>
      </c>
      <c r="S120" s="191">
        <v>9400000</v>
      </c>
      <c r="T120" s="319"/>
      <c r="U120" s="316">
        <v>8500000</v>
      </c>
      <c r="V120" s="191"/>
      <c r="W120" s="191"/>
      <c r="X120" s="191"/>
      <c r="Y120" s="191"/>
      <c r="Z120" s="191"/>
      <c r="AA120" s="191"/>
      <c r="AB120" s="191"/>
    </row>
    <row r="121" spans="1:28" x14ac:dyDescent="0.2">
      <c r="A121" s="567">
        <v>41290</v>
      </c>
      <c r="B121" s="414" t="s">
        <v>11</v>
      </c>
      <c r="C121" s="38">
        <v>7200</v>
      </c>
      <c r="D121" s="11">
        <v>7300</v>
      </c>
      <c r="E121" s="11">
        <v>7400</v>
      </c>
      <c r="F121" s="11">
        <v>7800</v>
      </c>
      <c r="G121" s="11"/>
      <c r="H121" s="71"/>
      <c r="I121" s="11"/>
      <c r="J121" s="319"/>
      <c r="K121" s="425">
        <v>8000</v>
      </c>
      <c r="L121" s="502"/>
      <c r="M121" s="30"/>
      <c r="N121" s="453">
        <v>8400</v>
      </c>
      <c r="O121" s="437"/>
      <c r="P121" s="316">
        <v>8100</v>
      </c>
      <c r="Q121" s="11"/>
      <c r="R121" s="191">
        <v>9300</v>
      </c>
      <c r="S121" s="191">
        <v>9400</v>
      </c>
      <c r="T121" s="319"/>
      <c r="U121" s="316">
        <v>8500</v>
      </c>
      <c r="V121" s="191"/>
      <c r="W121" s="191"/>
      <c r="X121" s="191"/>
      <c r="Y121" s="191"/>
      <c r="Z121" s="191"/>
      <c r="AA121" s="191"/>
      <c r="AB121" s="191"/>
    </row>
    <row r="122" spans="1:28" x14ac:dyDescent="0.2">
      <c r="A122" s="567">
        <v>41290</v>
      </c>
      <c r="B122" s="415" t="s">
        <v>15</v>
      </c>
      <c r="C122" s="400">
        <f>(C120-C119)/C120</f>
        <v>7.2846153846153852E-2</v>
      </c>
      <c r="D122" s="24">
        <f>(D120-D119)/D120</f>
        <v>8.0210709387174256E-2</v>
      </c>
      <c r="E122" s="24">
        <f>(E120-E119)/E120</f>
        <v>8.6241202235293052E-2</v>
      </c>
      <c r="F122" s="24">
        <f>(F120-F119)/F120</f>
        <v>8.1798816568047342E-2</v>
      </c>
      <c r="G122" s="24"/>
      <c r="H122" s="324"/>
      <c r="I122" s="24"/>
      <c r="J122" s="325" t="e">
        <f>(J120-J119)/J120</f>
        <v>#DIV/0!</v>
      </c>
      <c r="K122" s="426">
        <f>(K120-K119)/K120</f>
        <v>8.7300000000000003E-2</v>
      </c>
      <c r="L122" s="194"/>
      <c r="M122" s="454" t="e">
        <f t="shared" ref="M122:U122" si="0">(M120-M119)/M120</f>
        <v>#DIV/0!</v>
      </c>
      <c r="N122" s="455">
        <f t="shared" si="0"/>
        <v>8.451190476190476E-2</v>
      </c>
      <c r="O122" s="438" t="e">
        <f t="shared" si="0"/>
        <v>#DIV/0!</v>
      </c>
      <c r="P122" s="321">
        <f t="shared" si="0"/>
        <v>1.3839506172839506E-2</v>
      </c>
      <c r="Q122" s="24" t="e">
        <f t="shared" si="0"/>
        <v>#DIV/0!</v>
      </c>
      <c r="R122" s="322">
        <f t="shared" si="0"/>
        <v>0.12903225806451613</v>
      </c>
      <c r="S122" s="322">
        <f t="shared" si="0"/>
        <v>5.8489361702127658E-2</v>
      </c>
      <c r="T122" s="325" t="e">
        <f t="shared" si="0"/>
        <v>#DIV/0!</v>
      </c>
      <c r="U122" s="321">
        <f t="shared" si="0"/>
        <v>1.088235294117647E-2</v>
      </c>
      <c r="V122" s="322"/>
      <c r="W122" s="322" t="e">
        <f>(W120-W119)/W120</f>
        <v>#DIV/0!</v>
      </c>
      <c r="X122" s="322"/>
      <c r="Y122" s="322"/>
      <c r="Z122" s="322"/>
      <c r="AA122" s="322"/>
      <c r="AB122" s="322"/>
    </row>
    <row r="123" spans="1:28" x14ac:dyDescent="0.2">
      <c r="A123" s="567">
        <v>41290</v>
      </c>
      <c r="B123" s="415" t="s">
        <v>16</v>
      </c>
      <c r="C123" s="400">
        <f>(C120-C119)/C119</f>
        <v>7.8569650709366959E-2</v>
      </c>
      <c r="D123" s="24">
        <f>(D120-D119)/D119</f>
        <v>8.720552653285675E-2</v>
      </c>
      <c r="E123" s="24">
        <f>(E120-E119)/E119</f>
        <v>9.4380707957353288E-2</v>
      </c>
      <c r="F123" s="24">
        <f>(F120-F119)/F119</f>
        <v>8.9085941124916218E-2</v>
      </c>
      <c r="G123" s="24"/>
      <c r="H123" s="324"/>
      <c r="I123" s="24"/>
      <c r="J123" s="325">
        <f>(J120-J119)/J119</f>
        <v>-1</v>
      </c>
      <c r="K123" s="426">
        <f>(K120-K119)/K119</f>
        <v>9.5650268434315761E-2</v>
      </c>
      <c r="L123" s="194"/>
      <c r="M123" s="454">
        <f t="shared" ref="M123:U123" si="1">(M120-M119)/M119</f>
        <v>-1</v>
      </c>
      <c r="N123" s="455">
        <f t="shared" si="1"/>
        <v>9.231349397277018E-2</v>
      </c>
      <c r="O123" s="438">
        <f t="shared" si="1"/>
        <v>-1</v>
      </c>
      <c r="P123" s="321">
        <f t="shared" si="1"/>
        <v>1.4033726010591019E-2</v>
      </c>
      <c r="Q123" s="24">
        <f t="shared" si="1"/>
        <v>-1</v>
      </c>
      <c r="R123" s="322">
        <f t="shared" si="1"/>
        <v>0.14814814814814814</v>
      </c>
      <c r="S123" s="322">
        <f t="shared" si="1"/>
        <v>6.2122889878194844E-2</v>
      </c>
      <c r="T123" s="325">
        <f t="shared" si="1"/>
        <v>-1</v>
      </c>
      <c r="U123" s="321">
        <f t="shared" si="1"/>
        <v>1.1002081474873625E-2</v>
      </c>
      <c r="V123" s="322"/>
      <c r="W123" s="322">
        <f>(W120-W119)/W119</f>
        <v>-1</v>
      </c>
      <c r="X123" s="322"/>
      <c r="Y123" s="322"/>
      <c r="Z123" s="322"/>
      <c r="AA123" s="322"/>
      <c r="AB123" s="322"/>
    </row>
    <row r="124" spans="1:28" x14ac:dyDescent="0.2">
      <c r="A124" s="567">
        <v>41290</v>
      </c>
      <c r="B124" s="415" t="s">
        <v>10</v>
      </c>
      <c r="C124" s="400">
        <f>C121/C115-1</f>
        <v>6.6666666666666652E-2</v>
      </c>
      <c r="D124" s="24">
        <f>D121/D115-1</f>
        <v>5.0359712230215736E-2</v>
      </c>
      <c r="E124" s="24" t="e">
        <f>E121/E115-1</f>
        <v>#DIV/0!</v>
      </c>
      <c r="F124" s="24">
        <f>F121/F115-1</f>
        <v>4.0000000000000036E-2</v>
      </c>
      <c r="G124" s="24"/>
      <c r="H124" s="324"/>
      <c r="I124" s="24"/>
      <c r="J124" s="325">
        <f>J121/J115-1</f>
        <v>-1</v>
      </c>
      <c r="K124" s="426">
        <f>K121/K115-1</f>
        <v>4.5751633986928164E-2</v>
      </c>
      <c r="L124" s="194"/>
      <c r="M124" s="454">
        <f>M121/M115-1</f>
        <v>-1</v>
      </c>
      <c r="N124" s="455">
        <f>N121/N115-1</f>
        <v>4.3478260869565188E-2</v>
      </c>
      <c r="O124" s="438">
        <f>O121/O115-1</f>
        <v>-1</v>
      </c>
      <c r="P124" s="321">
        <f>P121/P115-1</f>
        <v>4.5161290322580649E-2</v>
      </c>
      <c r="Q124" s="24"/>
      <c r="R124" s="322">
        <f>R121/R115-1</f>
        <v>8.1395348837209225E-2</v>
      </c>
      <c r="S124" s="322">
        <f>S121/S115-1</f>
        <v>8.0459770114942541E-2</v>
      </c>
      <c r="T124" s="325">
        <f>T121/T115-1</f>
        <v>-1</v>
      </c>
      <c r="U124" s="321">
        <f>U121/U115-1</f>
        <v>4.2944785276073594E-2</v>
      </c>
      <c r="V124" s="322"/>
      <c r="W124" s="322"/>
      <c r="X124" s="322"/>
      <c r="Y124" s="322"/>
      <c r="Z124" s="322"/>
      <c r="AA124" s="322"/>
      <c r="AB124" s="322"/>
    </row>
    <row r="125" spans="1:28" x14ac:dyDescent="0.2">
      <c r="A125" s="567">
        <v>41373</v>
      </c>
      <c r="B125" s="414" t="s">
        <v>13</v>
      </c>
      <c r="C125" s="38">
        <v>7231800</v>
      </c>
      <c r="D125" s="11">
        <v>7274000</v>
      </c>
      <c r="E125" s="11">
        <v>7325300</v>
      </c>
      <c r="F125" s="11">
        <v>7758800</v>
      </c>
      <c r="G125" s="11"/>
      <c r="H125" s="323"/>
      <c r="I125" s="11"/>
      <c r="J125" s="319">
        <v>7232200</v>
      </c>
      <c r="K125" s="425">
        <v>7301600</v>
      </c>
      <c r="L125" s="502"/>
      <c r="M125" s="30">
        <v>7616700</v>
      </c>
      <c r="N125" s="453">
        <v>7690100</v>
      </c>
      <c r="O125" s="437">
        <v>7913000</v>
      </c>
      <c r="P125" s="316">
        <v>7987900</v>
      </c>
      <c r="Q125" s="11">
        <v>6372000</v>
      </c>
      <c r="R125" s="191">
        <v>8100000</v>
      </c>
      <c r="S125" s="191">
        <v>8850200</v>
      </c>
      <c r="T125" s="319">
        <v>8328200</v>
      </c>
      <c r="U125" s="316">
        <v>8407500</v>
      </c>
      <c r="V125" s="191"/>
      <c r="W125" s="191">
        <v>7954200</v>
      </c>
      <c r="X125" s="326">
        <v>0.09</v>
      </c>
      <c r="Y125" s="326">
        <v>0.08</v>
      </c>
      <c r="Z125" s="326">
        <v>0.05</v>
      </c>
      <c r="AA125" s="326">
        <v>0.03</v>
      </c>
      <c r="AB125" s="326">
        <v>1.4999999999999999E-2</v>
      </c>
    </row>
    <row r="126" spans="1:28" x14ac:dyDescent="0.2">
      <c r="A126" s="567">
        <v>41373</v>
      </c>
      <c r="B126" s="414" t="s">
        <v>12</v>
      </c>
      <c r="C126" s="38">
        <v>7800000</v>
      </c>
      <c r="D126" s="11">
        <v>7908333</v>
      </c>
      <c r="E126" s="11">
        <v>8016667</v>
      </c>
      <c r="F126" s="11">
        <v>8450000</v>
      </c>
      <c r="G126" s="11"/>
      <c r="H126" s="71"/>
      <c r="I126" s="11"/>
      <c r="J126" s="319">
        <v>8000000</v>
      </c>
      <c r="K126" s="425">
        <v>8000000</v>
      </c>
      <c r="L126" s="502"/>
      <c r="M126" s="30">
        <v>8400000</v>
      </c>
      <c r="N126" s="453">
        <v>8400000</v>
      </c>
      <c r="O126" s="437">
        <v>8100000</v>
      </c>
      <c r="P126" s="316">
        <v>8100000</v>
      </c>
      <c r="Q126" s="11"/>
      <c r="R126" s="191">
        <v>9300000</v>
      </c>
      <c r="S126" s="191">
        <v>9400000</v>
      </c>
      <c r="T126" s="319">
        <v>9400000</v>
      </c>
      <c r="U126" s="316">
        <v>8500000</v>
      </c>
      <c r="V126" s="191"/>
      <c r="W126" s="191"/>
      <c r="X126" s="315"/>
      <c r="Y126" s="315"/>
      <c r="Z126" s="315"/>
      <c r="AA126" s="315"/>
      <c r="AB126" s="315"/>
    </row>
    <row r="127" spans="1:28" x14ac:dyDescent="0.2">
      <c r="A127" s="567">
        <v>41373</v>
      </c>
      <c r="B127" s="414" t="s">
        <v>11</v>
      </c>
      <c r="C127" s="38">
        <v>7200</v>
      </c>
      <c r="D127" s="11">
        <v>7300</v>
      </c>
      <c r="E127" s="11">
        <v>7400</v>
      </c>
      <c r="F127" s="11">
        <v>7800</v>
      </c>
      <c r="G127" s="11"/>
      <c r="H127" s="71"/>
      <c r="I127" s="11"/>
      <c r="J127" s="319">
        <v>8000</v>
      </c>
      <c r="K127" s="425">
        <v>8000</v>
      </c>
      <c r="L127" s="502"/>
      <c r="M127" s="30">
        <v>8400</v>
      </c>
      <c r="N127" s="453">
        <v>8400</v>
      </c>
      <c r="O127" s="437">
        <v>8100</v>
      </c>
      <c r="P127" s="316">
        <v>8100</v>
      </c>
      <c r="Q127" s="11"/>
      <c r="R127" s="191">
        <v>9300</v>
      </c>
      <c r="S127" s="191">
        <v>9400</v>
      </c>
      <c r="T127" s="319">
        <v>9400</v>
      </c>
      <c r="U127" s="316">
        <v>8500</v>
      </c>
      <c r="V127" s="191"/>
      <c r="W127" s="191"/>
      <c r="X127" s="315"/>
      <c r="Y127" s="315"/>
      <c r="Z127" s="315"/>
      <c r="AA127" s="315"/>
      <c r="AB127" s="315"/>
    </row>
    <row r="128" spans="1:28" x14ac:dyDescent="0.2">
      <c r="A128" s="567">
        <v>41373</v>
      </c>
      <c r="B128" s="415" t="s">
        <v>15</v>
      </c>
      <c r="C128" s="400">
        <f>(C126-C125)/C126</f>
        <v>7.2846153846153852E-2</v>
      </c>
      <c r="D128" s="24">
        <f>(D126-D125)/D126</f>
        <v>8.0210709387174256E-2</v>
      </c>
      <c r="E128" s="24">
        <f>(E126-E125)/E126</f>
        <v>8.6241202235293052E-2</v>
      </c>
      <c r="F128" s="24">
        <f>(F126-F125)/F126</f>
        <v>8.1798816568047342E-2</v>
      </c>
      <c r="G128" s="24"/>
      <c r="H128" s="324"/>
      <c r="I128" s="24"/>
      <c r="J128" s="325">
        <f>(J126-J125)/J126</f>
        <v>9.5975000000000005E-2</v>
      </c>
      <c r="K128" s="426">
        <f>(K126-K125)/K126</f>
        <v>8.7300000000000003E-2</v>
      </c>
      <c r="L128" s="194"/>
      <c r="M128" s="454">
        <f t="shared" ref="M128:U128" si="2">(M126-M125)/M126</f>
        <v>9.325E-2</v>
      </c>
      <c r="N128" s="455">
        <f t="shared" si="2"/>
        <v>8.451190476190476E-2</v>
      </c>
      <c r="O128" s="438">
        <f t="shared" si="2"/>
        <v>2.308641975308642E-2</v>
      </c>
      <c r="P128" s="321">
        <f t="shared" si="2"/>
        <v>1.3839506172839506E-2</v>
      </c>
      <c r="Q128" s="24" t="e">
        <f t="shared" si="2"/>
        <v>#DIV/0!</v>
      </c>
      <c r="R128" s="322">
        <f t="shared" si="2"/>
        <v>0.12903225806451613</v>
      </c>
      <c r="S128" s="322">
        <f t="shared" si="2"/>
        <v>5.8489361702127658E-2</v>
      </c>
      <c r="T128" s="325">
        <f t="shared" si="2"/>
        <v>0.11402127659574468</v>
      </c>
      <c r="U128" s="321">
        <f t="shared" si="2"/>
        <v>1.088235294117647E-2</v>
      </c>
      <c r="V128" s="322"/>
      <c r="W128" s="322" t="e">
        <f>(W126-W125)/W126</f>
        <v>#DIV/0!</v>
      </c>
      <c r="X128" s="322"/>
      <c r="Y128" s="315"/>
      <c r="Z128" s="315"/>
      <c r="AA128" s="315"/>
      <c r="AB128" s="315"/>
    </row>
    <row r="129" spans="1:28" x14ac:dyDescent="0.2">
      <c r="A129" s="567">
        <v>41373</v>
      </c>
      <c r="B129" s="415" t="s">
        <v>16</v>
      </c>
      <c r="C129" s="400">
        <f>(C126-C125)/C125</f>
        <v>7.8569650709366959E-2</v>
      </c>
      <c r="D129" s="24">
        <f>(D126-D125)/D125</f>
        <v>8.720552653285675E-2</v>
      </c>
      <c r="E129" s="24">
        <f>(E126-E125)/E125</f>
        <v>9.4380707957353288E-2</v>
      </c>
      <c r="F129" s="24">
        <f>(F126-F125)/F125</f>
        <v>8.9085941124916218E-2</v>
      </c>
      <c r="G129" s="24"/>
      <c r="H129" s="324"/>
      <c r="I129" s="24"/>
      <c r="J129" s="325">
        <f>(J126-J125)/J125</f>
        <v>0.10616409944415255</v>
      </c>
      <c r="K129" s="426">
        <f>(K126-K125)/K125</f>
        <v>9.5650268434315761E-2</v>
      </c>
      <c r="L129" s="194"/>
      <c r="M129" s="454">
        <f t="shared" ref="M129:U129" si="3">(M126-M125)/M125</f>
        <v>0.10283981251723187</v>
      </c>
      <c r="N129" s="455">
        <f t="shared" si="3"/>
        <v>9.231349397277018E-2</v>
      </c>
      <c r="O129" s="438">
        <f t="shared" si="3"/>
        <v>2.3631997978010869E-2</v>
      </c>
      <c r="P129" s="321">
        <f t="shared" si="3"/>
        <v>1.4033726010591019E-2</v>
      </c>
      <c r="Q129" s="24">
        <f t="shared" si="3"/>
        <v>-1</v>
      </c>
      <c r="R129" s="322">
        <f t="shared" si="3"/>
        <v>0.14814814814814814</v>
      </c>
      <c r="S129" s="322">
        <f t="shared" si="3"/>
        <v>6.2122889878194844E-2</v>
      </c>
      <c r="T129" s="325">
        <f t="shared" si="3"/>
        <v>0.12869527629019475</v>
      </c>
      <c r="U129" s="321">
        <f t="shared" si="3"/>
        <v>1.1002081474873625E-2</v>
      </c>
      <c r="V129" s="322"/>
      <c r="W129" s="322">
        <f>(W126-W125)/W125</f>
        <v>-1</v>
      </c>
      <c r="X129" s="322"/>
      <c r="Y129" s="315"/>
      <c r="Z129" s="315"/>
      <c r="AA129" s="315"/>
      <c r="AB129" s="315"/>
    </row>
    <row r="130" spans="1:28" ht="13.3" thickBot="1" x14ac:dyDescent="0.25">
      <c r="A130" s="567">
        <v>41373</v>
      </c>
      <c r="B130" s="416" t="s">
        <v>10</v>
      </c>
      <c r="C130" s="401">
        <f>C127/C121-1</f>
        <v>0</v>
      </c>
      <c r="D130" s="63">
        <f>D127/D121-1</f>
        <v>0</v>
      </c>
      <c r="E130" s="63">
        <f>E127/E121-1</f>
        <v>0</v>
      </c>
      <c r="F130" s="63">
        <f>F127/F121-1</f>
        <v>0</v>
      </c>
      <c r="G130" s="63"/>
      <c r="H130" s="374"/>
      <c r="I130" s="63"/>
      <c r="J130" s="364" t="e">
        <f>J127/J121-1</f>
        <v>#DIV/0!</v>
      </c>
      <c r="K130" s="427">
        <f>K127/K121-1</f>
        <v>0</v>
      </c>
      <c r="L130" s="503"/>
      <c r="M130" s="456" t="e">
        <f>M127/M121-1</f>
        <v>#DIV/0!</v>
      </c>
      <c r="N130" s="80">
        <f>N127/N121-1</f>
        <v>0</v>
      </c>
      <c r="O130" s="439" t="e">
        <f>O127/O121-1</f>
        <v>#DIV/0!</v>
      </c>
      <c r="P130" s="363">
        <f>P127/P121-1</f>
        <v>0</v>
      </c>
      <c r="Q130" s="63"/>
      <c r="R130" s="362">
        <f>R127/R121-1</f>
        <v>0</v>
      </c>
      <c r="S130" s="362">
        <f>S127/S121-1</f>
        <v>0</v>
      </c>
      <c r="T130" s="364" t="e">
        <f>T127/T121-1</f>
        <v>#DIV/0!</v>
      </c>
      <c r="U130" s="363">
        <f>U127/U121-1</f>
        <v>0</v>
      </c>
      <c r="V130" s="362"/>
      <c r="W130" s="362"/>
      <c r="X130" s="315"/>
      <c r="Y130" s="315"/>
      <c r="Z130" s="315"/>
      <c r="AA130" s="315"/>
      <c r="AB130" s="315"/>
    </row>
    <row r="131" spans="1:28" ht="13.3" thickBot="1" x14ac:dyDescent="0.25">
      <c r="A131" s="566">
        <v>41520</v>
      </c>
      <c r="B131" s="417" t="s">
        <v>13</v>
      </c>
      <c r="C131" s="402">
        <v>7513400</v>
      </c>
      <c r="D131" s="159">
        <v>7592700</v>
      </c>
      <c r="E131" s="159">
        <v>7639200</v>
      </c>
      <c r="F131" s="159">
        <v>8137100</v>
      </c>
      <c r="G131" s="159"/>
      <c r="H131" s="376"/>
      <c r="I131" s="159">
        <v>6489600</v>
      </c>
      <c r="J131" s="87">
        <v>7513800</v>
      </c>
      <c r="K131" s="428">
        <v>7586000</v>
      </c>
      <c r="L131" s="504"/>
      <c r="M131" s="86">
        <v>7698400</v>
      </c>
      <c r="N131" s="457">
        <v>7772600</v>
      </c>
      <c r="O131" s="440">
        <v>8221500</v>
      </c>
      <c r="P131" s="369">
        <v>8295000</v>
      </c>
      <c r="Q131" s="159">
        <v>6489600</v>
      </c>
      <c r="R131" s="366">
        <v>8416300</v>
      </c>
      <c r="S131" s="366">
        <v>9204200</v>
      </c>
      <c r="T131" s="87">
        <v>8420500</v>
      </c>
      <c r="U131" s="369">
        <v>8490000</v>
      </c>
      <c r="V131" s="491"/>
      <c r="W131" s="475">
        <v>7954200</v>
      </c>
      <c r="X131" s="478">
        <v>0.09</v>
      </c>
      <c r="Y131" s="326">
        <v>0.08</v>
      </c>
      <c r="Z131" s="326">
        <v>0.05</v>
      </c>
      <c r="AA131" s="326">
        <v>0.03</v>
      </c>
      <c r="AB131" s="326">
        <v>0.01</v>
      </c>
    </row>
    <row r="132" spans="1:28" ht="13.3" thickBot="1" x14ac:dyDescent="0.25">
      <c r="A132" s="566">
        <v>41520</v>
      </c>
      <c r="B132" s="414" t="s">
        <v>12</v>
      </c>
      <c r="C132" s="38">
        <v>8016667</v>
      </c>
      <c r="D132" s="11">
        <v>8341667</v>
      </c>
      <c r="E132" s="11">
        <v>8450000</v>
      </c>
      <c r="F132" s="11">
        <v>8991667</v>
      </c>
      <c r="G132" s="11"/>
      <c r="H132" s="71"/>
      <c r="I132" s="11"/>
      <c r="J132" s="319">
        <v>8500000</v>
      </c>
      <c r="K132" s="425">
        <v>8500000</v>
      </c>
      <c r="L132" s="502"/>
      <c r="M132" s="30">
        <v>8700000</v>
      </c>
      <c r="N132" s="453">
        <v>8700000</v>
      </c>
      <c r="O132" s="437">
        <v>8600000</v>
      </c>
      <c r="P132" s="316">
        <v>8600000</v>
      </c>
      <c r="Q132" s="11"/>
      <c r="R132" s="191">
        <v>9800000</v>
      </c>
      <c r="S132" s="191">
        <v>9900000</v>
      </c>
      <c r="T132" s="319">
        <v>8800000</v>
      </c>
      <c r="U132" s="316">
        <v>8800000</v>
      </c>
      <c r="V132" s="192"/>
      <c r="W132" s="476"/>
      <c r="X132" s="472"/>
      <c r="Y132" s="315"/>
      <c r="Z132" s="315"/>
      <c r="AA132" s="315"/>
      <c r="AB132" s="315"/>
    </row>
    <row r="133" spans="1:28" ht="13.3" thickBot="1" x14ac:dyDescent="0.25">
      <c r="A133" s="566">
        <v>41520</v>
      </c>
      <c r="B133" s="414" t="s">
        <v>11</v>
      </c>
      <c r="C133" s="38">
        <v>7400</v>
      </c>
      <c r="D133" s="11">
        <v>7700</v>
      </c>
      <c r="E133" s="11">
        <v>7800</v>
      </c>
      <c r="F133" s="11">
        <v>8300</v>
      </c>
      <c r="G133" s="11"/>
      <c r="H133" s="71"/>
      <c r="I133" s="11"/>
      <c r="J133" s="319">
        <v>8500</v>
      </c>
      <c r="K133" s="425">
        <v>8500</v>
      </c>
      <c r="L133" s="502"/>
      <c r="M133" s="30">
        <v>8700</v>
      </c>
      <c r="N133" s="453">
        <v>8700</v>
      </c>
      <c r="O133" s="437">
        <v>8600</v>
      </c>
      <c r="P133" s="316">
        <v>8600</v>
      </c>
      <c r="Q133" s="11"/>
      <c r="R133" s="191">
        <v>9800</v>
      </c>
      <c r="S133" s="191">
        <v>9900</v>
      </c>
      <c r="T133" s="319">
        <v>8800</v>
      </c>
      <c r="U133" s="316">
        <v>8800</v>
      </c>
      <c r="V133" s="192"/>
      <c r="W133" s="476"/>
      <c r="X133" s="472"/>
      <c r="Y133" s="315"/>
      <c r="Z133" s="315"/>
      <c r="AA133" s="315"/>
      <c r="AB133" s="315"/>
    </row>
    <row r="134" spans="1:28" ht="13.3" thickBot="1" x14ac:dyDescent="0.25">
      <c r="A134" s="566">
        <v>41520</v>
      </c>
      <c r="B134" s="415" t="s">
        <v>15</v>
      </c>
      <c r="C134" s="400">
        <f>(C132-C131)/C132</f>
        <v>6.2777585747293738E-2</v>
      </c>
      <c r="D134" s="24">
        <f>(D132-D131)/D132</f>
        <v>8.9786250158391603E-2</v>
      </c>
      <c r="E134" s="24">
        <f>(E132-E131)/E132</f>
        <v>9.5952662721893497E-2</v>
      </c>
      <c r="F134" s="24">
        <f>(F132-F131)/F132</f>
        <v>9.5039885262654861E-2</v>
      </c>
      <c r="G134" s="24"/>
      <c r="H134" s="324"/>
      <c r="I134" s="24"/>
      <c r="J134" s="325">
        <f>(J132-J131)/J132</f>
        <v>0.11602352941176471</v>
      </c>
      <c r="K134" s="426">
        <f>(K132-K131)/K132</f>
        <v>0.10752941176470589</v>
      </c>
      <c r="L134" s="194"/>
      <c r="M134" s="454">
        <f t="shared" ref="M134:U134" si="4">(M132-M131)/M132</f>
        <v>0.11512643678160919</v>
      </c>
      <c r="N134" s="455">
        <f t="shared" si="4"/>
        <v>0.10659770114942528</v>
      </c>
      <c r="O134" s="438">
        <f t="shared" si="4"/>
        <v>4.4011627906976741E-2</v>
      </c>
      <c r="P134" s="321">
        <f t="shared" si="4"/>
        <v>3.5465116279069765E-2</v>
      </c>
      <c r="Q134" s="24" t="e">
        <f t="shared" si="4"/>
        <v>#DIV/0!</v>
      </c>
      <c r="R134" s="322">
        <f t="shared" si="4"/>
        <v>0.14119387755102042</v>
      </c>
      <c r="S134" s="322">
        <f t="shared" si="4"/>
        <v>7.028282828282828E-2</v>
      </c>
      <c r="T134" s="325">
        <f t="shared" si="4"/>
        <v>4.3124999999999997E-2</v>
      </c>
      <c r="U134" s="321">
        <f t="shared" si="4"/>
        <v>3.5227272727272725E-2</v>
      </c>
      <c r="V134" s="492"/>
      <c r="W134" s="195" t="e">
        <f>(W132-W131)/W132</f>
        <v>#DIV/0!</v>
      </c>
      <c r="X134" s="406" t="e">
        <f>(X132-X131)/X132</f>
        <v>#DIV/0!</v>
      </c>
      <c r="Y134" s="315"/>
      <c r="Z134" s="315"/>
      <c r="AA134" s="315"/>
      <c r="AB134" s="315"/>
    </row>
    <row r="135" spans="1:28" ht="13.3" thickBot="1" x14ac:dyDescent="0.25">
      <c r="A135" s="566">
        <v>41520</v>
      </c>
      <c r="B135" s="415" t="s">
        <v>16</v>
      </c>
      <c r="C135" s="400">
        <f>(C132-C131)/C131</f>
        <v>6.6982591103894373E-2</v>
      </c>
      <c r="D135" s="24">
        <f>(D132-D131)/D131</f>
        <v>9.8643038708232905E-2</v>
      </c>
      <c r="E135" s="24">
        <f>(E132-E131)/E131</f>
        <v>0.10613676824798408</v>
      </c>
      <c r="F135" s="24">
        <f>(F132-F131)/F131</f>
        <v>0.10502107630482604</v>
      </c>
      <c r="G135" s="24"/>
      <c r="H135" s="324"/>
      <c r="I135" s="24"/>
      <c r="J135" s="325">
        <f>(J132-J131)/J131</f>
        <v>0.13125182996619553</v>
      </c>
      <c r="K135" s="426">
        <f>(K132-K131)/K131</f>
        <v>0.1204851041392038</v>
      </c>
      <c r="L135" s="194"/>
      <c r="M135" s="454">
        <f t="shared" ref="M135:U135" si="5">(M132-M131)/M131</f>
        <v>0.13010495687415566</v>
      </c>
      <c r="N135" s="455">
        <f t="shared" si="5"/>
        <v>0.119316573604714</v>
      </c>
      <c r="O135" s="438">
        <f t="shared" si="5"/>
        <v>4.603782764702305E-2</v>
      </c>
      <c r="P135" s="321">
        <f t="shared" si="5"/>
        <v>3.6769138034960819E-2</v>
      </c>
      <c r="Q135" s="24">
        <f t="shared" si="5"/>
        <v>-1</v>
      </c>
      <c r="R135" s="322">
        <f t="shared" si="5"/>
        <v>0.16440716229221866</v>
      </c>
      <c r="S135" s="322">
        <f t="shared" si="5"/>
        <v>7.5595923600095608E-2</v>
      </c>
      <c r="T135" s="325">
        <f t="shared" si="5"/>
        <v>4.5068582625734814E-2</v>
      </c>
      <c r="U135" s="321">
        <f t="shared" si="5"/>
        <v>3.6513545347467612E-2</v>
      </c>
      <c r="V135" s="492"/>
      <c r="W135" s="195">
        <f>(W132-W131)/W131</f>
        <v>-1</v>
      </c>
      <c r="X135" s="406">
        <f>(X132-X131)/X131</f>
        <v>-1</v>
      </c>
      <c r="Y135" s="315"/>
      <c r="Z135" s="315"/>
      <c r="AA135" s="315"/>
      <c r="AB135" s="315"/>
    </row>
    <row r="136" spans="1:28" ht="13.3" thickBot="1" x14ac:dyDescent="0.25">
      <c r="A136" s="566">
        <v>41520</v>
      </c>
      <c r="B136" s="418" t="s">
        <v>10</v>
      </c>
      <c r="C136" s="403">
        <f>C133/C127-1</f>
        <v>2.7777777777777679E-2</v>
      </c>
      <c r="D136" s="25">
        <f>D133/D127-1</f>
        <v>5.4794520547945202E-2</v>
      </c>
      <c r="E136" s="25">
        <f>E133/E127-1</f>
        <v>5.4054054054053946E-2</v>
      </c>
      <c r="F136" s="25">
        <f>F133/F127-1</f>
        <v>6.4102564102564097E-2</v>
      </c>
      <c r="G136" s="25"/>
      <c r="H136" s="378"/>
      <c r="I136" s="25"/>
      <c r="J136" s="373">
        <f>J133/J127-1</f>
        <v>6.25E-2</v>
      </c>
      <c r="K136" s="429">
        <f>K133/K127-1</f>
        <v>6.25E-2</v>
      </c>
      <c r="L136" s="505"/>
      <c r="M136" s="458">
        <f>M133/M127-1</f>
        <v>3.5714285714285809E-2</v>
      </c>
      <c r="N136" s="79">
        <f>N133/N127-1</f>
        <v>3.5714285714285809E-2</v>
      </c>
      <c r="O136" s="441">
        <f>O133/O127-1</f>
        <v>6.1728395061728447E-2</v>
      </c>
      <c r="P136" s="372">
        <f>P133/P127-1</f>
        <v>6.1728395061728447E-2</v>
      </c>
      <c r="Q136" s="25"/>
      <c r="R136" s="370">
        <f>R133/R127-1</f>
        <v>5.3763440860215006E-2</v>
      </c>
      <c r="S136" s="370">
        <f>S133/S127-1</f>
        <v>5.3191489361702038E-2</v>
      </c>
      <c r="T136" s="373">
        <f>T133/T127-1</f>
        <v>-6.3829787234042534E-2</v>
      </c>
      <c r="U136" s="372">
        <f>U133/U127-1</f>
        <v>3.529411764705892E-2</v>
      </c>
      <c r="V136" s="493"/>
      <c r="W136" s="477"/>
      <c r="X136" s="472"/>
      <c r="Y136" s="315"/>
      <c r="Z136" s="315"/>
      <c r="AA136" s="315"/>
      <c r="AB136" s="315"/>
    </row>
    <row r="137" spans="1:28" ht="13.3" thickBot="1" x14ac:dyDescent="0.25">
      <c r="A137" s="566">
        <v>41534</v>
      </c>
      <c r="B137" s="417" t="s">
        <v>13</v>
      </c>
      <c r="C137" s="402">
        <v>8008300</v>
      </c>
      <c r="D137" s="159">
        <v>8073000</v>
      </c>
      <c r="E137" s="159">
        <v>8211900</v>
      </c>
      <c r="F137" s="159">
        <v>8903000</v>
      </c>
      <c r="G137" s="159"/>
      <c r="H137" s="376"/>
      <c r="I137" s="159">
        <v>6489600</v>
      </c>
      <c r="J137" s="87">
        <v>8117100</v>
      </c>
      <c r="K137" s="428">
        <v>8195300</v>
      </c>
      <c r="L137" s="504"/>
      <c r="M137" s="86">
        <v>8302700</v>
      </c>
      <c r="N137" s="457">
        <v>8382800</v>
      </c>
      <c r="O137" s="440">
        <v>8870100</v>
      </c>
      <c r="P137" s="369">
        <v>8952000</v>
      </c>
      <c r="Q137" s="159">
        <v>6489600</v>
      </c>
      <c r="R137" s="366">
        <v>9087400</v>
      </c>
      <c r="S137" s="366">
        <v>9917000</v>
      </c>
      <c r="T137" s="87">
        <v>9070500</v>
      </c>
      <c r="U137" s="369">
        <v>9157000</v>
      </c>
      <c r="V137" s="491"/>
      <c r="W137" s="475">
        <v>7954200</v>
      </c>
      <c r="X137" s="478">
        <v>0.09</v>
      </c>
      <c r="Y137" s="326">
        <v>0.08</v>
      </c>
      <c r="Z137" s="326">
        <v>0.05</v>
      </c>
      <c r="AA137" s="326">
        <v>0.03</v>
      </c>
      <c r="AB137" s="326">
        <v>1.4999999999999999E-2</v>
      </c>
    </row>
    <row r="138" spans="1:28" ht="13.3" thickBot="1" x14ac:dyDescent="0.25">
      <c r="A138" s="566">
        <v>41534</v>
      </c>
      <c r="B138" s="414" t="s">
        <v>12</v>
      </c>
      <c r="C138" s="38">
        <v>8558333</v>
      </c>
      <c r="D138" s="11">
        <v>8883333</v>
      </c>
      <c r="E138" s="11">
        <v>9100000</v>
      </c>
      <c r="F138" s="11">
        <v>9858333</v>
      </c>
      <c r="G138" s="11"/>
      <c r="H138" s="71"/>
      <c r="I138" s="11"/>
      <c r="J138" s="319">
        <v>9200000</v>
      </c>
      <c r="K138" s="425">
        <v>9200000</v>
      </c>
      <c r="L138" s="502"/>
      <c r="M138" s="30">
        <v>9400000</v>
      </c>
      <c r="N138" s="453">
        <v>9400000</v>
      </c>
      <c r="O138" s="437">
        <v>9300000</v>
      </c>
      <c r="P138" s="316">
        <v>9300000</v>
      </c>
      <c r="Q138" s="11"/>
      <c r="R138" s="191">
        <v>10600000</v>
      </c>
      <c r="S138" s="191">
        <v>10700000</v>
      </c>
      <c r="T138" s="319">
        <v>9500000</v>
      </c>
      <c r="U138" s="316">
        <v>9500000</v>
      </c>
      <c r="V138" s="192"/>
      <c r="W138" s="476"/>
      <c r="X138" s="472"/>
      <c r="Y138" s="315"/>
      <c r="Z138" s="315"/>
      <c r="AA138" s="315"/>
      <c r="AB138" s="315"/>
    </row>
    <row r="139" spans="1:28" ht="13.3" thickBot="1" x14ac:dyDescent="0.25">
      <c r="A139" s="566">
        <v>41534</v>
      </c>
      <c r="B139" s="414" t="s">
        <v>11</v>
      </c>
      <c r="C139" s="38">
        <v>7900</v>
      </c>
      <c r="D139" s="11">
        <v>8200</v>
      </c>
      <c r="E139" s="11">
        <v>8400</v>
      </c>
      <c r="F139" s="11">
        <v>9100</v>
      </c>
      <c r="G139" s="11"/>
      <c r="H139" s="71"/>
      <c r="I139" s="11"/>
      <c r="J139" s="319">
        <v>9200</v>
      </c>
      <c r="K139" s="425">
        <v>9200</v>
      </c>
      <c r="L139" s="502"/>
      <c r="M139" s="30">
        <v>9400</v>
      </c>
      <c r="N139" s="453">
        <v>9400</v>
      </c>
      <c r="O139" s="437">
        <v>9300</v>
      </c>
      <c r="P139" s="316">
        <v>9300</v>
      </c>
      <c r="Q139" s="11"/>
      <c r="R139" s="191">
        <v>10600</v>
      </c>
      <c r="S139" s="191">
        <v>10700</v>
      </c>
      <c r="T139" s="319">
        <v>9500</v>
      </c>
      <c r="U139" s="316">
        <v>9500</v>
      </c>
      <c r="V139" s="192"/>
      <c r="W139" s="476"/>
      <c r="X139" s="472"/>
      <c r="Y139" s="315"/>
      <c r="Z139" s="315"/>
      <c r="AA139" s="315"/>
      <c r="AB139" s="315"/>
    </row>
    <row r="140" spans="1:28" ht="13.3" thickBot="1" x14ac:dyDescent="0.25">
      <c r="A140" s="566">
        <v>41534</v>
      </c>
      <c r="B140" s="415" t="s">
        <v>15</v>
      </c>
      <c r="C140" s="400">
        <f>(C138-C137)/C138</f>
        <v>6.4268707469083058E-2</v>
      </c>
      <c r="D140" s="24">
        <f>(D138-D137)/D138</f>
        <v>9.1219478094539522E-2</v>
      </c>
      <c r="E140" s="24">
        <f>(E138-E137)/E138</f>
        <v>9.7593406593406595E-2</v>
      </c>
      <c r="F140" s="24">
        <f>(F138-F137)/F138</f>
        <v>9.6906140216606595E-2</v>
      </c>
      <c r="G140" s="24"/>
      <c r="H140" s="324"/>
      <c r="I140" s="24"/>
      <c r="J140" s="325">
        <f>(J138-J137)/J138</f>
        <v>0.11770652173913043</v>
      </c>
      <c r="K140" s="426">
        <f>(K138-K137)/K138</f>
        <v>0.10920652173913044</v>
      </c>
      <c r="L140" s="194"/>
      <c r="M140" s="454">
        <f t="shared" ref="M140:U140" si="6">(M138-M137)/M138</f>
        <v>0.11673404255319149</v>
      </c>
      <c r="N140" s="455">
        <f t="shared" si="6"/>
        <v>0.1082127659574468</v>
      </c>
      <c r="O140" s="438">
        <f t="shared" si="6"/>
        <v>4.6225806451612901E-2</v>
      </c>
      <c r="P140" s="321">
        <f t="shared" si="6"/>
        <v>3.741935483870968E-2</v>
      </c>
      <c r="Q140" s="24" t="e">
        <f t="shared" si="6"/>
        <v>#DIV/0!</v>
      </c>
      <c r="R140" s="322">
        <f t="shared" si="6"/>
        <v>0.14269811320754716</v>
      </c>
      <c r="S140" s="322">
        <f t="shared" si="6"/>
        <v>7.3177570093457947E-2</v>
      </c>
      <c r="T140" s="325">
        <f t="shared" si="6"/>
        <v>4.5210526315789472E-2</v>
      </c>
      <c r="U140" s="321">
        <f t="shared" si="6"/>
        <v>3.6105263157894738E-2</v>
      </c>
      <c r="V140" s="492"/>
      <c r="W140" s="195" t="e">
        <f>(W138-W137)/W138</f>
        <v>#DIV/0!</v>
      </c>
      <c r="X140" s="406" t="e">
        <f>(X138-X137)/X138</f>
        <v>#DIV/0!</v>
      </c>
      <c r="Y140" s="315"/>
      <c r="Z140" s="315"/>
      <c r="AA140" s="315"/>
      <c r="AB140" s="315"/>
    </row>
    <row r="141" spans="1:28" ht="13.3" thickBot="1" x14ac:dyDescent="0.25">
      <c r="A141" s="566">
        <v>41534</v>
      </c>
      <c r="B141" s="415" t="s">
        <v>16</v>
      </c>
      <c r="C141" s="400">
        <f>(C138-C137)/C137</f>
        <v>6.8682866525979297E-2</v>
      </c>
      <c r="D141" s="24">
        <f>(D138-D137)/D137</f>
        <v>0.10037569676700112</v>
      </c>
      <c r="E141" s="24">
        <f>(E138-E137)/E137</f>
        <v>0.10814793166015173</v>
      </c>
      <c r="F141" s="24">
        <f>(F138-F137)/F137</f>
        <v>0.10730461642143098</v>
      </c>
      <c r="G141" s="24"/>
      <c r="H141" s="324"/>
      <c r="I141" s="24"/>
      <c r="J141" s="325">
        <f>(J138-J137)/J137</f>
        <v>0.13340971529240739</v>
      </c>
      <c r="K141" s="426">
        <f>(K138-K137)/K137</f>
        <v>0.12259465791368224</v>
      </c>
      <c r="L141" s="194"/>
      <c r="M141" s="454">
        <f t="shared" ref="M141:U141" si="7">(M138-M137)/M137</f>
        <v>0.13216182687559469</v>
      </c>
      <c r="N141" s="455">
        <f t="shared" si="7"/>
        <v>0.12134370377439518</v>
      </c>
      <c r="O141" s="438">
        <f t="shared" si="7"/>
        <v>4.8466195420570228E-2</v>
      </c>
      <c r="P141" s="321">
        <f t="shared" si="7"/>
        <v>3.8873994638069703E-2</v>
      </c>
      <c r="Q141" s="24">
        <f t="shared" si="7"/>
        <v>-1</v>
      </c>
      <c r="R141" s="322">
        <f t="shared" si="7"/>
        <v>0.16645024979642142</v>
      </c>
      <c r="S141" s="322">
        <f t="shared" si="7"/>
        <v>7.8955329232630836E-2</v>
      </c>
      <c r="T141" s="325">
        <f t="shared" si="7"/>
        <v>4.7351303676754317E-2</v>
      </c>
      <c r="U141" s="321">
        <f t="shared" si="7"/>
        <v>3.7457682647155183E-2</v>
      </c>
      <c r="V141" s="492"/>
      <c r="W141" s="195">
        <f>(W138-W137)/W137</f>
        <v>-1</v>
      </c>
      <c r="X141" s="406">
        <f>(X138-X137)/X137</f>
        <v>-1</v>
      </c>
      <c r="Y141" s="315"/>
      <c r="Z141" s="315"/>
      <c r="AA141" s="315"/>
      <c r="AB141" s="315"/>
    </row>
    <row r="142" spans="1:28" ht="13.3" thickBot="1" x14ac:dyDescent="0.25">
      <c r="A142" s="566">
        <v>41534</v>
      </c>
      <c r="B142" s="418" t="s">
        <v>10</v>
      </c>
      <c r="C142" s="403">
        <f>C139/C133-1</f>
        <v>6.7567567567567544E-2</v>
      </c>
      <c r="D142" s="25">
        <f>D139/D133-1</f>
        <v>6.4935064935064846E-2</v>
      </c>
      <c r="E142" s="25">
        <f>E139/E133-1</f>
        <v>7.6923076923076872E-2</v>
      </c>
      <c r="F142" s="25">
        <f>F139/F133-1</f>
        <v>9.6385542168674787E-2</v>
      </c>
      <c r="G142" s="25"/>
      <c r="H142" s="378"/>
      <c r="I142" s="25"/>
      <c r="J142" s="373">
        <f>J139/J133-1</f>
        <v>8.2352941176470518E-2</v>
      </c>
      <c r="K142" s="429">
        <f>K139/K133-1</f>
        <v>8.2352941176470518E-2</v>
      </c>
      <c r="L142" s="505"/>
      <c r="M142" s="458">
        <f>M139/M133-1</f>
        <v>8.0459770114942541E-2</v>
      </c>
      <c r="N142" s="79">
        <f>N139/N133-1</f>
        <v>8.0459770114942541E-2</v>
      </c>
      <c r="O142" s="441">
        <f>O139/O133-1</f>
        <v>8.1395348837209225E-2</v>
      </c>
      <c r="P142" s="372">
        <f>P139/P133-1</f>
        <v>8.1395348837209225E-2</v>
      </c>
      <c r="Q142" s="25"/>
      <c r="R142" s="370">
        <f>R139/R133-1</f>
        <v>8.163265306122458E-2</v>
      </c>
      <c r="S142" s="370">
        <f>S139/S133-1</f>
        <v>8.0808080808080884E-2</v>
      </c>
      <c r="T142" s="373">
        <f>T139/T133-1</f>
        <v>7.9545454545454586E-2</v>
      </c>
      <c r="U142" s="372">
        <f>U139/U133-1</f>
        <v>7.9545454545454586E-2</v>
      </c>
      <c r="V142" s="493"/>
      <c r="W142" s="477"/>
      <c r="X142" s="472"/>
      <c r="Y142" s="315"/>
      <c r="Z142" s="315"/>
      <c r="AA142" s="315"/>
      <c r="AB142" s="315"/>
    </row>
    <row r="143" spans="1:28" ht="13.3" thickBot="1" x14ac:dyDescent="0.25">
      <c r="A143" s="566">
        <v>41613</v>
      </c>
      <c r="B143" s="417" t="s">
        <v>13</v>
      </c>
      <c r="C143" s="402">
        <v>8008300</v>
      </c>
      <c r="D143" s="159">
        <v>8265300</v>
      </c>
      <c r="E143" s="159">
        <v>8402800</v>
      </c>
      <c r="F143" s="159">
        <v>9094600</v>
      </c>
      <c r="G143" s="159"/>
      <c r="H143" s="376"/>
      <c r="I143" s="159">
        <v>6619400</v>
      </c>
      <c r="J143" s="87">
        <v>8289100</v>
      </c>
      <c r="K143" s="428">
        <v>8369000</v>
      </c>
      <c r="L143" s="504"/>
      <c r="M143" s="86">
        <v>8475500</v>
      </c>
      <c r="N143" s="457">
        <v>8557300</v>
      </c>
      <c r="O143" s="440">
        <v>9056400</v>
      </c>
      <c r="P143" s="369">
        <v>9140000</v>
      </c>
      <c r="Q143" s="159">
        <v>6725900</v>
      </c>
      <c r="R143" s="366">
        <v>9199100</v>
      </c>
      <c r="S143" s="366">
        <v>10036100</v>
      </c>
      <c r="T143" s="87">
        <v>9261000</v>
      </c>
      <c r="U143" s="369">
        <v>9349300</v>
      </c>
      <c r="V143" s="491"/>
      <c r="W143" s="475">
        <v>7954200</v>
      </c>
      <c r="X143" s="478">
        <v>0.09</v>
      </c>
      <c r="Y143" s="326">
        <v>0.08</v>
      </c>
      <c r="Z143" s="326">
        <v>0.05</v>
      </c>
      <c r="AA143" s="326">
        <v>0.03</v>
      </c>
      <c r="AB143" s="326">
        <v>1.4999999999999999E-2</v>
      </c>
    </row>
    <row r="144" spans="1:28" ht="13.3" thickBot="1" x14ac:dyDescent="0.25">
      <c r="A144" s="566">
        <v>41613</v>
      </c>
      <c r="B144" s="414" t="s">
        <v>12</v>
      </c>
      <c r="C144" s="38">
        <v>8558333</v>
      </c>
      <c r="D144" s="11">
        <v>9100000</v>
      </c>
      <c r="E144" s="11">
        <v>9316667</v>
      </c>
      <c r="F144" s="11">
        <v>10075000</v>
      </c>
      <c r="G144" s="11"/>
      <c r="H144" s="71"/>
      <c r="I144" s="11"/>
      <c r="J144" s="319">
        <v>9400000</v>
      </c>
      <c r="K144" s="425">
        <v>9400000</v>
      </c>
      <c r="L144" s="502"/>
      <c r="M144" s="30">
        <v>9600000</v>
      </c>
      <c r="N144" s="453">
        <v>9600000</v>
      </c>
      <c r="O144" s="437">
        <v>9500000</v>
      </c>
      <c r="P144" s="316">
        <v>9500000</v>
      </c>
      <c r="Q144" s="11"/>
      <c r="R144" s="191">
        <v>10900000</v>
      </c>
      <c r="S144" s="191">
        <v>11000000</v>
      </c>
      <c r="T144" s="319">
        <v>9700000</v>
      </c>
      <c r="U144" s="316">
        <v>9700000</v>
      </c>
      <c r="V144" s="192"/>
      <c r="W144" s="476"/>
      <c r="X144" s="472"/>
      <c r="Y144" s="315"/>
      <c r="Z144" s="315"/>
      <c r="AA144" s="315"/>
      <c r="AB144" s="315"/>
    </row>
    <row r="145" spans="1:28" ht="13.3" thickBot="1" x14ac:dyDescent="0.25">
      <c r="A145" s="566">
        <v>41613</v>
      </c>
      <c r="B145" s="414" t="s">
        <v>11</v>
      </c>
      <c r="C145" s="38">
        <v>7900</v>
      </c>
      <c r="D145" s="11">
        <v>8400</v>
      </c>
      <c r="E145" s="11">
        <v>8600</v>
      </c>
      <c r="F145" s="11">
        <v>9300</v>
      </c>
      <c r="G145" s="11"/>
      <c r="H145" s="71"/>
      <c r="I145" s="11"/>
      <c r="J145" s="319">
        <v>9400</v>
      </c>
      <c r="K145" s="425">
        <v>9400</v>
      </c>
      <c r="L145" s="502"/>
      <c r="M145" s="30">
        <v>9600</v>
      </c>
      <c r="N145" s="453">
        <v>9600</v>
      </c>
      <c r="O145" s="437">
        <v>9500</v>
      </c>
      <c r="P145" s="316">
        <v>9500</v>
      </c>
      <c r="Q145" s="11"/>
      <c r="R145" s="191">
        <v>10900</v>
      </c>
      <c r="S145" s="191"/>
      <c r="T145" s="319">
        <v>9700</v>
      </c>
      <c r="U145" s="316">
        <v>9700</v>
      </c>
      <c r="V145" s="192"/>
      <c r="W145" s="476"/>
      <c r="X145" s="472"/>
      <c r="Y145" s="315"/>
      <c r="Z145" s="315"/>
      <c r="AA145" s="315"/>
      <c r="AB145" s="315"/>
    </row>
    <row r="146" spans="1:28" ht="13.3" thickBot="1" x14ac:dyDescent="0.25">
      <c r="A146" s="566">
        <v>41613</v>
      </c>
      <c r="B146" s="415" t="s">
        <v>15</v>
      </c>
      <c r="C146" s="400">
        <f>(C144-C143)/C144</f>
        <v>6.4268707469083058E-2</v>
      </c>
      <c r="D146" s="24">
        <f>(D144-D143)/D144</f>
        <v>9.1725274725274725E-2</v>
      </c>
      <c r="E146" s="24">
        <f>(E144-E143)/E144</f>
        <v>9.8089477706995429E-2</v>
      </c>
      <c r="F146" s="24">
        <f>(F144-F143)/F144</f>
        <v>9.7310173697270477E-2</v>
      </c>
      <c r="G146" s="24"/>
      <c r="H146" s="324"/>
      <c r="I146" s="24"/>
      <c r="J146" s="325">
        <f>(J144-J143)/J144</f>
        <v>0.11818085106382979</v>
      </c>
      <c r="K146" s="426">
        <f>(K144-K143)/K144</f>
        <v>0.10968085106382978</v>
      </c>
      <c r="L146" s="194"/>
      <c r="M146" s="454">
        <f t="shared" ref="M146:U146" si="8">(M144-M143)/M144</f>
        <v>0.11713541666666667</v>
      </c>
      <c r="N146" s="455">
        <f t="shared" si="8"/>
        <v>0.10861458333333333</v>
      </c>
      <c r="O146" s="438">
        <f t="shared" si="8"/>
        <v>4.6694736842105261E-2</v>
      </c>
      <c r="P146" s="321">
        <f t="shared" si="8"/>
        <v>3.7894736842105266E-2</v>
      </c>
      <c r="Q146" s="24" t="e">
        <f t="shared" si="8"/>
        <v>#DIV/0!</v>
      </c>
      <c r="R146" s="322">
        <f t="shared" si="8"/>
        <v>0.15604587155963304</v>
      </c>
      <c r="S146" s="322">
        <f t="shared" si="8"/>
        <v>8.7627272727272734E-2</v>
      </c>
      <c r="T146" s="325">
        <f t="shared" si="8"/>
        <v>4.5257731958762884E-2</v>
      </c>
      <c r="U146" s="321">
        <f t="shared" si="8"/>
        <v>3.6154639175257734E-2</v>
      </c>
      <c r="V146" s="492"/>
      <c r="W146" s="195" t="e">
        <f>(W144-W143)/W144</f>
        <v>#DIV/0!</v>
      </c>
      <c r="X146" s="406" t="e">
        <f>(X144-X143)/X144</f>
        <v>#DIV/0!</v>
      </c>
      <c r="Y146" s="315"/>
      <c r="Z146" s="315"/>
      <c r="AA146" s="315"/>
      <c r="AB146" s="315"/>
    </row>
    <row r="147" spans="1:28" ht="13.3" thickBot="1" x14ac:dyDescent="0.25">
      <c r="A147" s="566">
        <v>41613</v>
      </c>
      <c r="B147" s="415" t="s">
        <v>16</v>
      </c>
      <c r="C147" s="400">
        <f>(C144-C143)/C143</f>
        <v>6.8682866525979297E-2</v>
      </c>
      <c r="D147" s="24">
        <f>(D144-D143)/D143</f>
        <v>0.10098846986800238</v>
      </c>
      <c r="E147" s="24">
        <f>(E144-E143)/E143</f>
        <v>0.10875743799685819</v>
      </c>
      <c r="F147" s="24">
        <f>(F144-F143)/F143</f>
        <v>0.10780023310535923</v>
      </c>
      <c r="G147" s="24"/>
      <c r="H147" s="324"/>
      <c r="I147" s="24"/>
      <c r="J147" s="325">
        <f>(J144-J143)/J143</f>
        <v>0.13401937484165952</v>
      </c>
      <c r="K147" s="426">
        <f>(K144-K143)/K143</f>
        <v>0.12319273509379854</v>
      </c>
      <c r="L147" s="194"/>
      <c r="M147" s="454">
        <f t="shared" ref="M147:U147" si="9">(M144-M143)/M143</f>
        <v>0.13267653825732995</v>
      </c>
      <c r="N147" s="455">
        <f t="shared" si="9"/>
        <v>0.12184918140067545</v>
      </c>
      <c r="O147" s="438">
        <f t="shared" si="9"/>
        <v>4.8981935426880438E-2</v>
      </c>
      <c r="P147" s="321">
        <f t="shared" si="9"/>
        <v>3.9387308533916851E-2</v>
      </c>
      <c r="Q147" s="24">
        <f t="shared" si="9"/>
        <v>-1</v>
      </c>
      <c r="R147" s="322">
        <f t="shared" si="9"/>
        <v>0.18489852268156667</v>
      </c>
      <c r="S147" s="322">
        <f t="shared" si="9"/>
        <v>9.6043283745678096E-2</v>
      </c>
      <c r="T147" s="325">
        <f t="shared" si="9"/>
        <v>4.7403088219414753E-2</v>
      </c>
      <c r="U147" s="321">
        <f t="shared" si="9"/>
        <v>3.751082968778411E-2</v>
      </c>
      <c r="V147" s="492"/>
      <c r="W147" s="195">
        <f>(W144-W143)/W143</f>
        <v>-1</v>
      </c>
      <c r="X147" s="406">
        <f>(X144-X143)/X143</f>
        <v>-1</v>
      </c>
      <c r="Y147" s="315"/>
      <c r="Z147" s="315"/>
      <c r="AA147" s="315"/>
      <c r="AB147" s="315"/>
    </row>
    <row r="148" spans="1:28" ht="13.3" thickBot="1" x14ac:dyDescent="0.25">
      <c r="A148" s="566">
        <v>41613</v>
      </c>
      <c r="B148" s="418" t="s">
        <v>10</v>
      </c>
      <c r="C148" s="403">
        <f>C145/C139-1</f>
        <v>0</v>
      </c>
      <c r="D148" s="25">
        <f>D145/D139-1</f>
        <v>2.4390243902439046E-2</v>
      </c>
      <c r="E148" s="25">
        <f>E145/E139-1</f>
        <v>2.3809523809523725E-2</v>
      </c>
      <c r="F148" s="25">
        <f>F145/F139-1</f>
        <v>2.19780219780219E-2</v>
      </c>
      <c r="G148" s="25"/>
      <c r="H148" s="378"/>
      <c r="I148" s="25"/>
      <c r="J148" s="373">
        <f>J145/J139-1</f>
        <v>2.1739130434782705E-2</v>
      </c>
      <c r="K148" s="429">
        <f>K145/K139-1</f>
        <v>2.1739130434782705E-2</v>
      </c>
      <c r="L148" s="505"/>
      <c r="M148" s="458">
        <f>M145/M139-1</f>
        <v>2.1276595744680771E-2</v>
      </c>
      <c r="N148" s="79">
        <f>N145/N139-1</f>
        <v>2.1276595744680771E-2</v>
      </c>
      <c r="O148" s="441">
        <f>O145/O139-1</f>
        <v>2.1505376344086002E-2</v>
      </c>
      <c r="P148" s="372">
        <f>P145/P139-1</f>
        <v>2.1505376344086002E-2</v>
      </c>
      <c r="Q148" s="25"/>
      <c r="R148" s="370">
        <f>R145/R139-1</f>
        <v>2.8301886792452935E-2</v>
      </c>
      <c r="S148" s="370">
        <f>S145/S139-1</f>
        <v>-1</v>
      </c>
      <c r="T148" s="373">
        <f>T145/T139-1</f>
        <v>2.1052631578947434E-2</v>
      </c>
      <c r="U148" s="372">
        <f>U145/U139-1</f>
        <v>2.1052631578947434E-2</v>
      </c>
      <c r="V148" s="493"/>
      <c r="W148" s="477"/>
      <c r="X148" s="472"/>
      <c r="Y148" s="315"/>
      <c r="Z148" s="315"/>
      <c r="AA148" s="315"/>
      <c r="AB148" s="315"/>
    </row>
    <row r="149" spans="1:28" ht="13.3" thickBot="1" x14ac:dyDescent="0.25">
      <c r="A149" s="566">
        <v>41636</v>
      </c>
      <c r="B149" s="417" t="s">
        <v>13</v>
      </c>
      <c r="C149" s="402">
        <v>8260800</v>
      </c>
      <c r="D149" s="159">
        <v>8480300</v>
      </c>
      <c r="E149" s="159">
        <v>8616200</v>
      </c>
      <c r="F149" s="159">
        <v>9308500</v>
      </c>
      <c r="G149" s="159"/>
      <c r="H149" s="376"/>
      <c r="I149" s="159">
        <v>6771600</v>
      </c>
      <c r="J149" s="87">
        <v>8483600</v>
      </c>
      <c r="K149" s="428">
        <v>8569300</v>
      </c>
      <c r="L149" s="504"/>
      <c r="M149" s="86">
        <v>8669900</v>
      </c>
      <c r="N149" s="457">
        <v>8753500</v>
      </c>
      <c r="O149" s="440">
        <v>9237600</v>
      </c>
      <c r="P149" s="369">
        <v>9332000</v>
      </c>
      <c r="Q149" s="159"/>
      <c r="R149" s="366">
        <v>9408700</v>
      </c>
      <c r="S149" s="366">
        <v>10236900</v>
      </c>
      <c r="T149" s="87">
        <v>9455500</v>
      </c>
      <c r="U149" s="369">
        <v>9545700</v>
      </c>
      <c r="V149" s="491"/>
      <c r="W149" s="475">
        <v>8127400</v>
      </c>
      <c r="X149" s="478">
        <v>0.09</v>
      </c>
      <c r="Y149" s="326">
        <v>0.08</v>
      </c>
      <c r="Z149" s="326">
        <v>0.05</v>
      </c>
      <c r="AA149" s="326">
        <v>0.03</v>
      </c>
      <c r="AB149" s="326">
        <v>1.4999999999999999E-2</v>
      </c>
    </row>
    <row r="150" spans="1:28" ht="13.3" thickBot="1" x14ac:dyDescent="0.25">
      <c r="A150" s="566">
        <v>41636</v>
      </c>
      <c r="B150" s="414" t="s">
        <v>12</v>
      </c>
      <c r="C150" s="38">
        <v>8558333</v>
      </c>
      <c r="D150" s="11">
        <v>9316667</v>
      </c>
      <c r="E150" s="11">
        <v>9533333</v>
      </c>
      <c r="F150" s="11">
        <v>10291667</v>
      </c>
      <c r="G150" s="11"/>
      <c r="H150" s="71"/>
      <c r="I150" s="11"/>
      <c r="J150" s="319">
        <v>9600000</v>
      </c>
      <c r="K150" s="425">
        <v>9600000</v>
      </c>
      <c r="L150" s="502"/>
      <c r="M150" s="30">
        <v>9800000</v>
      </c>
      <c r="N150" s="453">
        <v>9800000</v>
      </c>
      <c r="O150" s="437">
        <v>9700000</v>
      </c>
      <c r="P150" s="316">
        <v>9700000</v>
      </c>
      <c r="Q150" s="11"/>
      <c r="R150" s="191">
        <v>11100000</v>
      </c>
      <c r="S150" s="191">
        <v>11200000</v>
      </c>
      <c r="T150" s="319">
        <v>9900000</v>
      </c>
      <c r="U150" s="316">
        <v>9900000</v>
      </c>
      <c r="V150" s="192"/>
      <c r="W150" s="476"/>
      <c r="X150" s="472"/>
      <c r="Y150" s="315"/>
      <c r="Z150" s="315"/>
      <c r="AA150" s="315"/>
      <c r="AB150" s="315"/>
    </row>
    <row r="151" spans="1:28" ht="13.3" thickBot="1" x14ac:dyDescent="0.25">
      <c r="A151" s="566">
        <v>41636</v>
      </c>
      <c r="B151" s="414" t="s">
        <v>11</v>
      </c>
      <c r="C151" s="38">
        <v>7900</v>
      </c>
      <c r="D151" s="11">
        <v>8600</v>
      </c>
      <c r="E151" s="11">
        <v>8800</v>
      </c>
      <c r="F151" s="11">
        <v>9500</v>
      </c>
      <c r="G151" s="11"/>
      <c r="H151" s="71"/>
      <c r="I151" s="11"/>
      <c r="J151" s="319">
        <v>9600</v>
      </c>
      <c r="K151" s="425">
        <v>9600</v>
      </c>
      <c r="L151" s="502"/>
      <c r="M151" s="30">
        <v>9800</v>
      </c>
      <c r="N151" s="453">
        <v>9800</v>
      </c>
      <c r="O151" s="437">
        <v>9700</v>
      </c>
      <c r="P151" s="316">
        <v>9700</v>
      </c>
      <c r="Q151" s="11"/>
      <c r="R151" s="191">
        <v>11100</v>
      </c>
      <c r="S151" s="191">
        <v>11200</v>
      </c>
      <c r="T151" s="319">
        <v>9900</v>
      </c>
      <c r="U151" s="316">
        <v>9900</v>
      </c>
      <c r="V151" s="192"/>
      <c r="W151" s="476"/>
      <c r="X151" s="472"/>
      <c r="Y151" s="315"/>
      <c r="Z151" s="315"/>
      <c r="AA151" s="315"/>
      <c r="AB151" s="315"/>
    </row>
    <row r="152" spans="1:28" ht="13.3" thickBot="1" x14ac:dyDescent="0.25">
      <c r="A152" s="566">
        <v>41636</v>
      </c>
      <c r="B152" s="415" t="s">
        <v>15</v>
      </c>
      <c r="C152" s="400">
        <f>(C150-C149)/C150</f>
        <v>3.4765298335552031E-2</v>
      </c>
      <c r="D152" s="24">
        <f>(D150-D149)/D150</f>
        <v>8.9771052244327285E-2</v>
      </c>
      <c r="E152" s="24">
        <f>(E150-E149)/E150</f>
        <v>9.6202765601495308E-2</v>
      </c>
      <c r="F152" s="24">
        <f>(F150-F149)/F150</f>
        <v>9.5530393667031782E-2</v>
      </c>
      <c r="G152" s="24"/>
      <c r="H152" s="324"/>
      <c r="I152" s="24"/>
      <c r="J152" s="325">
        <f>(J150-J149)/J150</f>
        <v>0.11629166666666667</v>
      </c>
      <c r="K152" s="426">
        <f>(K150-K149)/K150</f>
        <v>0.10736458333333333</v>
      </c>
      <c r="L152" s="194"/>
      <c r="M152" s="454">
        <f t="shared" ref="M152:U152" si="10">(M150-M149)/M150</f>
        <v>0.11531632653061225</v>
      </c>
      <c r="N152" s="455">
        <f t="shared" si="10"/>
        <v>0.10678571428571429</v>
      </c>
      <c r="O152" s="438">
        <f t="shared" si="10"/>
        <v>4.7670103092783508E-2</v>
      </c>
      <c r="P152" s="321">
        <f t="shared" si="10"/>
        <v>3.7938144329896908E-2</v>
      </c>
      <c r="Q152" s="24" t="e">
        <f t="shared" si="10"/>
        <v>#DIV/0!</v>
      </c>
      <c r="R152" s="322">
        <f t="shared" si="10"/>
        <v>0.15236936936936937</v>
      </c>
      <c r="S152" s="322">
        <f t="shared" si="10"/>
        <v>8.5991071428571431E-2</v>
      </c>
      <c r="T152" s="325">
        <f t="shared" si="10"/>
        <v>4.4898989898989897E-2</v>
      </c>
      <c r="U152" s="321">
        <f t="shared" si="10"/>
        <v>3.5787878787878785E-2</v>
      </c>
      <c r="V152" s="492"/>
      <c r="W152" s="195" t="e">
        <f>(W150-W149)/W150</f>
        <v>#DIV/0!</v>
      </c>
      <c r="X152" s="472"/>
      <c r="Y152" s="315"/>
      <c r="Z152" s="315"/>
      <c r="AA152" s="315"/>
      <c r="AB152" s="315"/>
    </row>
    <row r="153" spans="1:28" ht="13.3" thickBot="1" x14ac:dyDescent="0.25">
      <c r="A153" s="566">
        <v>41636</v>
      </c>
      <c r="B153" s="415" t="s">
        <v>16</v>
      </c>
      <c r="C153" s="400">
        <f>(C150-C149)/C149</f>
        <v>3.6017455936471043E-2</v>
      </c>
      <c r="D153" s="24">
        <f>(D150-D149)/D149</f>
        <v>9.8624694881077321E-2</v>
      </c>
      <c r="E153" s="24">
        <f>(E150-E149)/E149</f>
        <v>0.10644286344328126</v>
      </c>
      <c r="F153" s="24">
        <f>(F150-F149)/F149</f>
        <v>0.10562034699468228</v>
      </c>
      <c r="G153" s="24"/>
      <c r="H153" s="324"/>
      <c r="I153" s="24"/>
      <c r="J153" s="325">
        <f>(J150-J149)/J149</f>
        <v>0.13159507756141262</v>
      </c>
      <c r="K153" s="426">
        <f>(K150-K149)/K149</f>
        <v>0.1202782024202677</v>
      </c>
      <c r="L153" s="194"/>
      <c r="M153" s="454">
        <f t="shared" ref="M153:U153" si="11">(M150-M149)/M149</f>
        <v>0.13034752419289727</v>
      </c>
      <c r="N153" s="455">
        <f t="shared" si="11"/>
        <v>0.11955217912834866</v>
      </c>
      <c r="O153" s="438">
        <f t="shared" si="11"/>
        <v>5.0056291677491989E-2</v>
      </c>
      <c r="P153" s="321">
        <f t="shared" si="11"/>
        <v>3.9434204886412347E-2</v>
      </c>
      <c r="Q153" s="24" t="e">
        <f t="shared" si="11"/>
        <v>#DIV/0!</v>
      </c>
      <c r="R153" s="322">
        <f t="shared" si="11"/>
        <v>0.17975915907617418</v>
      </c>
      <c r="S153" s="322">
        <f t="shared" si="11"/>
        <v>9.4081215993122913E-2</v>
      </c>
      <c r="T153" s="325">
        <f t="shared" si="11"/>
        <v>4.7009676907619903E-2</v>
      </c>
      <c r="U153" s="321">
        <f t="shared" si="11"/>
        <v>3.7116188440868662E-2</v>
      </c>
      <c r="V153" s="492"/>
      <c r="W153" s="195">
        <f>(W150-W149)/W149</f>
        <v>-1</v>
      </c>
      <c r="X153" s="472"/>
      <c r="Y153" s="315"/>
      <c r="Z153" s="315"/>
      <c r="AA153" s="315"/>
      <c r="AB153" s="315"/>
    </row>
    <row r="154" spans="1:28" ht="13.3" thickBot="1" x14ac:dyDescent="0.25">
      <c r="A154" s="566">
        <v>41636</v>
      </c>
      <c r="B154" s="418" t="s">
        <v>10</v>
      </c>
      <c r="C154" s="403">
        <f>C151/C145-1</f>
        <v>0</v>
      </c>
      <c r="D154" s="25">
        <f>D151/D145-1</f>
        <v>2.3809523809523725E-2</v>
      </c>
      <c r="E154" s="25">
        <f>E151/E145-1</f>
        <v>2.3255813953488413E-2</v>
      </c>
      <c r="F154" s="25">
        <f>F151/F145-1</f>
        <v>2.1505376344086002E-2</v>
      </c>
      <c r="G154" s="25"/>
      <c r="H154" s="378"/>
      <c r="I154" s="25"/>
      <c r="J154" s="373">
        <f>J151/J145-1</f>
        <v>2.1276595744680771E-2</v>
      </c>
      <c r="K154" s="429">
        <f>K151/K145-1</f>
        <v>2.1276595744680771E-2</v>
      </c>
      <c r="L154" s="505"/>
      <c r="M154" s="458">
        <f>M151/M145-1</f>
        <v>2.0833333333333259E-2</v>
      </c>
      <c r="N154" s="79">
        <f>N151/N145-1</f>
        <v>2.0833333333333259E-2</v>
      </c>
      <c r="O154" s="441">
        <f>O151/O145-1</f>
        <v>2.1052631578947434E-2</v>
      </c>
      <c r="P154" s="372">
        <f>P151/P145-1</f>
        <v>2.1052631578947434E-2</v>
      </c>
      <c r="Q154" s="25"/>
      <c r="R154" s="370">
        <f>R151/R145-1</f>
        <v>1.8348623853210899E-2</v>
      </c>
      <c r="S154" s="370" t="e">
        <f>S151/S145-1</f>
        <v>#DIV/0!</v>
      </c>
      <c r="T154" s="373">
        <f>T151/T145-1</f>
        <v>2.0618556701030855E-2</v>
      </c>
      <c r="U154" s="372">
        <f>U151/U145-1</f>
        <v>2.0618556701030855E-2</v>
      </c>
      <c r="V154" s="493"/>
      <c r="W154" s="477"/>
      <c r="X154" s="472"/>
      <c r="Y154" s="315"/>
      <c r="Z154" s="315"/>
      <c r="AA154" s="315"/>
      <c r="AB154" s="315"/>
    </row>
    <row r="155" spans="1:28" ht="13.3" thickBot="1" x14ac:dyDescent="0.25">
      <c r="A155" s="566">
        <v>41828</v>
      </c>
      <c r="B155" s="417" t="s">
        <v>13</v>
      </c>
      <c r="C155" s="402">
        <v>8733300</v>
      </c>
      <c r="D155" s="159">
        <v>8963800</v>
      </c>
      <c r="E155" s="159">
        <v>9106500</v>
      </c>
      <c r="F155" s="159">
        <v>9833400</v>
      </c>
      <c r="G155" s="159"/>
      <c r="H155" s="376"/>
      <c r="I155" s="159">
        <v>7110200</v>
      </c>
      <c r="J155" s="87">
        <v>8967300</v>
      </c>
      <c r="K155" s="428">
        <v>9057300</v>
      </c>
      <c r="L155" s="504"/>
      <c r="M155" s="86">
        <v>9162900</v>
      </c>
      <c r="N155" s="457">
        <v>9250700</v>
      </c>
      <c r="O155" s="440">
        <v>9786900</v>
      </c>
      <c r="P155" s="369">
        <v>9884100</v>
      </c>
      <c r="Q155" s="159"/>
      <c r="R155" s="366">
        <v>9938600</v>
      </c>
      <c r="S155" s="366">
        <v>10835900</v>
      </c>
      <c r="T155" s="87">
        <v>9998200</v>
      </c>
      <c r="U155" s="369">
        <v>10093000</v>
      </c>
      <c r="V155" s="491"/>
      <c r="W155" s="475">
        <v>8593300</v>
      </c>
      <c r="X155" s="478">
        <v>0.115</v>
      </c>
      <c r="Y155" s="326">
        <v>0.08</v>
      </c>
      <c r="Z155" s="326">
        <v>0.05</v>
      </c>
      <c r="AA155" s="326">
        <v>0.03</v>
      </c>
      <c r="AB155" s="326">
        <v>1.4999999999999999E-2</v>
      </c>
    </row>
    <row r="156" spans="1:28" ht="13.3" thickBot="1" x14ac:dyDescent="0.25">
      <c r="A156" s="566">
        <v>41828</v>
      </c>
      <c r="B156" s="414" t="s">
        <v>12</v>
      </c>
      <c r="C156" s="38">
        <v>9100000</v>
      </c>
      <c r="D156" s="11">
        <v>9858333</v>
      </c>
      <c r="E156" s="11">
        <v>10075000</v>
      </c>
      <c r="F156" s="11">
        <v>10833333</v>
      </c>
      <c r="G156" s="11"/>
      <c r="H156" s="71"/>
      <c r="I156" s="11"/>
      <c r="J156" s="319">
        <v>10100000</v>
      </c>
      <c r="K156" s="425">
        <v>10100000</v>
      </c>
      <c r="L156" s="502"/>
      <c r="M156" s="30">
        <v>10300000</v>
      </c>
      <c r="N156" s="453">
        <v>10300000</v>
      </c>
      <c r="O156" s="437"/>
      <c r="P156" s="316"/>
      <c r="Q156" s="11"/>
      <c r="R156" s="191">
        <v>11600000</v>
      </c>
      <c r="S156" s="191"/>
      <c r="T156" s="319"/>
      <c r="U156" s="316"/>
      <c r="V156" s="192"/>
      <c r="W156" s="476"/>
      <c r="X156" s="472"/>
      <c r="Y156" s="315"/>
      <c r="Z156" s="315"/>
      <c r="AA156" s="315"/>
      <c r="AB156" s="315"/>
    </row>
    <row r="157" spans="1:28" ht="13.3" thickBot="1" x14ac:dyDescent="0.25">
      <c r="A157" s="566">
        <v>41828</v>
      </c>
      <c r="B157" s="414" t="s">
        <v>11</v>
      </c>
      <c r="C157" s="38">
        <v>8400</v>
      </c>
      <c r="D157" s="11">
        <v>9100</v>
      </c>
      <c r="E157" s="11">
        <v>9300</v>
      </c>
      <c r="F157" s="11">
        <v>10000</v>
      </c>
      <c r="G157" s="11"/>
      <c r="H157" s="71"/>
      <c r="I157" s="11"/>
      <c r="J157" s="319">
        <v>10100</v>
      </c>
      <c r="K157" s="425">
        <v>10100</v>
      </c>
      <c r="L157" s="502"/>
      <c r="M157" s="30">
        <v>10300</v>
      </c>
      <c r="N157" s="453">
        <v>10300</v>
      </c>
      <c r="O157" s="437"/>
      <c r="P157" s="316"/>
      <c r="Q157" s="11"/>
      <c r="R157" s="191">
        <v>11600</v>
      </c>
      <c r="S157" s="191"/>
      <c r="T157" s="319"/>
      <c r="U157" s="316"/>
      <c r="V157" s="192"/>
      <c r="W157" s="476"/>
      <c r="X157" s="472"/>
      <c r="Y157" s="315"/>
      <c r="Z157" s="315"/>
      <c r="AA157" s="315"/>
      <c r="AB157" s="315"/>
    </row>
    <row r="158" spans="1:28" ht="13.3" thickBot="1" x14ac:dyDescent="0.25">
      <c r="A158" s="566">
        <v>41828</v>
      </c>
      <c r="B158" s="415" t="s">
        <v>15</v>
      </c>
      <c r="C158" s="400">
        <f>(C156-C155)/C156</f>
        <v>4.0296703296703297E-2</v>
      </c>
      <c r="D158" s="24">
        <f>(D156-D155)/D156</f>
        <v>9.073876891762532E-2</v>
      </c>
      <c r="E158" s="24">
        <f>(E156-E155)/E156</f>
        <v>9.6129032258064517E-2</v>
      </c>
      <c r="F158" s="24">
        <f>(F156-F155)/F156</f>
        <v>9.2301510532354164E-2</v>
      </c>
      <c r="G158" s="24"/>
      <c r="H158" s="324"/>
      <c r="I158" s="24"/>
      <c r="J158" s="325">
        <f>(J156-J155)/J156</f>
        <v>0.11214851485148515</v>
      </c>
      <c r="K158" s="426">
        <f>(K156-K155)/K156</f>
        <v>0.10323762376237623</v>
      </c>
      <c r="L158" s="194"/>
      <c r="M158" s="454">
        <f>(M156-M155)/M156</f>
        <v>0.11039805825242718</v>
      </c>
      <c r="N158" s="455">
        <f>(N156-N155)/N156</f>
        <v>0.10187378640776699</v>
      </c>
      <c r="O158" s="438"/>
      <c r="P158" s="321"/>
      <c r="Q158" s="24"/>
      <c r="R158" s="322">
        <f>(R156-R155)/R156</f>
        <v>0.14322413793103447</v>
      </c>
      <c r="S158" s="322"/>
      <c r="T158" s="325"/>
      <c r="U158" s="321"/>
      <c r="V158" s="492"/>
      <c r="W158" s="195"/>
      <c r="X158" s="472"/>
      <c r="Y158" s="315"/>
      <c r="Z158" s="315"/>
      <c r="AA158" s="315"/>
      <c r="AB158" s="315"/>
    </row>
    <row r="159" spans="1:28" ht="13.3" thickBot="1" x14ac:dyDescent="0.25">
      <c r="A159" s="566">
        <v>41828</v>
      </c>
      <c r="B159" s="415" t="s">
        <v>16</v>
      </c>
      <c r="C159" s="400">
        <f>(C156-C155)/C155</f>
        <v>4.1988709880572066E-2</v>
      </c>
      <c r="D159" s="24">
        <f>(D156-D155)/D155</f>
        <v>9.9793948994845935E-2</v>
      </c>
      <c r="E159" s="24">
        <f>(E156-E155)/E155</f>
        <v>0.10635260528194147</v>
      </c>
      <c r="F159" s="24">
        <f>(F156-F155)/F155</f>
        <v>0.10168741228873024</v>
      </c>
      <c r="G159" s="24"/>
      <c r="H159" s="324"/>
      <c r="I159" s="24"/>
      <c r="J159" s="325">
        <f>(J156-J155)/J155</f>
        <v>0.12631449823246685</v>
      </c>
      <c r="K159" s="426">
        <f>(K156-K155)/K155</f>
        <v>0.11512260828282159</v>
      </c>
      <c r="L159" s="194"/>
      <c r="M159" s="454">
        <f>(M156-M155)/M155</f>
        <v>0.12409826583286951</v>
      </c>
      <c r="N159" s="455">
        <f>(N156-N155)/N155</f>
        <v>0.11342925400239982</v>
      </c>
      <c r="O159" s="438"/>
      <c r="P159" s="321"/>
      <c r="Q159" s="24"/>
      <c r="R159" s="322">
        <f>(R156-R155)/R155</f>
        <v>0.16716640170647779</v>
      </c>
      <c r="S159" s="322"/>
      <c r="T159" s="325"/>
      <c r="U159" s="321"/>
      <c r="V159" s="492"/>
      <c r="W159" s="195"/>
      <c r="X159" s="472"/>
      <c r="Y159" s="315"/>
      <c r="Z159" s="315"/>
      <c r="AA159" s="315"/>
      <c r="AB159" s="315"/>
    </row>
    <row r="160" spans="1:28" ht="13.3" thickBot="1" x14ac:dyDescent="0.25">
      <c r="A160" s="566">
        <v>41828</v>
      </c>
      <c r="B160" s="418" t="s">
        <v>10</v>
      </c>
      <c r="C160" s="403">
        <f>C157/C151-1</f>
        <v>6.3291139240506222E-2</v>
      </c>
      <c r="D160" s="25">
        <f>D157/D151-1</f>
        <v>5.8139534883721034E-2</v>
      </c>
      <c r="E160" s="25">
        <f>E157/E151-1</f>
        <v>5.6818181818181879E-2</v>
      </c>
      <c r="F160" s="25">
        <f>F157/F151-1</f>
        <v>5.2631578947368363E-2</v>
      </c>
      <c r="G160" s="25"/>
      <c r="H160" s="378"/>
      <c r="I160" s="25"/>
      <c r="J160" s="373">
        <f>J157/J151-1</f>
        <v>5.2083333333333259E-2</v>
      </c>
      <c r="K160" s="429">
        <f>K157/K151-1</f>
        <v>5.2083333333333259E-2</v>
      </c>
      <c r="L160" s="505"/>
      <c r="M160" s="458">
        <f>M157/M151-1</f>
        <v>5.1020408163265252E-2</v>
      </c>
      <c r="N160" s="79">
        <f>N157/N151-1</f>
        <v>5.1020408163265252E-2</v>
      </c>
      <c r="O160" s="441"/>
      <c r="P160" s="372"/>
      <c r="Q160" s="25"/>
      <c r="R160" s="370">
        <f>R157/R151-1</f>
        <v>4.5045045045045029E-2</v>
      </c>
      <c r="S160" s="370"/>
      <c r="T160" s="373"/>
      <c r="U160" s="372"/>
      <c r="V160" s="493"/>
      <c r="W160" s="477"/>
      <c r="X160" s="472"/>
      <c r="Y160" s="315"/>
      <c r="Z160" s="315"/>
      <c r="AA160" s="315"/>
      <c r="AB160" s="315"/>
    </row>
    <row r="161" spans="1:28" ht="13.3" thickBot="1" x14ac:dyDescent="0.25">
      <c r="A161" s="566">
        <v>41870</v>
      </c>
      <c r="B161" s="417" t="s">
        <v>13</v>
      </c>
      <c r="C161" s="402">
        <v>9139100</v>
      </c>
      <c r="D161" s="159">
        <v>9363300</v>
      </c>
      <c r="E161" s="159">
        <v>9512500</v>
      </c>
      <c r="F161" s="159">
        <v>10244200</v>
      </c>
      <c r="G161" s="159"/>
      <c r="H161" s="376"/>
      <c r="I161" s="159">
        <v>7418800</v>
      </c>
      <c r="J161" s="87">
        <v>9340900</v>
      </c>
      <c r="K161" s="428">
        <v>9434700</v>
      </c>
      <c r="L161" s="504"/>
      <c r="M161" s="86">
        <v>9544900</v>
      </c>
      <c r="N161" s="457">
        <v>9636400</v>
      </c>
      <c r="O161" s="440">
        <v>10205200</v>
      </c>
      <c r="P161" s="369">
        <v>10309700</v>
      </c>
      <c r="Q161" s="159">
        <v>7523000</v>
      </c>
      <c r="R161" s="366">
        <v>10353900</v>
      </c>
      <c r="S161" s="366">
        <v>11334600</v>
      </c>
      <c r="T161" s="87">
        <v>10432600</v>
      </c>
      <c r="U161" s="369">
        <v>10534600</v>
      </c>
      <c r="V161" s="491"/>
      <c r="W161" s="475">
        <v>8950800</v>
      </c>
      <c r="X161" s="472"/>
      <c r="Y161" s="315"/>
      <c r="Z161" s="315"/>
      <c r="AA161" s="315"/>
      <c r="AB161" s="315"/>
    </row>
    <row r="162" spans="1:28" ht="13.3" thickBot="1" x14ac:dyDescent="0.25">
      <c r="A162" s="566">
        <v>41870</v>
      </c>
      <c r="B162" s="414" t="s">
        <v>12</v>
      </c>
      <c r="C162" s="38">
        <v>9533333</v>
      </c>
      <c r="D162" s="11">
        <v>10291667</v>
      </c>
      <c r="E162" s="11">
        <v>10508333</v>
      </c>
      <c r="F162" s="11">
        <v>11266667</v>
      </c>
      <c r="G162" s="11"/>
      <c r="H162" s="71"/>
      <c r="I162" s="11"/>
      <c r="J162" s="319">
        <v>10500000</v>
      </c>
      <c r="K162" s="425">
        <v>10500000</v>
      </c>
      <c r="L162" s="502"/>
      <c r="M162" s="30">
        <v>10700000</v>
      </c>
      <c r="N162" s="453">
        <v>10700000</v>
      </c>
      <c r="O162" s="437"/>
      <c r="P162" s="316"/>
      <c r="Q162" s="11"/>
      <c r="R162" s="191">
        <v>12100000</v>
      </c>
      <c r="S162" s="191"/>
      <c r="T162" s="319"/>
      <c r="U162" s="316"/>
      <c r="V162" s="192"/>
      <c r="W162" s="476"/>
      <c r="X162" s="472"/>
      <c r="Y162" s="315"/>
      <c r="Z162" s="315"/>
      <c r="AA162" s="315"/>
      <c r="AB162" s="315"/>
    </row>
    <row r="163" spans="1:28" ht="13.3" thickBot="1" x14ac:dyDescent="0.25">
      <c r="A163" s="566">
        <v>41870</v>
      </c>
      <c r="B163" s="414" t="s">
        <v>11</v>
      </c>
      <c r="C163" s="38">
        <v>8800</v>
      </c>
      <c r="D163" s="11">
        <v>9500</v>
      </c>
      <c r="E163" s="11">
        <v>9700</v>
      </c>
      <c r="F163" s="11">
        <v>10400</v>
      </c>
      <c r="G163" s="11"/>
      <c r="H163" s="71"/>
      <c r="I163" s="11"/>
      <c r="J163" s="319">
        <v>10500</v>
      </c>
      <c r="K163" s="425">
        <v>10500</v>
      </c>
      <c r="L163" s="502"/>
      <c r="M163" s="30">
        <v>10700</v>
      </c>
      <c r="N163" s="453">
        <v>10700</v>
      </c>
      <c r="O163" s="437"/>
      <c r="P163" s="316"/>
      <c r="Q163" s="11"/>
      <c r="R163" s="191">
        <v>12100</v>
      </c>
      <c r="S163" s="191"/>
      <c r="T163" s="319"/>
      <c r="U163" s="316"/>
      <c r="V163" s="192"/>
      <c r="W163" s="476"/>
      <c r="X163" s="472"/>
      <c r="Y163" s="315"/>
      <c r="Z163" s="315"/>
      <c r="AA163" s="315"/>
      <c r="AB163" s="315"/>
    </row>
    <row r="164" spans="1:28" ht="13.3" thickBot="1" x14ac:dyDescent="0.25">
      <c r="A164" s="566">
        <v>41870</v>
      </c>
      <c r="B164" s="415" t="s">
        <v>15</v>
      </c>
      <c r="C164" s="400">
        <f>(C162-C161)/C162</f>
        <v>4.1353113334024943E-2</v>
      </c>
      <c r="D164" s="24">
        <f>(D162-D161)/D162</f>
        <v>9.0205697483216274E-2</v>
      </c>
      <c r="E164" s="24">
        <f>(E162-E161)/E162</f>
        <v>9.4766029968787621E-2</v>
      </c>
      <c r="F164" s="24">
        <f>(F162-F161)/F162</f>
        <v>9.0751506190783843E-2</v>
      </c>
      <c r="G164" s="24"/>
      <c r="H164" s="324"/>
      <c r="I164" s="24"/>
      <c r="J164" s="325">
        <f>(J162-J161)/J162</f>
        <v>0.11039047619047619</v>
      </c>
      <c r="K164" s="426">
        <f>(K162-K161)/K162</f>
        <v>0.10145714285714286</v>
      </c>
      <c r="L164" s="194"/>
      <c r="M164" s="454">
        <f>(M162-M161)/M162</f>
        <v>0.10795327102803738</v>
      </c>
      <c r="N164" s="455">
        <f>(N162-N161)/N162</f>
        <v>9.9401869158878511E-2</v>
      </c>
      <c r="O164" s="438"/>
      <c r="P164" s="321"/>
      <c r="Q164" s="24"/>
      <c r="R164" s="322">
        <f>(R162-R161)/R162</f>
        <v>0.14430578512396694</v>
      </c>
      <c r="S164" s="322"/>
      <c r="T164" s="325"/>
      <c r="U164" s="321"/>
      <c r="V164" s="492"/>
      <c r="W164" s="195"/>
      <c r="X164" s="473">
        <v>0.115</v>
      </c>
      <c r="Y164" s="328">
        <v>0.08</v>
      </c>
      <c r="Z164" s="328">
        <v>0.05</v>
      </c>
      <c r="AA164" s="328">
        <v>0.03</v>
      </c>
      <c r="AB164" s="327">
        <v>1.4999999999999999E-2</v>
      </c>
    </row>
    <row r="165" spans="1:28" ht="13.3" thickBot="1" x14ac:dyDescent="0.25">
      <c r="A165" s="566">
        <v>41870</v>
      </c>
      <c r="B165" s="415" t="s">
        <v>16</v>
      </c>
      <c r="C165" s="400">
        <f>(C162-C161)/C161</f>
        <v>4.3136960969898566E-2</v>
      </c>
      <c r="D165" s="24">
        <f>(D162-D161)/D161</f>
        <v>9.9149551974197128E-2</v>
      </c>
      <c r="E165" s="24">
        <f>(E162-E161)/E161</f>
        <v>0.10468678055190539</v>
      </c>
      <c r="F165" s="24">
        <f>(F162-F161)/F161</f>
        <v>9.9809355537767708E-2</v>
      </c>
      <c r="G165" s="24"/>
      <c r="H165" s="324"/>
      <c r="I165" s="24"/>
      <c r="J165" s="325">
        <f>(J162-J161)/J161</f>
        <v>0.12408868524446252</v>
      </c>
      <c r="K165" s="426">
        <f>(K162-K161)/K161</f>
        <v>0.11291297020572991</v>
      </c>
      <c r="L165" s="194"/>
      <c r="M165" s="454">
        <f>(M162-M161)/M161</f>
        <v>0.12101750673134344</v>
      </c>
      <c r="N165" s="455">
        <f>(N162-N161)/N161</f>
        <v>0.1103731684031381</v>
      </c>
      <c r="O165" s="438"/>
      <c r="P165" s="321"/>
      <c r="Q165" s="24"/>
      <c r="R165" s="322">
        <f>(R162-R161)/R161</f>
        <v>0.16864176783627424</v>
      </c>
      <c r="S165" s="322"/>
      <c r="T165" s="325"/>
      <c r="U165" s="321"/>
      <c r="V165" s="492"/>
      <c r="W165" s="195"/>
      <c r="X165" s="472"/>
      <c r="Y165" s="315"/>
      <c r="Z165" s="315"/>
      <c r="AA165" s="315"/>
      <c r="AB165" s="315"/>
    </row>
    <row r="166" spans="1:28" ht="13.3" thickBot="1" x14ac:dyDescent="0.25">
      <c r="A166" s="566">
        <v>41870</v>
      </c>
      <c r="B166" s="418" t="s">
        <v>10</v>
      </c>
      <c r="C166" s="403">
        <f>C163/C157-1</f>
        <v>4.7619047619047672E-2</v>
      </c>
      <c r="D166" s="25">
        <f>D163/D157-1</f>
        <v>4.3956043956044022E-2</v>
      </c>
      <c r="E166" s="25">
        <f>E163/E157-1</f>
        <v>4.3010752688172005E-2</v>
      </c>
      <c r="F166" s="25">
        <f>F163/F157-1</f>
        <v>4.0000000000000036E-2</v>
      </c>
      <c r="G166" s="25"/>
      <c r="H166" s="378"/>
      <c r="I166" s="25"/>
      <c r="J166" s="373">
        <f>J163/J157-1</f>
        <v>3.9603960396039639E-2</v>
      </c>
      <c r="K166" s="429">
        <f>K163/K157-1</f>
        <v>3.9603960396039639E-2</v>
      </c>
      <c r="L166" s="505"/>
      <c r="M166" s="458">
        <f>M163/M157-1</f>
        <v>3.8834951456310662E-2</v>
      </c>
      <c r="N166" s="79">
        <f>N163/N157-1</f>
        <v>3.8834951456310662E-2</v>
      </c>
      <c r="O166" s="441"/>
      <c r="P166" s="372"/>
      <c r="Q166" s="25"/>
      <c r="R166" s="370">
        <f>R163/R157-1</f>
        <v>4.31034482758621E-2</v>
      </c>
      <c r="S166" s="370"/>
      <c r="T166" s="373"/>
      <c r="U166" s="372"/>
      <c r="V166" s="493"/>
      <c r="W166" s="477"/>
      <c r="X166" s="474"/>
      <c r="Y166" s="345"/>
      <c r="Z166" s="345"/>
      <c r="AA166" s="345"/>
      <c r="AB166" s="345"/>
    </row>
    <row r="167" spans="1:28" ht="13.3" thickBot="1" x14ac:dyDescent="0.25">
      <c r="A167" s="566">
        <v>41891</v>
      </c>
      <c r="B167" s="417" t="s">
        <v>13</v>
      </c>
      <c r="C167" s="402">
        <v>9518300</v>
      </c>
      <c r="D167" s="159">
        <v>9796600</v>
      </c>
      <c r="E167" s="159">
        <v>9945500</v>
      </c>
      <c r="F167" s="159">
        <v>10731400</v>
      </c>
      <c r="G167" s="159"/>
      <c r="H167" s="376"/>
      <c r="I167" s="159">
        <v>7786800</v>
      </c>
      <c r="J167" s="87">
        <v>9790300</v>
      </c>
      <c r="K167" s="428">
        <v>9888800</v>
      </c>
      <c r="L167" s="504"/>
      <c r="M167" s="86">
        <v>9994200</v>
      </c>
      <c r="N167" s="457">
        <v>10090200</v>
      </c>
      <c r="O167" s="440">
        <v>10707100</v>
      </c>
      <c r="P167" s="369">
        <v>10816900</v>
      </c>
      <c r="Q167" s="159">
        <v>7891400</v>
      </c>
      <c r="R167" s="366">
        <v>10853600</v>
      </c>
      <c r="S167" s="366">
        <v>11892400</v>
      </c>
      <c r="T167" s="87">
        <v>10934400</v>
      </c>
      <c r="U167" s="369">
        <v>11041400</v>
      </c>
      <c r="V167" s="366"/>
      <c r="W167" s="366">
        <v>8950800</v>
      </c>
      <c r="X167" s="350"/>
      <c r="Y167" s="350"/>
      <c r="Z167" s="350"/>
      <c r="AA167" s="350"/>
      <c r="AB167" s="351"/>
    </row>
    <row r="168" spans="1:28" ht="13.3" thickBot="1" x14ac:dyDescent="0.25">
      <c r="A168" s="566">
        <v>41891</v>
      </c>
      <c r="B168" s="414" t="s">
        <v>12</v>
      </c>
      <c r="C168" s="38">
        <v>9912500</v>
      </c>
      <c r="D168" s="11">
        <v>10725000</v>
      </c>
      <c r="E168" s="11">
        <v>10941667</v>
      </c>
      <c r="F168" s="11">
        <v>11754167</v>
      </c>
      <c r="G168" s="11"/>
      <c r="H168" s="71"/>
      <c r="I168" s="11"/>
      <c r="J168" s="319">
        <v>10950000</v>
      </c>
      <c r="K168" s="425">
        <v>10950000</v>
      </c>
      <c r="L168" s="502"/>
      <c r="M168" s="30">
        <v>11150000</v>
      </c>
      <c r="N168" s="453">
        <v>11150000</v>
      </c>
      <c r="O168" s="437"/>
      <c r="P168" s="316"/>
      <c r="Q168" s="11"/>
      <c r="R168" s="191">
        <v>12600000</v>
      </c>
      <c r="S168" s="191"/>
      <c r="T168" s="319"/>
      <c r="U168" s="316"/>
      <c r="V168" s="191"/>
      <c r="W168" s="191"/>
      <c r="X168" s="315"/>
      <c r="Y168" s="315"/>
      <c r="Z168" s="315"/>
      <c r="AA168" s="315"/>
      <c r="AB168" s="352"/>
    </row>
    <row r="169" spans="1:28" ht="13.3" thickBot="1" x14ac:dyDescent="0.25">
      <c r="A169" s="566">
        <v>41891</v>
      </c>
      <c r="B169" s="414" t="s">
        <v>11</v>
      </c>
      <c r="C169" s="38">
        <v>9150</v>
      </c>
      <c r="D169" s="11">
        <v>9900</v>
      </c>
      <c r="E169" s="11">
        <v>10100</v>
      </c>
      <c r="F169" s="11">
        <v>10850</v>
      </c>
      <c r="G169" s="11"/>
      <c r="H169" s="71"/>
      <c r="I169" s="11"/>
      <c r="J169" s="319">
        <v>10950</v>
      </c>
      <c r="K169" s="425">
        <v>10950</v>
      </c>
      <c r="L169" s="502"/>
      <c r="M169" s="30">
        <v>11150</v>
      </c>
      <c r="N169" s="453">
        <v>11150</v>
      </c>
      <c r="O169" s="437"/>
      <c r="P169" s="316"/>
      <c r="Q169" s="11"/>
      <c r="R169" s="191">
        <v>12600</v>
      </c>
      <c r="S169" s="191"/>
      <c r="T169" s="319"/>
      <c r="U169" s="316"/>
      <c r="V169" s="191"/>
      <c r="W169" s="191"/>
      <c r="X169" s="315"/>
      <c r="Y169" s="315"/>
      <c r="Z169" s="315"/>
      <c r="AA169" s="315"/>
      <c r="AB169" s="352"/>
    </row>
    <row r="170" spans="1:28" ht="13.3" thickBot="1" x14ac:dyDescent="0.25">
      <c r="A170" s="566">
        <v>41891</v>
      </c>
      <c r="B170" s="415" t="s">
        <v>15</v>
      </c>
      <c r="C170" s="400">
        <f>(C168-C167)/C168</f>
        <v>3.9767969735182852E-2</v>
      </c>
      <c r="D170" s="24">
        <f>(D168-D167)/D168</f>
        <v>8.656410256410256E-2</v>
      </c>
      <c r="E170" s="24">
        <f>(E168-E167)/E168</f>
        <v>9.1043439724495356E-2</v>
      </c>
      <c r="F170" s="24">
        <f>(F168-F167)/F168</f>
        <v>8.7013141807496863E-2</v>
      </c>
      <c r="G170" s="24"/>
      <c r="H170" s="324"/>
      <c r="I170" s="24"/>
      <c r="J170" s="325">
        <f>(J168-J167)/J168</f>
        <v>0.10590867579908676</v>
      </c>
      <c r="K170" s="426">
        <f>(K168-K167)/K168</f>
        <v>9.6913242009132414E-2</v>
      </c>
      <c r="L170" s="194"/>
      <c r="M170" s="454">
        <f t="shared" ref="M170:R170" si="12">(M168-M167)/M168</f>
        <v>0.1036591928251121</v>
      </c>
      <c r="N170" s="455">
        <f t="shared" si="12"/>
        <v>9.5049327354260096E-2</v>
      </c>
      <c r="O170" s="438" t="e">
        <f t="shared" si="12"/>
        <v>#DIV/0!</v>
      </c>
      <c r="P170" s="321" t="e">
        <f t="shared" si="12"/>
        <v>#DIV/0!</v>
      </c>
      <c r="Q170" s="24" t="e">
        <f t="shared" si="12"/>
        <v>#DIV/0!</v>
      </c>
      <c r="R170" s="322">
        <f t="shared" si="12"/>
        <v>0.13860317460317462</v>
      </c>
      <c r="S170" s="322"/>
      <c r="T170" s="325"/>
      <c r="U170" s="321"/>
      <c r="V170" s="322"/>
      <c r="W170" s="322"/>
      <c r="X170" s="327">
        <v>0.115</v>
      </c>
      <c r="Y170" s="328">
        <v>0.08</v>
      </c>
      <c r="Z170" s="328">
        <v>0.05</v>
      </c>
      <c r="AA170" s="328">
        <v>0.03</v>
      </c>
      <c r="AB170" s="377">
        <v>1.4999999999999999E-2</v>
      </c>
    </row>
    <row r="171" spans="1:28" ht="13.3" thickBot="1" x14ac:dyDescent="0.25">
      <c r="A171" s="566">
        <v>41891</v>
      </c>
      <c r="B171" s="415" t="s">
        <v>16</v>
      </c>
      <c r="C171" s="400">
        <f>(C168-C167)/C167</f>
        <v>4.1414958553523215E-2</v>
      </c>
      <c r="D171" s="24">
        <f>(D168-D167)/D167</f>
        <v>9.4767572423085561E-2</v>
      </c>
      <c r="E171" s="24">
        <f>(E168-E167)/E167</f>
        <v>0.10016258609421347</v>
      </c>
      <c r="F171" s="24">
        <f>(F168-F167)/F167</f>
        <v>9.5306017854147648E-2</v>
      </c>
      <c r="G171" s="24"/>
      <c r="H171" s="324"/>
      <c r="I171" s="24"/>
      <c r="J171" s="325">
        <f>(J168-J167)/J167</f>
        <v>0.11845397995975608</v>
      </c>
      <c r="K171" s="426">
        <f>(K168-K167)/K167</f>
        <v>0.10731332416471159</v>
      </c>
      <c r="L171" s="194"/>
      <c r="M171" s="454">
        <f t="shared" ref="M171:R171" si="13">(M168-M167)/M167</f>
        <v>0.11564707530367613</v>
      </c>
      <c r="N171" s="455">
        <f t="shared" si="13"/>
        <v>0.10503260589482864</v>
      </c>
      <c r="O171" s="438">
        <f t="shared" si="13"/>
        <v>-1</v>
      </c>
      <c r="P171" s="321">
        <f t="shared" si="13"/>
        <v>-1</v>
      </c>
      <c r="Q171" s="24">
        <f t="shared" si="13"/>
        <v>-1</v>
      </c>
      <c r="R171" s="322">
        <f t="shared" si="13"/>
        <v>0.16090513746590993</v>
      </c>
      <c r="S171" s="322"/>
      <c r="T171" s="325"/>
      <c r="U171" s="321"/>
      <c r="V171" s="322"/>
      <c r="W171" s="322"/>
      <c r="X171" s="315"/>
      <c r="Y171" s="315"/>
      <c r="Z171" s="315"/>
      <c r="AA171" s="315"/>
      <c r="AB171" s="352"/>
    </row>
    <row r="172" spans="1:28" ht="13.3" thickBot="1" x14ac:dyDescent="0.25">
      <c r="A172" s="566">
        <v>41891</v>
      </c>
      <c r="B172" s="418" t="s">
        <v>10</v>
      </c>
      <c r="C172" s="403">
        <f>C169/C163-1</f>
        <v>3.9772727272727293E-2</v>
      </c>
      <c r="D172" s="25">
        <f>D169/D163-1</f>
        <v>4.2105263157894646E-2</v>
      </c>
      <c r="E172" s="25">
        <f>E169/E163-1</f>
        <v>4.1237113402061931E-2</v>
      </c>
      <c r="F172" s="25">
        <f>F169/F163-1</f>
        <v>4.3269230769230838E-2</v>
      </c>
      <c r="G172" s="25"/>
      <c r="H172" s="378"/>
      <c r="I172" s="25"/>
      <c r="J172" s="373">
        <f>J169/J163-1</f>
        <v>4.2857142857142927E-2</v>
      </c>
      <c r="K172" s="429">
        <f>K169/K163-1</f>
        <v>4.2857142857142927E-2</v>
      </c>
      <c r="L172" s="505"/>
      <c r="M172" s="458">
        <f>M169/M163-1</f>
        <v>4.20560747663552E-2</v>
      </c>
      <c r="N172" s="79">
        <f>N169/N163-1</f>
        <v>4.20560747663552E-2</v>
      </c>
      <c r="O172" s="441"/>
      <c r="P172" s="372"/>
      <c r="Q172" s="25"/>
      <c r="R172" s="370">
        <f>R169/R163-1</f>
        <v>4.1322314049586861E-2</v>
      </c>
      <c r="S172" s="370"/>
      <c r="T172" s="373"/>
      <c r="U172" s="372"/>
      <c r="V172" s="370"/>
      <c r="W172" s="370"/>
      <c r="X172" s="359"/>
      <c r="Y172" s="359"/>
      <c r="Z172" s="359"/>
      <c r="AA172" s="359"/>
      <c r="AB172" s="360"/>
    </row>
    <row r="173" spans="1:28" ht="13.3" thickBot="1" x14ac:dyDescent="0.25">
      <c r="A173" s="566">
        <v>41913</v>
      </c>
      <c r="B173" s="417" t="s">
        <v>13</v>
      </c>
      <c r="C173" s="402">
        <v>9951600</v>
      </c>
      <c r="D173" s="159">
        <v>10284100</v>
      </c>
      <c r="E173" s="159">
        <v>10487100</v>
      </c>
      <c r="F173" s="159">
        <v>11327100</v>
      </c>
      <c r="G173" s="159"/>
      <c r="H173" s="376"/>
      <c r="I173" s="159">
        <v>8237100</v>
      </c>
      <c r="J173" s="87">
        <v>10340300</v>
      </c>
      <c r="K173" s="428">
        <v>10444500</v>
      </c>
      <c r="L173" s="504"/>
      <c r="M173" s="86">
        <v>10544200</v>
      </c>
      <c r="N173" s="457">
        <v>10645600</v>
      </c>
      <c r="O173" s="440">
        <v>11320200</v>
      </c>
      <c r="P173" s="369">
        <v>11436400</v>
      </c>
      <c r="Q173" s="159">
        <v>8341600</v>
      </c>
      <c r="R173" s="366">
        <v>11453600</v>
      </c>
      <c r="S173" s="366">
        <v>12561200</v>
      </c>
      <c r="T173" s="87">
        <v>11547500</v>
      </c>
      <c r="U173" s="369">
        <v>11660500</v>
      </c>
      <c r="V173" s="366"/>
      <c r="W173" s="366">
        <v>8950800</v>
      </c>
      <c r="X173" s="350"/>
      <c r="Y173" s="350"/>
      <c r="Z173" s="350"/>
      <c r="AA173" s="350"/>
      <c r="AB173" s="351"/>
    </row>
    <row r="174" spans="1:28" ht="13.3" thickBot="1" x14ac:dyDescent="0.25">
      <c r="A174" s="566">
        <v>41913</v>
      </c>
      <c r="B174" s="414" t="s">
        <v>12</v>
      </c>
      <c r="C174" s="38">
        <v>10345833</v>
      </c>
      <c r="D174" s="11">
        <v>11212500</v>
      </c>
      <c r="E174" s="11">
        <v>11483333</v>
      </c>
      <c r="F174" s="11">
        <v>12350000</v>
      </c>
      <c r="G174" s="11"/>
      <c r="H174" s="71"/>
      <c r="I174" s="11"/>
      <c r="J174" s="319">
        <v>11500000</v>
      </c>
      <c r="K174" s="425">
        <v>11500000</v>
      </c>
      <c r="L174" s="502"/>
      <c r="M174" s="30">
        <v>11700000</v>
      </c>
      <c r="N174" s="453">
        <v>11700000</v>
      </c>
      <c r="O174" s="437"/>
      <c r="P174" s="316"/>
      <c r="Q174" s="11"/>
      <c r="R174" s="191">
        <v>13200000</v>
      </c>
      <c r="S174" s="191"/>
      <c r="T174" s="319"/>
      <c r="U174" s="316"/>
      <c r="V174" s="191"/>
      <c r="W174" s="191"/>
      <c r="X174" s="327">
        <v>0.115</v>
      </c>
      <c r="Y174" s="328">
        <v>0.08</v>
      </c>
      <c r="Z174" s="328">
        <v>0.05</v>
      </c>
      <c r="AA174" s="328">
        <v>0.03</v>
      </c>
      <c r="AB174" s="377">
        <v>1.4999999999999999E-2</v>
      </c>
    </row>
    <row r="175" spans="1:28" ht="13.3" thickBot="1" x14ac:dyDescent="0.25">
      <c r="A175" s="566">
        <v>41913</v>
      </c>
      <c r="B175" s="414" t="s">
        <v>11</v>
      </c>
      <c r="C175" s="38">
        <v>9550</v>
      </c>
      <c r="D175" s="11">
        <v>10350</v>
      </c>
      <c r="E175" s="11">
        <v>10600</v>
      </c>
      <c r="F175" s="11">
        <v>11400</v>
      </c>
      <c r="G175" s="11"/>
      <c r="H175" s="71"/>
      <c r="I175" s="11"/>
      <c r="J175" s="319">
        <v>11500</v>
      </c>
      <c r="K175" s="425">
        <v>11500</v>
      </c>
      <c r="L175" s="502"/>
      <c r="M175" s="30">
        <v>11700</v>
      </c>
      <c r="N175" s="453">
        <v>11700</v>
      </c>
      <c r="O175" s="437"/>
      <c r="P175" s="316"/>
      <c r="Q175" s="11"/>
      <c r="R175" s="191">
        <v>13200</v>
      </c>
      <c r="S175" s="191"/>
      <c r="T175" s="319"/>
      <c r="U175" s="316"/>
      <c r="V175" s="191"/>
      <c r="W175" s="191"/>
      <c r="X175" s="315"/>
      <c r="Y175" s="315"/>
      <c r="Z175" s="315"/>
      <c r="AA175" s="315"/>
      <c r="AB175" s="352"/>
    </row>
    <row r="176" spans="1:28" ht="13.3" thickBot="1" x14ac:dyDescent="0.25">
      <c r="A176" s="566">
        <v>41913</v>
      </c>
      <c r="B176" s="415" t="s">
        <v>15</v>
      </c>
      <c r="C176" s="400">
        <f>(C174-C173)/C174</f>
        <v>3.8105486527764368E-2</v>
      </c>
      <c r="D176" s="24">
        <f>(D174-D173)/D174</f>
        <v>8.280044593088072E-2</v>
      </c>
      <c r="E176" s="24">
        <f>(E174-E173)/E174</f>
        <v>8.6754690471834262E-2</v>
      </c>
      <c r="F176" s="24">
        <f>(F174-F173)/F174</f>
        <v>8.2825910931174085E-2</v>
      </c>
      <c r="G176" s="24"/>
      <c r="H176" s="324"/>
      <c r="I176" s="24"/>
      <c r="J176" s="325">
        <f>(J174-J173)/J174</f>
        <v>0.10084347826086956</v>
      </c>
      <c r="K176" s="426">
        <f>(K174-K173)/K174</f>
        <v>9.1782608695652176E-2</v>
      </c>
      <c r="L176" s="194"/>
      <c r="M176" s="454">
        <f>(M174-M173)/M174</f>
        <v>9.8786324786324792E-2</v>
      </c>
      <c r="N176" s="455">
        <f>(N174-N173)/N174</f>
        <v>9.0119658119658122E-2</v>
      </c>
      <c r="O176" s="438"/>
      <c r="P176" s="321"/>
      <c r="Q176" s="24"/>
      <c r="R176" s="322">
        <f>(R174-R173)/R174</f>
        <v>0.13230303030303031</v>
      </c>
      <c r="S176" s="322"/>
      <c r="T176" s="325"/>
      <c r="U176" s="321"/>
      <c r="V176" s="322"/>
      <c r="W176" s="322"/>
      <c r="X176" s="327"/>
      <c r="Y176" s="328"/>
      <c r="Z176" s="328"/>
      <c r="AA176" s="328"/>
      <c r="AB176" s="377"/>
    </row>
    <row r="177" spans="1:28" ht="13.3" thickBot="1" x14ac:dyDescent="0.25">
      <c r="A177" s="566">
        <v>41913</v>
      </c>
      <c r="B177" s="415" t="s">
        <v>16</v>
      </c>
      <c r="C177" s="400">
        <f>(C174-C173)/C173</f>
        <v>3.9615036778005548E-2</v>
      </c>
      <c r="D177" s="24">
        <f>(D174-D173)/D173</f>
        <v>9.027527931467022E-2</v>
      </c>
      <c r="E177" s="24">
        <f>(E174-E173)/E173</f>
        <v>9.4996042757292287E-2</v>
      </c>
      <c r="F177" s="24">
        <f>(F174-F173)/F173</f>
        <v>9.0305550405664292E-2</v>
      </c>
      <c r="G177" s="24"/>
      <c r="H177" s="324"/>
      <c r="I177" s="24"/>
      <c r="J177" s="325">
        <f>(J174-J173)/J173</f>
        <v>0.11215341914644643</v>
      </c>
      <c r="K177" s="426">
        <f>(K174-K173)/K173</f>
        <v>0.10105797309588779</v>
      </c>
      <c r="L177" s="194"/>
      <c r="M177" s="454">
        <f>(M174-M173)/M173</f>
        <v>0.10961476451508886</v>
      </c>
      <c r="N177" s="455">
        <f>(N174-N173)/N173</f>
        <v>9.9045615089802364E-2</v>
      </c>
      <c r="O177" s="438"/>
      <c r="P177" s="321"/>
      <c r="Q177" s="24"/>
      <c r="R177" s="322">
        <f>(R174-R173)/R173</f>
        <v>0.15247607739051477</v>
      </c>
      <c r="S177" s="322"/>
      <c r="T177" s="325"/>
      <c r="U177" s="321"/>
      <c r="V177" s="322"/>
      <c r="W177" s="322"/>
      <c r="X177" s="315"/>
      <c r="Y177" s="315"/>
      <c r="Z177" s="315"/>
      <c r="AA177" s="315"/>
      <c r="AB177" s="352"/>
    </row>
    <row r="178" spans="1:28" ht="13.3" thickBot="1" x14ac:dyDescent="0.25">
      <c r="A178" s="566">
        <v>41913</v>
      </c>
      <c r="B178" s="418" t="s">
        <v>10</v>
      </c>
      <c r="C178" s="403">
        <f>C175/C169-1</f>
        <v>4.3715846994535568E-2</v>
      </c>
      <c r="D178" s="25">
        <f>D175/D169-1</f>
        <v>4.5454545454545414E-2</v>
      </c>
      <c r="E178" s="25">
        <f>E175/E169-1</f>
        <v>4.9504950495049549E-2</v>
      </c>
      <c r="F178" s="25">
        <f>F175/F169-1</f>
        <v>5.0691244239631228E-2</v>
      </c>
      <c r="G178" s="25"/>
      <c r="H178" s="378"/>
      <c r="I178" s="25"/>
      <c r="J178" s="373">
        <f>J175/J169-1</f>
        <v>5.0228310502283158E-2</v>
      </c>
      <c r="K178" s="429">
        <f>K175/K169-1</f>
        <v>5.0228310502283158E-2</v>
      </c>
      <c r="L178" s="505"/>
      <c r="M178" s="458">
        <f>M175/M169-1</f>
        <v>4.9327354260089606E-2</v>
      </c>
      <c r="N178" s="79">
        <f>N175/N169-1</f>
        <v>4.9327354260089606E-2</v>
      </c>
      <c r="O178" s="441"/>
      <c r="P178" s="372"/>
      <c r="Q178" s="25"/>
      <c r="R178" s="370">
        <f>R175/R169-1</f>
        <v>4.7619047619047672E-2</v>
      </c>
      <c r="S178" s="370"/>
      <c r="T178" s="373"/>
      <c r="U178" s="372"/>
      <c r="V178" s="370"/>
      <c r="W178" s="370"/>
      <c r="X178" s="359"/>
      <c r="Y178" s="359"/>
      <c r="Z178" s="359"/>
      <c r="AA178" s="359"/>
      <c r="AB178" s="360"/>
    </row>
    <row r="179" spans="1:28" ht="13.3" thickBot="1" x14ac:dyDescent="0.25">
      <c r="A179" s="566">
        <v>42017</v>
      </c>
      <c r="B179" s="417" t="s">
        <v>13</v>
      </c>
      <c r="C179" s="402">
        <v>10420700</v>
      </c>
      <c r="D179" s="159">
        <v>10830700</v>
      </c>
      <c r="E179" s="159">
        <v>10981900</v>
      </c>
      <c r="F179" s="159">
        <v>11824200</v>
      </c>
      <c r="G179" s="159">
        <v>12600000</v>
      </c>
      <c r="H179" s="376"/>
      <c r="I179" s="159">
        <v>8679000</v>
      </c>
      <c r="J179" s="87">
        <v>10880000</v>
      </c>
      <c r="K179" s="428">
        <v>10989800</v>
      </c>
      <c r="L179" s="504"/>
      <c r="M179" s="86">
        <v>11085200</v>
      </c>
      <c r="N179" s="457">
        <v>11191900</v>
      </c>
      <c r="O179" s="440"/>
      <c r="P179" s="369"/>
      <c r="Q179" s="159">
        <v>9133100</v>
      </c>
      <c r="R179" s="366">
        <v>11974300</v>
      </c>
      <c r="S179" s="366">
        <v>13141600</v>
      </c>
      <c r="T179" s="87">
        <v>12150500</v>
      </c>
      <c r="U179" s="369">
        <v>12269500</v>
      </c>
      <c r="V179" s="366"/>
      <c r="W179" s="366">
        <v>8950800</v>
      </c>
      <c r="X179" s="350"/>
      <c r="Y179" s="350"/>
      <c r="Z179" s="350"/>
      <c r="AA179" s="350"/>
      <c r="AB179" s="351"/>
    </row>
    <row r="180" spans="1:28" ht="13.3" thickBot="1" x14ac:dyDescent="0.25">
      <c r="A180" s="566">
        <v>42017</v>
      </c>
      <c r="B180" s="414" t="s">
        <v>12</v>
      </c>
      <c r="C180" s="38">
        <v>10833333</v>
      </c>
      <c r="D180" s="11"/>
      <c r="E180" s="11">
        <v>12025000</v>
      </c>
      <c r="F180" s="11">
        <v>12891667</v>
      </c>
      <c r="G180" s="11">
        <v>15166667</v>
      </c>
      <c r="H180" s="71"/>
      <c r="I180" s="11"/>
      <c r="J180" s="319"/>
      <c r="K180" s="425"/>
      <c r="L180" s="502"/>
      <c r="M180" s="30">
        <v>12300000</v>
      </c>
      <c r="N180" s="453">
        <v>12300000</v>
      </c>
      <c r="O180" s="437"/>
      <c r="P180" s="316"/>
      <c r="Q180" s="11"/>
      <c r="R180" s="191">
        <v>13800000</v>
      </c>
      <c r="S180" s="191"/>
      <c r="T180" s="319"/>
      <c r="U180" s="316"/>
      <c r="V180" s="191"/>
      <c r="W180" s="191"/>
      <c r="X180" s="327">
        <v>0.115</v>
      </c>
      <c r="Y180" s="328">
        <v>0.08</v>
      </c>
      <c r="Z180" s="328">
        <v>0.05</v>
      </c>
      <c r="AA180" s="328">
        <v>0.03</v>
      </c>
      <c r="AB180" s="377">
        <v>1.4999999999999999E-2</v>
      </c>
    </row>
    <row r="181" spans="1:28" ht="13.3" thickBot="1" x14ac:dyDescent="0.25">
      <c r="A181" s="566">
        <v>42017</v>
      </c>
      <c r="B181" s="414" t="s">
        <v>11</v>
      </c>
      <c r="C181" s="38">
        <v>10000</v>
      </c>
      <c r="D181" s="11"/>
      <c r="E181" s="11">
        <v>11100</v>
      </c>
      <c r="F181" s="11">
        <v>11900</v>
      </c>
      <c r="G181" s="11">
        <v>13000</v>
      </c>
      <c r="H181" s="71"/>
      <c r="I181" s="11"/>
      <c r="J181" s="319"/>
      <c r="K181" s="425"/>
      <c r="L181" s="502"/>
      <c r="M181" s="30">
        <v>12300</v>
      </c>
      <c r="N181" s="453">
        <v>12300</v>
      </c>
      <c r="O181" s="437"/>
      <c r="P181" s="316"/>
      <c r="Q181" s="11"/>
      <c r="R181" s="191">
        <v>13800</v>
      </c>
      <c r="S181" s="191"/>
      <c r="T181" s="319"/>
      <c r="U181" s="316"/>
      <c r="V181" s="191"/>
      <c r="W181" s="191"/>
      <c r="X181" s="315"/>
      <c r="Y181" s="315"/>
      <c r="Z181" s="315"/>
      <c r="AA181" s="315"/>
      <c r="AB181" s="352"/>
    </row>
    <row r="182" spans="1:28" ht="13.3" thickBot="1" x14ac:dyDescent="0.25">
      <c r="A182" s="566">
        <v>42017</v>
      </c>
      <c r="B182" s="415" t="s">
        <v>15</v>
      </c>
      <c r="C182" s="400">
        <f>(C180-C179)/C180</f>
        <v>3.8089201171975423E-2</v>
      </c>
      <c r="D182" s="24"/>
      <c r="E182" s="24">
        <f>(E180-E179)/E180</f>
        <v>8.6744282744282739E-2</v>
      </c>
      <c r="F182" s="24">
        <f>(F180-F179)/F180</f>
        <v>8.2802867930113308E-2</v>
      </c>
      <c r="G182" s="24">
        <f>(G180-G179)/G180</f>
        <v>0.16923078748943324</v>
      </c>
      <c r="H182" s="324"/>
      <c r="I182" s="24"/>
      <c r="J182" s="325"/>
      <c r="K182" s="426"/>
      <c r="L182" s="194"/>
      <c r="M182" s="454">
        <f>(M180-M179)/M180</f>
        <v>9.8764227642276423E-2</v>
      </c>
      <c r="N182" s="455">
        <f>(N180-N179)/N180</f>
        <v>9.0089430894308944E-2</v>
      </c>
      <c r="O182" s="438"/>
      <c r="P182" s="321"/>
      <c r="Q182" s="24"/>
      <c r="R182" s="322">
        <f>(R180-R179)/R180</f>
        <v>0.13229710144927537</v>
      </c>
      <c r="S182" s="322"/>
      <c r="T182" s="325"/>
      <c r="U182" s="321"/>
      <c r="V182" s="322"/>
      <c r="W182" s="322"/>
      <c r="X182" s="327"/>
      <c r="Y182" s="328"/>
      <c r="Z182" s="328"/>
      <c r="AA182" s="328"/>
      <c r="AB182" s="377"/>
    </row>
    <row r="183" spans="1:28" ht="13.3" thickBot="1" x14ac:dyDescent="0.25">
      <c r="A183" s="566">
        <v>42017</v>
      </c>
      <c r="B183" s="415" t="s">
        <v>16</v>
      </c>
      <c r="C183" s="400">
        <f>(C180-C179)/C179</f>
        <v>3.9597435872830038E-2</v>
      </c>
      <c r="D183" s="24"/>
      <c r="E183" s="24">
        <f>(E180-E179)/E179</f>
        <v>9.4983563864176515E-2</v>
      </c>
      <c r="F183" s="24">
        <f>(F180-F179)/F179</f>
        <v>9.0278158353207821E-2</v>
      </c>
      <c r="G183" s="24">
        <f>(G180-G179)/G179</f>
        <v>0.20370373015873017</v>
      </c>
      <c r="H183" s="324"/>
      <c r="I183" s="24"/>
      <c r="J183" s="325"/>
      <c r="K183" s="426"/>
      <c r="L183" s="194"/>
      <c r="M183" s="454">
        <f>(M180-M179)/M179</f>
        <v>0.10958755818568902</v>
      </c>
      <c r="N183" s="455">
        <f>(N180-N179)/N179</f>
        <v>9.9009104799006431E-2</v>
      </c>
      <c r="O183" s="438"/>
      <c r="P183" s="321"/>
      <c r="Q183" s="24"/>
      <c r="R183" s="322">
        <f>(R180-R179)/R179</f>
        <v>0.15246820273418907</v>
      </c>
      <c r="S183" s="322"/>
      <c r="T183" s="325"/>
      <c r="U183" s="321"/>
      <c r="V183" s="322"/>
      <c r="W183" s="322"/>
      <c r="X183" s="315"/>
      <c r="Y183" s="315"/>
      <c r="Z183" s="315"/>
      <c r="AA183" s="315"/>
      <c r="AB183" s="352"/>
    </row>
    <row r="184" spans="1:28" ht="13.3" thickBot="1" x14ac:dyDescent="0.25">
      <c r="A184" s="566">
        <v>42017</v>
      </c>
      <c r="B184" s="418" t="s">
        <v>10</v>
      </c>
      <c r="C184" s="403">
        <f>C181/C175-1</f>
        <v>4.7120418848167533E-2</v>
      </c>
      <c r="D184" s="25"/>
      <c r="E184" s="25">
        <f>E181/E175-1</f>
        <v>4.7169811320754818E-2</v>
      </c>
      <c r="F184" s="25">
        <f>F181/F175-1</f>
        <v>4.3859649122806932E-2</v>
      </c>
      <c r="G184" s="25" t="e">
        <f>G181/G175-1</f>
        <v>#DIV/0!</v>
      </c>
      <c r="H184" s="378"/>
      <c r="I184" s="25"/>
      <c r="J184" s="373"/>
      <c r="K184" s="429"/>
      <c r="L184" s="505"/>
      <c r="M184" s="458">
        <f>M181/M175-1</f>
        <v>5.1282051282051322E-2</v>
      </c>
      <c r="N184" s="79">
        <f>N181/N175-1</f>
        <v>5.1282051282051322E-2</v>
      </c>
      <c r="O184" s="441"/>
      <c r="P184" s="372"/>
      <c r="Q184" s="25"/>
      <c r="R184" s="370">
        <f>R181/R175-1</f>
        <v>4.5454545454545414E-2</v>
      </c>
      <c r="S184" s="370"/>
      <c r="T184" s="373"/>
      <c r="U184" s="372"/>
      <c r="V184" s="370"/>
      <c r="W184" s="370"/>
      <c r="X184" s="359"/>
      <c r="Y184" s="359"/>
      <c r="Z184" s="359"/>
      <c r="AA184" s="359"/>
      <c r="AB184" s="360"/>
    </row>
    <row r="185" spans="1:28" ht="13.3" thickBot="1" x14ac:dyDescent="0.25">
      <c r="A185" s="565">
        <v>42552</v>
      </c>
      <c r="B185" s="419" t="s">
        <v>13</v>
      </c>
      <c r="C185" s="404">
        <v>1042.07</v>
      </c>
      <c r="D185" s="365">
        <v>1083.07</v>
      </c>
      <c r="E185" s="365">
        <v>1098.19</v>
      </c>
      <c r="F185" s="365">
        <v>1182.42</v>
      </c>
      <c r="G185" s="365">
        <v>1260</v>
      </c>
      <c r="H185" s="367"/>
      <c r="I185" s="365">
        <v>874.5</v>
      </c>
      <c r="J185" s="212">
        <v>1088</v>
      </c>
      <c r="K185" s="430">
        <v>1098.98</v>
      </c>
      <c r="L185" s="506"/>
      <c r="M185" s="211">
        <v>1108.52</v>
      </c>
      <c r="N185" s="459">
        <v>1119.19</v>
      </c>
      <c r="O185" s="440"/>
      <c r="P185" s="369"/>
      <c r="Q185" s="375">
        <v>930.76</v>
      </c>
      <c r="R185" s="365">
        <v>1197.43</v>
      </c>
      <c r="S185" s="365">
        <v>1314.16</v>
      </c>
      <c r="T185" s="212">
        <v>1215.05</v>
      </c>
      <c r="U185" s="368">
        <v>1226.95</v>
      </c>
      <c r="V185" s="365"/>
      <c r="W185" s="365">
        <v>895.08</v>
      </c>
      <c r="X185" s="350"/>
      <c r="Y185" s="350"/>
      <c r="Z185" s="350"/>
      <c r="AA185" s="350"/>
      <c r="AB185" s="351"/>
    </row>
    <row r="186" spans="1:28" ht="13.3" thickBot="1" x14ac:dyDescent="0.25">
      <c r="A186" s="565">
        <v>42552</v>
      </c>
      <c r="B186" s="415" t="s">
        <v>12</v>
      </c>
      <c r="C186" s="405">
        <v>1083.3333</v>
      </c>
      <c r="D186" s="191"/>
      <c r="E186" s="206">
        <v>1202.5</v>
      </c>
      <c r="F186" s="206">
        <v>1289.1667</v>
      </c>
      <c r="G186" s="206">
        <v>1516.6667</v>
      </c>
      <c r="H186" s="197"/>
      <c r="I186" s="191"/>
      <c r="J186" s="319"/>
      <c r="K186" s="425"/>
      <c r="L186" s="502"/>
      <c r="M186" s="460">
        <v>1230</v>
      </c>
      <c r="N186" s="461">
        <v>1230</v>
      </c>
      <c r="O186" s="437"/>
      <c r="P186" s="316"/>
      <c r="Q186" s="11"/>
      <c r="R186" s="206">
        <v>1380</v>
      </c>
      <c r="S186" s="191"/>
      <c r="T186" s="319"/>
      <c r="U186" s="316"/>
      <c r="V186" s="191"/>
      <c r="W186" s="191"/>
      <c r="X186" s="315"/>
      <c r="Y186" s="315"/>
      <c r="Z186" s="315"/>
      <c r="AA186" s="315"/>
      <c r="AB186" s="352"/>
    </row>
    <row r="187" spans="1:28" ht="13.3" thickBot="1" x14ac:dyDescent="0.25">
      <c r="A187" s="565">
        <v>42552</v>
      </c>
      <c r="B187" s="415" t="s">
        <v>11</v>
      </c>
      <c r="C187" s="405">
        <v>1</v>
      </c>
      <c r="D187" s="191"/>
      <c r="E187" s="206">
        <v>1.1100000000000001</v>
      </c>
      <c r="F187" s="206">
        <v>1.19</v>
      </c>
      <c r="G187" s="206">
        <v>1.4</v>
      </c>
      <c r="H187" s="197"/>
      <c r="I187" s="191"/>
      <c r="J187" s="319"/>
      <c r="K187" s="425"/>
      <c r="L187" s="502"/>
      <c r="M187" s="460">
        <v>1.23</v>
      </c>
      <c r="N187" s="461">
        <v>1.23</v>
      </c>
      <c r="O187" s="437"/>
      <c r="P187" s="316"/>
      <c r="Q187" s="11"/>
      <c r="R187" s="206">
        <v>1.38</v>
      </c>
      <c r="S187" s="191"/>
      <c r="T187" s="319"/>
      <c r="U187" s="316"/>
      <c r="V187" s="191"/>
      <c r="W187" s="191"/>
      <c r="X187" s="315"/>
      <c r="Y187" s="315"/>
      <c r="Z187" s="315"/>
      <c r="AA187" s="315"/>
      <c r="AB187" s="352"/>
    </row>
    <row r="188" spans="1:28" ht="13.3" thickBot="1" x14ac:dyDescent="0.25">
      <c r="A188" s="565">
        <v>42552</v>
      </c>
      <c r="B188" s="415" t="s">
        <v>15</v>
      </c>
      <c r="C188" s="406">
        <f>(C186-C185)/C186</f>
        <v>3.8089201171975486E-2</v>
      </c>
      <c r="D188" s="322"/>
      <c r="E188" s="322">
        <f>(E186-E185)/E186</f>
        <v>8.6744282744282697E-2</v>
      </c>
      <c r="F188" s="322">
        <f>(F186-F185)/F186</f>
        <v>8.2802867930113239E-2</v>
      </c>
      <c r="G188" s="322">
        <f>(G186-G185)/G186</f>
        <v>0.16923078748943324</v>
      </c>
      <c r="H188" s="329"/>
      <c r="I188" s="322"/>
      <c r="J188" s="325"/>
      <c r="K188" s="426"/>
      <c r="L188" s="194"/>
      <c r="M188" s="454">
        <f>(M186-M185)/M186</f>
        <v>9.8764227642276436E-2</v>
      </c>
      <c r="N188" s="455">
        <f>(N186-N185)/N186</f>
        <v>9.0089430894308903E-2</v>
      </c>
      <c r="O188" s="438"/>
      <c r="P188" s="321"/>
      <c r="Q188" s="24"/>
      <c r="R188" s="322">
        <f>(R186-R185)/R186</f>
        <v>0.13229710144927531</v>
      </c>
      <c r="S188" s="322"/>
      <c r="T188" s="325"/>
      <c r="U188" s="321"/>
      <c r="V188" s="322"/>
      <c r="W188" s="322"/>
      <c r="X188" s="315"/>
      <c r="Y188" s="315"/>
      <c r="Z188" s="315"/>
      <c r="AA188" s="315"/>
      <c r="AB188" s="352"/>
    </row>
    <row r="189" spans="1:28" ht="13.3" thickBot="1" x14ac:dyDescent="0.25">
      <c r="A189" s="565">
        <v>42552</v>
      </c>
      <c r="B189" s="415" t="s">
        <v>16</v>
      </c>
      <c r="C189" s="406">
        <f>(C186-C185)/C185</f>
        <v>3.9597435872830114E-2</v>
      </c>
      <c r="D189" s="322"/>
      <c r="E189" s="322">
        <f>(E186-E185)/E185</f>
        <v>9.498356386417646E-2</v>
      </c>
      <c r="F189" s="322">
        <f>(F186-F185)/F185</f>
        <v>9.0278158353207752E-2</v>
      </c>
      <c r="G189" s="322">
        <f>(G186-G185)/G185</f>
        <v>0.20370373015873014</v>
      </c>
      <c r="H189" s="329"/>
      <c r="I189" s="322"/>
      <c r="J189" s="325"/>
      <c r="K189" s="426"/>
      <c r="L189" s="194"/>
      <c r="M189" s="454">
        <f>(M186-M185)/M185</f>
        <v>0.10958755818568905</v>
      </c>
      <c r="N189" s="455">
        <f>(N186-N185)/N185</f>
        <v>9.9009104799006376E-2</v>
      </c>
      <c r="O189" s="438"/>
      <c r="P189" s="321"/>
      <c r="Q189" s="24"/>
      <c r="R189" s="322">
        <f>(R186-R185)/R185</f>
        <v>0.15246820273418898</v>
      </c>
      <c r="S189" s="322"/>
      <c r="T189" s="325"/>
      <c r="U189" s="321"/>
      <c r="V189" s="322"/>
      <c r="W189" s="322"/>
      <c r="X189" s="315"/>
      <c r="Y189" s="315"/>
      <c r="Z189" s="315"/>
      <c r="AA189" s="315"/>
      <c r="AB189" s="352"/>
    </row>
    <row r="190" spans="1:28" ht="13.3" thickBot="1" x14ac:dyDescent="0.25">
      <c r="A190" s="565">
        <v>42552</v>
      </c>
      <c r="B190" s="418" t="s">
        <v>10</v>
      </c>
      <c r="C190" s="407">
        <f>C187/C181-1</f>
        <v>-0.99990000000000001</v>
      </c>
      <c r="D190" s="370"/>
      <c r="E190" s="370">
        <f>E187/E181-1</f>
        <v>-0.99990000000000001</v>
      </c>
      <c r="F190" s="370">
        <f>F187/F181-1</f>
        <v>-0.99990000000000001</v>
      </c>
      <c r="G190" s="370">
        <f>G187/G181-1</f>
        <v>-0.99989230769230775</v>
      </c>
      <c r="H190" s="371"/>
      <c r="I190" s="370"/>
      <c r="J190" s="373"/>
      <c r="K190" s="429"/>
      <c r="L190" s="505"/>
      <c r="M190" s="458">
        <f>M187/M181-1</f>
        <v>-0.99990000000000001</v>
      </c>
      <c r="N190" s="79">
        <f>N187/N181-1</f>
        <v>-0.99990000000000001</v>
      </c>
      <c r="O190" s="441"/>
      <c r="P190" s="372"/>
      <c r="Q190" s="25"/>
      <c r="R190" s="370">
        <f>R187/R181-1</f>
        <v>-0.99990000000000001</v>
      </c>
      <c r="S190" s="370"/>
      <c r="T190" s="373"/>
      <c r="U190" s="372"/>
      <c r="V190" s="370"/>
      <c r="W190" s="370"/>
      <c r="X190" s="359"/>
      <c r="Y190" s="359"/>
      <c r="Z190" s="359"/>
      <c r="AA190" s="359"/>
      <c r="AB190" s="360"/>
    </row>
    <row r="191" spans="1:28" ht="13.3" thickBot="1" x14ac:dyDescent="0.25">
      <c r="A191" s="565">
        <v>42805</v>
      </c>
      <c r="B191" s="419" t="s">
        <v>13</v>
      </c>
      <c r="C191" s="404">
        <v>1052.21</v>
      </c>
      <c r="D191" s="366"/>
      <c r="E191" s="365">
        <v>1107.82</v>
      </c>
      <c r="F191" s="365">
        <v>1192.1199999999999</v>
      </c>
      <c r="G191" s="365">
        <v>1268.75</v>
      </c>
      <c r="H191" s="367"/>
      <c r="I191" s="366"/>
      <c r="J191" s="87"/>
      <c r="K191" s="428"/>
      <c r="L191" s="504"/>
      <c r="M191" s="211">
        <v>1117.27</v>
      </c>
      <c r="N191" s="459">
        <v>1128.03</v>
      </c>
      <c r="O191" s="440"/>
      <c r="P191" s="369"/>
      <c r="Q191" s="159"/>
      <c r="R191" s="365">
        <v>1205.8499999999999</v>
      </c>
      <c r="S191" s="365">
        <v>1324.54</v>
      </c>
      <c r="T191" s="87"/>
      <c r="U191" s="369"/>
      <c r="V191" s="366"/>
      <c r="W191" s="365">
        <v>902.28</v>
      </c>
      <c r="X191" s="350"/>
      <c r="Y191" s="350"/>
      <c r="Z191" s="350"/>
      <c r="AA191" s="350"/>
      <c r="AB191" s="351"/>
    </row>
    <row r="192" spans="1:28" ht="13.3" thickBot="1" x14ac:dyDescent="0.25">
      <c r="A192" s="565">
        <v>42805</v>
      </c>
      <c r="B192" s="415" t="s">
        <v>12</v>
      </c>
      <c r="C192" s="405">
        <v>1092</v>
      </c>
      <c r="D192" s="191"/>
      <c r="E192" s="206">
        <v>1209</v>
      </c>
      <c r="F192" s="206">
        <v>1300</v>
      </c>
      <c r="G192" s="206">
        <v>1521</v>
      </c>
      <c r="H192" s="197"/>
      <c r="I192" s="191"/>
      <c r="J192" s="319"/>
      <c r="K192" s="425"/>
      <c r="L192" s="502"/>
      <c r="M192" s="460">
        <v>1236</v>
      </c>
      <c r="N192" s="461">
        <v>1236</v>
      </c>
      <c r="O192" s="437"/>
      <c r="P192" s="316"/>
      <c r="Q192" s="11"/>
      <c r="R192" s="206">
        <v>1392</v>
      </c>
      <c r="S192" s="191"/>
      <c r="T192" s="319"/>
      <c r="U192" s="316"/>
      <c r="V192" s="191"/>
      <c r="W192" s="191"/>
      <c r="X192" s="315"/>
      <c r="Y192" s="315"/>
      <c r="Z192" s="315"/>
      <c r="AA192" s="315"/>
      <c r="AB192" s="352"/>
    </row>
    <row r="193" spans="1:28" ht="13.3" thickBot="1" x14ac:dyDescent="0.25">
      <c r="A193" s="565">
        <v>42805</v>
      </c>
      <c r="B193" s="415" t="s">
        <v>11</v>
      </c>
      <c r="C193" s="405">
        <v>1.01</v>
      </c>
      <c r="D193" s="191"/>
      <c r="E193" s="206">
        <v>1.1200000000000001</v>
      </c>
      <c r="F193" s="206">
        <v>1.2</v>
      </c>
      <c r="G193" s="206">
        <v>1.41</v>
      </c>
      <c r="H193" s="197"/>
      <c r="I193" s="191"/>
      <c r="J193" s="319"/>
      <c r="K193" s="425"/>
      <c r="L193" s="502"/>
      <c r="M193" s="460">
        <v>1.24</v>
      </c>
      <c r="N193" s="461">
        <v>1.24</v>
      </c>
      <c r="O193" s="437"/>
      <c r="P193" s="316"/>
      <c r="Q193" s="11"/>
      <c r="R193" s="206">
        <v>1.39</v>
      </c>
      <c r="S193" s="191"/>
      <c r="T193" s="319"/>
      <c r="U193" s="316"/>
      <c r="V193" s="191"/>
      <c r="W193" s="191"/>
      <c r="X193" s="315"/>
      <c r="Y193" s="315"/>
      <c r="Z193" s="315"/>
      <c r="AA193" s="315"/>
      <c r="AB193" s="352"/>
    </row>
    <row r="194" spans="1:28" ht="13.3" thickBot="1" x14ac:dyDescent="0.25">
      <c r="A194" s="565">
        <v>42805</v>
      </c>
      <c r="B194" s="415" t="s">
        <v>15</v>
      </c>
      <c r="C194" s="406">
        <f>(C192-C191)/C192</f>
        <v>3.6437728937728904E-2</v>
      </c>
      <c r="D194" s="322"/>
      <c r="E194" s="322">
        <f>(E192-E191)/E192</f>
        <v>8.368899917287019E-2</v>
      </c>
      <c r="F194" s="322">
        <f>(F192-F191)/F192</f>
        <v>8.2984615384615462E-2</v>
      </c>
      <c r="G194" s="322">
        <f>(G192-G191)/G192</f>
        <v>0.16584483892176199</v>
      </c>
      <c r="H194" s="329"/>
      <c r="I194" s="322"/>
      <c r="J194" s="325"/>
      <c r="K194" s="426"/>
      <c r="L194" s="194"/>
      <c r="M194" s="454">
        <f>(M192-M191)/M192</f>
        <v>9.6059870550161824E-2</v>
      </c>
      <c r="N194" s="455">
        <f>(N192-N191)/N192</f>
        <v>8.7354368932038851E-2</v>
      </c>
      <c r="O194" s="438"/>
      <c r="P194" s="321"/>
      <c r="Q194" s="24"/>
      <c r="R194" s="322">
        <f>(R192-R191)/R192</f>
        <v>0.13372844827586214</v>
      </c>
      <c r="S194" s="322"/>
      <c r="T194" s="325"/>
      <c r="U194" s="321"/>
      <c r="V194" s="322"/>
      <c r="W194" s="322"/>
      <c r="X194" s="315"/>
      <c r="Y194" s="315"/>
      <c r="Z194" s="315"/>
      <c r="AA194" s="315"/>
      <c r="AB194" s="352"/>
    </row>
    <row r="195" spans="1:28" ht="13.3" thickBot="1" x14ac:dyDescent="0.25">
      <c r="A195" s="565">
        <v>42805</v>
      </c>
      <c r="B195" s="415" t="s">
        <v>16</v>
      </c>
      <c r="C195" s="406">
        <f>(C192-C191)/C191</f>
        <v>3.7815645165888902E-2</v>
      </c>
      <c r="D195" s="322"/>
      <c r="E195" s="322">
        <f>(E192-E191)/E191</f>
        <v>9.1332526944810588E-2</v>
      </c>
      <c r="F195" s="322">
        <f>(F192-F191)/F191</f>
        <v>9.0494245545750529E-2</v>
      </c>
      <c r="G195" s="322">
        <f>(G192-G191)/G191</f>
        <v>0.19881773399014779</v>
      </c>
      <c r="H195" s="329"/>
      <c r="I195" s="322"/>
      <c r="J195" s="325"/>
      <c r="K195" s="426"/>
      <c r="L195" s="194"/>
      <c r="M195" s="454">
        <f>(M192-M191)/M191</f>
        <v>0.10626795671592365</v>
      </c>
      <c r="N195" s="455">
        <f>(N192-N191)/N191</f>
        <v>9.5715539480332998E-2</v>
      </c>
      <c r="O195" s="438"/>
      <c r="P195" s="321"/>
      <c r="Q195" s="24"/>
      <c r="R195" s="322">
        <f>(R192-R191)/R191</f>
        <v>0.15437243438238596</v>
      </c>
      <c r="S195" s="322"/>
      <c r="T195" s="325"/>
      <c r="U195" s="321"/>
      <c r="V195" s="322"/>
      <c r="W195" s="322"/>
      <c r="X195" s="315"/>
      <c r="Y195" s="315"/>
      <c r="Z195" s="315"/>
      <c r="AA195" s="315"/>
      <c r="AB195" s="352"/>
    </row>
    <row r="196" spans="1:28" ht="13.3" thickBot="1" x14ac:dyDescent="0.25">
      <c r="A196" s="565">
        <v>42805</v>
      </c>
      <c r="B196" s="418" t="s">
        <v>10</v>
      </c>
      <c r="C196" s="407">
        <f>C193/C187-1</f>
        <v>1.0000000000000009E-2</v>
      </c>
      <c r="D196" s="370"/>
      <c r="E196" s="370">
        <f>E193/E187-1</f>
        <v>9.009009009008917E-3</v>
      </c>
      <c r="F196" s="370">
        <f>F193/F187-1</f>
        <v>8.4033613445377853E-3</v>
      </c>
      <c r="G196" s="370">
        <f>G193/G187-1</f>
        <v>7.1428571428571175E-3</v>
      </c>
      <c r="H196" s="371"/>
      <c r="I196" s="370"/>
      <c r="J196" s="373"/>
      <c r="K196" s="429"/>
      <c r="L196" s="505"/>
      <c r="M196" s="458">
        <f>M193/M187-1</f>
        <v>8.1300813008129413E-3</v>
      </c>
      <c r="N196" s="79">
        <f>N193/N187-1</f>
        <v>8.1300813008129413E-3</v>
      </c>
      <c r="O196" s="441"/>
      <c r="P196" s="372"/>
      <c r="Q196" s="25"/>
      <c r="R196" s="370">
        <f>R193/R187-1</f>
        <v>7.2463768115942351E-3</v>
      </c>
      <c r="S196" s="370"/>
      <c r="T196" s="373"/>
      <c r="U196" s="372"/>
      <c r="V196" s="370"/>
      <c r="W196" s="370"/>
      <c r="X196" s="359"/>
      <c r="Y196" s="359"/>
      <c r="Z196" s="359"/>
      <c r="AA196" s="359"/>
      <c r="AB196" s="360"/>
    </row>
    <row r="197" spans="1:28" ht="13.3" thickBot="1" x14ac:dyDescent="0.25">
      <c r="A197" s="510">
        <v>42812</v>
      </c>
      <c r="B197" s="420" t="s">
        <v>13</v>
      </c>
      <c r="C197" s="408">
        <v>1062.3499999999999</v>
      </c>
      <c r="D197" s="347"/>
      <c r="E197" s="346">
        <v>1117.43</v>
      </c>
      <c r="F197" s="346">
        <v>1201.78</v>
      </c>
      <c r="G197" s="346">
        <v>1277.56</v>
      </c>
      <c r="H197" s="347"/>
      <c r="I197" s="347"/>
      <c r="J197" s="290"/>
      <c r="K197" s="431"/>
      <c r="L197" s="507"/>
      <c r="M197" s="256">
        <v>1126.0899999999999</v>
      </c>
      <c r="N197" s="462">
        <v>1136.94</v>
      </c>
      <c r="O197" s="442"/>
      <c r="P197" s="348"/>
      <c r="Q197" s="349"/>
      <c r="R197" s="346">
        <v>1214.33</v>
      </c>
      <c r="S197" s="346">
        <v>1336.6</v>
      </c>
      <c r="T197" s="290"/>
      <c r="U197" s="348"/>
      <c r="V197" s="347"/>
      <c r="W197" s="346">
        <v>909.54</v>
      </c>
      <c r="X197" s="350"/>
      <c r="Y197" s="350"/>
      <c r="Z197" s="350"/>
      <c r="AA197" s="350"/>
      <c r="AB197" s="351"/>
    </row>
    <row r="198" spans="1:28" ht="13.3" thickBot="1" x14ac:dyDescent="0.25">
      <c r="A198" s="510">
        <v>42812</v>
      </c>
      <c r="B198" s="421" t="s">
        <v>12</v>
      </c>
      <c r="C198" s="409">
        <v>1118</v>
      </c>
      <c r="D198" s="249"/>
      <c r="E198" s="250">
        <v>1222</v>
      </c>
      <c r="F198" s="250">
        <v>1313</v>
      </c>
      <c r="G198" s="250">
        <v>1534</v>
      </c>
      <c r="H198" s="249"/>
      <c r="I198" s="249"/>
      <c r="J198" s="330"/>
      <c r="K198" s="432"/>
      <c r="L198" s="508"/>
      <c r="M198" s="463">
        <v>1248</v>
      </c>
      <c r="N198" s="464">
        <v>1248</v>
      </c>
      <c r="O198" s="443"/>
      <c r="P198" s="334"/>
      <c r="Q198" s="335"/>
      <c r="R198" s="250">
        <v>1404</v>
      </c>
      <c r="S198" s="469"/>
      <c r="T198" s="333"/>
      <c r="U198" s="334"/>
      <c r="V198" s="469"/>
      <c r="W198" s="381"/>
      <c r="X198" s="315"/>
      <c r="Y198" s="315"/>
      <c r="Z198" s="315"/>
      <c r="AA198" s="315"/>
      <c r="AB198" s="352"/>
    </row>
    <row r="199" spans="1:28" ht="13.3" thickBot="1" x14ac:dyDescent="0.25">
      <c r="A199" s="510">
        <v>42812</v>
      </c>
      <c r="B199" s="421" t="s">
        <v>11</v>
      </c>
      <c r="C199" s="409">
        <v>1.02</v>
      </c>
      <c r="D199" s="249"/>
      <c r="E199" s="250">
        <v>1.1299999999999999</v>
      </c>
      <c r="F199" s="250">
        <v>1.21</v>
      </c>
      <c r="G199" s="250">
        <v>1.42</v>
      </c>
      <c r="H199" s="249"/>
      <c r="I199" s="249"/>
      <c r="J199" s="330"/>
      <c r="K199" s="432"/>
      <c r="L199" s="508"/>
      <c r="M199" s="463">
        <v>1.25</v>
      </c>
      <c r="N199" s="464">
        <v>1.25</v>
      </c>
      <c r="O199" s="443"/>
      <c r="P199" s="334"/>
      <c r="Q199" s="335"/>
      <c r="R199" s="250">
        <v>1.4</v>
      </c>
      <c r="S199" s="469"/>
      <c r="T199" s="333"/>
      <c r="U199" s="334"/>
      <c r="V199" s="469"/>
      <c r="W199" s="381"/>
      <c r="X199" s="315"/>
      <c r="Y199" s="315"/>
      <c r="Z199" s="315"/>
      <c r="AA199" s="315"/>
      <c r="AB199" s="352"/>
    </row>
    <row r="200" spans="1:28" ht="13.3" thickBot="1" x14ac:dyDescent="0.25">
      <c r="A200" s="510">
        <v>42812</v>
      </c>
      <c r="B200" s="421" t="s">
        <v>15</v>
      </c>
      <c r="C200" s="410">
        <f>(C198-C197)/C198</f>
        <v>4.9776386404293466E-2</v>
      </c>
      <c r="D200" s="336"/>
      <c r="E200" s="336">
        <f>(E198-E197)/E198</f>
        <v>8.5572831423895199E-2</v>
      </c>
      <c r="F200" s="336">
        <f>(F198-F197)/F198</f>
        <v>8.4706778370144731E-2</v>
      </c>
      <c r="G200" s="336">
        <f>(G198-G197)/G198</f>
        <v>0.16717079530638856</v>
      </c>
      <c r="H200" s="336"/>
      <c r="I200" s="336"/>
      <c r="J200" s="338"/>
      <c r="K200" s="433"/>
      <c r="L200" s="279"/>
      <c r="M200" s="465">
        <f>(M198-M197)/M198</f>
        <v>9.7684294871794933E-2</v>
      </c>
      <c r="N200" s="466">
        <f>(N198-N197)/N198</f>
        <v>8.8990384615384568E-2</v>
      </c>
      <c r="O200" s="444"/>
      <c r="P200" s="340"/>
      <c r="Q200" s="341"/>
      <c r="R200" s="336">
        <f>(R198-R197)/R198</f>
        <v>0.13509259259259265</v>
      </c>
      <c r="S200" s="470"/>
      <c r="T200" s="339"/>
      <c r="U200" s="340"/>
      <c r="V200" s="470"/>
      <c r="W200" s="381"/>
      <c r="X200" s="315"/>
      <c r="Y200" s="315"/>
      <c r="Z200" s="315"/>
      <c r="AA200" s="315"/>
      <c r="AB200" s="352"/>
    </row>
    <row r="201" spans="1:28" ht="13.3" thickBot="1" x14ac:dyDescent="0.25">
      <c r="A201" s="510">
        <v>42812</v>
      </c>
      <c r="B201" s="421" t="s">
        <v>16</v>
      </c>
      <c r="C201" s="410">
        <f>(C198-C197)/C197</f>
        <v>5.2383865957547036E-2</v>
      </c>
      <c r="D201" s="336"/>
      <c r="E201" s="336">
        <f>(E198-E197)/E197</f>
        <v>9.3580805956525182E-2</v>
      </c>
      <c r="F201" s="336">
        <f>(F198-F197)/F197</f>
        <v>9.2546056682587516E-2</v>
      </c>
      <c r="G201" s="336">
        <f>(G198-G197)/G197</f>
        <v>0.20072638467077872</v>
      </c>
      <c r="H201" s="336"/>
      <c r="I201" s="336"/>
      <c r="J201" s="338"/>
      <c r="K201" s="433"/>
      <c r="L201" s="279"/>
      <c r="M201" s="465">
        <f>(M198-M197)/M197</f>
        <v>0.10825955296645924</v>
      </c>
      <c r="N201" s="466">
        <f>(N198-N197)/N197</f>
        <v>9.7683255053037044E-2</v>
      </c>
      <c r="O201" s="444"/>
      <c r="P201" s="340"/>
      <c r="Q201" s="341"/>
      <c r="R201" s="336">
        <f>(R198-R197)/R197</f>
        <v>0.15619312707418914</v>
      </c>
      <c r="S201" s="470"/>
      <c r="T201" s="339"/>
      <c r="U201" s="340"/>
      <c r="V201" s="470"/>
      <c r="W201" s="381"/>
      <c r="X201" s="315"/>
      <c r="Y201" s="315"/>
      <c r="Z201" s="315"/>
      <c r="AA201" s="315"/>
      <c r="AB201" s="352"/>
    </row>
    <row r="202" spans="1:28" ht="13.3" thickBot="1" x14ac:dyDescent="0.25">
      <c r="A202" s="510">
        <v>42812</v>
      </c>
      <c r="B202" s="422" t="s">
        <v>10</v>
      </c>
      <c r="C202" s="411">
        <f>C199/C193-1</f>
        <v>9.9009900990099098E-3</v>
      </c>
      <c r="D202" s="353"/>
      <c r="E202" s="353">
        <f>E199/E193-1</f>
        <v>8.9285714285711748E-3</v>
      </c>
      <c r="F202" s="353">
        <f>F199/F193-1</f>
        <v>8.3333333333333037E-3</v>
      </c>
      <c r="G202" s="353">
        <f>G199/G193-1</f>
        <v>7.0921985815601829E-3</v>
      </c>
      <c r="H202" s="353"/>
      <c r="I202" s="353"/>
      <c r="J202" s="355"/>
      <c r="K202" s="434"/>
      <c r="L202" s="509"/>
      <c r="M202" s="467">
        <f>M199/M193-1</f>
        <v>8.0645161290322509E-3</v>
      </c>
      <c r="N202" s="292">
        <f>N199/N193-1</f>
        <v>8.0645161290322509E-3</v>
      </c>
      <c r="O202" s="445"/>
      <c r="P202" s="357"/>
      <c r="Q202" s="358"/>
      <c r="R202" s="353">
        <f>R199/R193-1</f>
        <v>7.194244604316502E-3</v>
      </c>
      <c r="S202" s="471"/>
      <c r="T202" s="356"/>
      <c r="U202" s="357"/>
      <c r="V202" s="471"/>
      <c r="W202" s="382"/>
      <c r="X202" s="359"/>
      <c r="Y202" s="359"/>
      <c r="Z202" s="359"/>
      <c r="AA202" s="359"/>
      <c r="AB202" s="360"/>
    </row>
    <row r="203" spans="1:28" ht="13.3" thickBot="1" x14ac:dyDescent="0.25">
      <c r="A203" s="510">
        <v>42826</v>
      </c>
      <c r="B203" s="420" t="s">
        <v>13</v>
      </c>
      <c r="C203" s="408">
        <v>1072.49</v>
      </c>
      <c r="D203" s="347"/>
      <c r="E203" s="346">
        <v>1127.07</v>
      </c>
      <c r="F203" s="346">
        <v>1211.48</v>
      </c>
      <c r="G203" s="346">
        <v>1286.3599999999999</v>
      </c>
      <c r="H203" s="347"/>
      <c r="I203" s="347"/>
      <c r="J203" s="290"/>
      <c r="K203" s="431"/>
      <c r="L203" s="507"/>
      <c r="M203" s="256">
        <v>1134.8699999999999</v>
      </c>
      <c r="N203" s="462">
        <v>1145.81</v>
      </c>
      <c r="O203" s="442"/>
      <c r="P203" s="348"/>
      <c r="Q203" s="349"/>
      <c r="R203" s="346">
        <v>1222.8</v>
      </c>
      <c r="S203" s="346">
        <v>1346.04</v>
      </c>
      <c r="T203" s="290"/>
      <c r="U203" s="348"/>
      <c r="V203" s="347"/>
      <c r="W203" s="346">
        <v>916.75</v>
      </c>
      <c r="X203" s="350"/>
      <c r="Y203" s="350"/>
      <c r="Z203" s="350"/>
      <c r="AA203" s="350"/>
      <c r="AB203" s="351"/>
    </row>
    <row r="204" spans="1:28" ht="13.3" thickBot="1" x14ac:dyDescent="0.25">
      <c r="A204" s="510">
        <v>42826</v>
      </c>
      <c r="B204" s="421" t="s">
        <v>12</v>
      </c>
      <c r="C204" s="409">
        <v>1118</v>
      </c>
      <c r="D204" s="249"/>
      <c r="E204" s="250">
        <v>1235</v>
      </c>
      <c r="F204" s="250">
        <v>1326</v>
      </c>
      <c r="G204" s="250">
        <v>1547</v>
      </c>
      <c r="H204" s="249"/>
      <c r="I204" s="249"/>
      <c r="J204" s="330"/>
      <c r="K204" s="432"/>
      <c r="L204" s="508"/>
      <c r="M204" s="463">
        <v>1260</v>
      </c>
      <c r="N204" s="464">
        <v>1260</v>
      </c>
      <c r="O204" s="446"/>
      <c r="P204" s="331"/>
      <c r="Q204" s="332"/>
      <c r="R204" s="250">
        <v>1404</v>
      </c>
      <c r="S204" s="249"/>
      <c r="T204" s="330"/>
      <c r="U204" s="331"/>
      <c r="V204" s="249"/>
      <c r="W204" s="315"/>
      <c r="X204" s="315"/>
      <c r="Y204" s="315"/>
      <c r="Z204" s="315"/>
      <c r="AA204" s="315"/>
      <c r="AB204" s="352"/>
    </row>
    <row r="205" spans="1:28" ht="13.3" thickBot="1" x14ac:dyDescent="0.25">
      <c r="A205" s="510">
        <v>42826</v>
      </c>
      <c r="B205" s="421" t="s">
        <v>11</v>
      </c>
      <c r="C205" s="409">
        <v>1.03</v>
      </c>
      <c r="D205" s="249"/>
      <c r="E205" s="250">
        <v>1.1399999999999999</v>
      </c>
      <c r="F205" s="250">
        <v>1.22</v>
      </c>
      <c r="G205" s="250">
        <v>1.43</v>
      </c>
      <c r="H205" s="249"/>
      <c r="I205" s="249"/>
      <c r="J205" s="330"/>
      <c r="K205" s="432"/>
      <c r="L205" s="508"/>
      <c r="M205" s="463">
        <v>1.26</v>
      </c>
      <c r="N205" s="464">
        <v>1.26</v>
      </c>
      <c r="O205" s="446"/>
      <c r="P205" s="331"/>
      <c r="Q205" s="332"/>
      <c r="R205" s="250">
        <v>1.41</v>
      </c>
      <c r="S205" s="249"/>
      <c r="T205" s="330"/>
      <c r="U205" s="331"/>
      <c r="V205" s="249"/>
      <c r="W205" s="315"/>
      <c r="X205" s="315"/>
      <c r="Y205" s="315"/>
      <c r="Z205" s="315"/>
      <c r="AA205" s="315"/>
      <c r="AB205" s="352"/>
    </row>
    <row r="206" spans="1:28" ht="13.3" thickBot="1" x14ac:dyDescent="0.25">
      <c r="A206" s="510">
        <v>42826</v>
      </c>
      <c r="B206" s="421" t="s">
        <v>15</v>
      </c>
      <c r="C206" s="410">
        <f>(C204-C203)/C204</f>
        <v>4.0706618962432911E-2</v>
      </c>
      <c r="D206" s="336"/>
      <c r="E206" s="336">
        <f>(E204-E203)/E204</f>
        <v>8.7392712550607335E-2</v>
      </c>
      <c r="F206" s="336">
        <f>(F204-F203)/F204</f>
        <v>8.636500754147812E-2</v>
      </c>
      <c r="G206" s="336">
        <f>(G204-G203)/G204</f>
        <v>0.16848093083387208</v>
      </c>
      <c r="H206" s="336"/>
      <c r="I206" s="336"/>
      <c r="J206" s="338"/>
      <c r="K206" s="433"/>
      <c r="L206" s="279"/>
      <c r="M206" s="465">
        <f>(M204-M203)/M204</f>
        <v>9.9309523809523903E-2</v>
      </c>
      <c r="N206" s="466">
        <f>(N204-N203)/N204</f>
        <v>9.0626984126984167E-2</v>
      </c>
      <c r="O206" s="447"/>
      <c r="P206" s="337"/>
      <c r="Q206" s="342"/>
      <c r="R206" s="336">
        <f>(R204-R203)/R204</f>
        <v>0.1290598290598291</v>
      </c>
      <c r="S206" s="336"/>
      <c r="T206" s="338"/>
      <c r="U206" s="337"/>
      <c r="V206" s="336"/>
      <c r="W206" s="315"/>
      <c r="X206" s="315"/>
      <c r="Y206" s="315"/>
      <c r="Z206" s="315"/>
      <c r="AA206" s="315"/>
      <c r="AB206" s="352"/>
    </row>
    <row r="207" spans="1:28" ht="13.3" thickBot="1" x14ac:dyDescent="0.25">
      <c r="A207" s="510">
        <v>42826</v>
      </c>
      <c r="B207" s="421" t="s">
        <v>16</v>
      </c>
      <c r="C207" s="410">
        <f>(C204-C203)/C203</f>
        <v>4.2433962088224593E-2</v>
      </c>
      <c r="D207" s="336"/>
      <c r="E207" s="336">
        <f>(E204-E203)/E203</f>
        <v>9.5761576477060045E-2</v>
      </c>
      <c r="F207" s="336">
        <f>(F204-F203)/F203</f>
        <v>9.4529005844091504E-2</v>
      </c>
      <c r="G207" s="336">
        <f>(G204-G203)/G203</f>
        <v>0.2026182406169347</v>
      </c>
      <c r="H207" s="336"/>
      <c r="I207" s="336"/>
      <c r="J207" s="338"/>
      <c r="K207" s="433"/>
      <c r="L207" s="279"/>
      <c r="M207" s="465">
        <f>(M204-M203)/M203</f>
        <v>0.11025932485659161</v>
      </c>
      <c r="N207" s="466">
        <f>(N204-N203)/N203</f>
        <v>9.9658756687408964E-2</v>
      </c>
      <c r="O207" s="447"/>
      <c r="P207" s="337"/>
      <c r="Q207" s="342"/>
      <c r="R207" s="336">
        <f>(R204-R203)/R203</f>
        <v>0.14818449460255156</v>
      </c>
      <c r="S207" s="336"/>
      <c r="T207" s="338"/>
      <c r="U207" s="337"/>
      <c r="V207" s="336"/>
      <c r="W207" s="315"/>
      <c r="X207" s="315"/>
      <c r="Y207" s="315"/>
      <c r="Z207" s="315"/>
      <c r="AA207" s="315"/>
      <c r="AB207" s="352"/>
    </row>
    <row r="208" spans="1:28" ht="13.3" thickBot="1" x14ac:dyDescent="0.25">
      <c r="A208" s="510">
        <v>42826</v>
      </c>
      <c r="B208" s="422" t="s">
        <v>10</v>
      </c>
      <c r="C208" s="411">
        <f>C205/C199-1</f>
        <v>9.8039215686274161E-3</v>
      </c>
      <c r="D208" s="353"/>
      <c r="E208" s="353">
        <f>E205/E199-1</f>
        <v>8.8495575221239076E-3</v>
      </c>
      <c r="F208" s="353">
        <f>F205/F199-1</f>
        <v>8.2644628099173278E-3</v>
      </c>
      <c r="G208" s="353">
        <f>G205/G199-1</f>
        <v>7.0422535211267512E-3</v>
      </c>
      <c r="H208" s="353"/>
      <c r="I208" s="353"/>
      <c r="J208" s="355"/>
      <c r="K208" s="434"/>
      <c r="L208" s="509"/>
      <c r="M208" s="467">
        <f>M205/M199-1</f>
        <v>8.0000000000000071E-3</v>
      </c>
      <c r="N208" s="292">
        <f>N205/N199-1</f>
        <v>8.0000000000000071E-3</v>
      </c>
      <c r="O208" s="448"/>
      <c r="P208" s="354"/>
      <c r="Q208" s="361"/>
      <c r="R208" s="353">
        <f>R205/R199-1</f>
        <v>7.1428571428571175E-3</v>
      </c>
      <c r="S208" s="353"/>
      <c r="T208" s="355"/>
      <c r="U208" s="354"/>
      <c r="V208" s="353"/>
      <c r="W208" s="359"/>
      <c r="X208" s="359"/>
      <c r="Y208" s="359"/>
      <c r="Z208" s="359"/>
      <c r="AA208" s="359"/>
      <c r="AB208" s="360"/>
    </row>
    <row r="209" spans="1:28" ht="13.3" thickBot="1" x14ac:dyDescent="0.25">
      <c r="A209" s="510">
        <v>42833</v>
      </c>
      <c r="B209" s="420" t="s">
        <v>13</v>
      </c>
      <c r="C209" s="408">
        <v>1082.6300000000001</v>
      </c>
      <c r="D209" s="347"/>
      <c r="E209" s="346">
        <v>1136.71</v>
      </c>
      <c r="F209" s="346">
        <v>1221.18</v>
      </c>
      <c r="G209" s="346">
        <v>1295.1600000000001</v>
      </c>
      <c r="H209" s="347"/>
      <c r="I209" s="347"/>
      <c r="J209" s="290"/>
      <c r="K209" s="431"/>
      <c r="L209" s="507"/>
      <c r="M209" s="256">
        <v>1143.6500000000001</v>
      </c>
      <c r="N209" s="462">
        <v>1154.68</v>
      </c>
      <c r="O209" s="442"/>
      <c r="P209" s="348"/>
      <c r="Q209" s="349"/>
      <c r="R209" s="346">
        <v>1231.27</v>
      </c>
      <c r="S209" s="346">
        <v>1355.48</v>
      </c>
      <c r="T209" s="290"/>
      <c r="U209" s="348"/>
      <c r="V209" s="347"/>
      <c r="W209" s="346">
        <v>923.96</v>
      </c>
      <c r="X209" s="350"/>
      <c r="Y209" s="350"/>
      <c r="Z209" s="350"/>
      <c r="AA209" s="350"/>
      <c r="AB209" s="351"/>
    </row>
    <row r="210" spans="1:28" ht="13.3" thickBot="1" x14ac:dyDescent="0.25">
      <c r="A210" s="510">
        <v>42833</v>
      </c>
      <c r="B210" s="421" t="s">
        <v>12</v>
      </c>
      <c r="C210" s="409">
        <v>1131</v>
      </c>
      <c r="D210" s="249"/>
      <c r="E210" s="250">
        <v>1248</v>
      </c>
      <c r="F210" s="250">
        <v>1326</v>
      </c>
      <c r="G210" s="250">
        <v>1560</v>
      </c>
      <c r="H210" s="249"/>
      <c r="I210" s="249"/>
      <c r="J210" s="330"/>
      <c r="K210" s="432"/>
      <c r="L210" s="508"/>
      <c r="M210" s="463">
        <v>1272</v>
      </c>
      <c r="N210" s="464">
        <v>1272</v>
      </c>
      <c r="O210" s="443"/>
      <c r="P210" s="334"/>
      <c r="Q210" s="335"/>
      <c r="R210" s="250">
        <v>1416</v>
      </c>
      <c r="S210" s="469"/>
      <c r="T210" s="333"/>
      <c r="U210" s="334"/>
      <c r="V210" s="469"/>
      <c r="W210" s="381"/>
      <c r="X210" s="315"/>
      <c r="Y210" s="315"/>
      <c r="Z210" s="315"/>
      <c r="AA210" s="315"/>
      <c r="AB210" s="352"/>
    </row>
    <row r="211" spans="1:28" ht="13.3" thickBot="1" x14ac:dyDescent="0.25">
      <c r="A211" s="510">
        <v>42833</v>
      </c>
      <c r="B211" s="421" t="s">
        <v>11</v>
      </c>
      <c r="C211" s="409">
        <v>1.04</v>
      </c>
      <c r="D211" s="249"/>
      <c r="E211" s="250">
        <v>1.1499999999999999</v>
      </c>
      <c r="F211" s="250">
        <v>1.23</v>
      </c>
      <c r="G211" s="250">
        <v>1.44</v>
      </c>
      <c r="H211" s="249"/>
      <c r="I211" s="249"/>
      <c r="J211" s="330"/>
      <c r="K211" s="432"/>
      <c r="L211" s="508"/>
      <c r="M211" s="463">
        <v>1.27</v>
      </c>
      <c r="N211" s="464">
        <v>1.27</v>
      </c>
      <c r="O211" s="443"/>
      <c r="P211" s="334"/>
      <c r="Q211" s="335"/>
      <c r="R211" s="250">
        <v>1.42</v>
      </c>
      <c r="S211" s="469"/>
      <c r="T211" s="333"/>
      <c r="U211" s="334"/>
      <c r="V211" s="469"/>
      <c r="W211" s="381"/>
      <c r="X211" s="315"/>
      <c r="Y211" s="315"/>
      <c r="Z211" s="315"/>
      <c r="AA211" s="315"/>
      <c r="AB211" s="352"/>
    </row>
    <row r="212" spans="1:28" ht="13.3" thickBot="1" x14ac:dyDescent="0.25">
      <c r="A212" s="510">
        <v>42833</v>
      </c>
      <c r="B212" s="421" t="s">
        <v>15</v>
      </c>
      <c r="C212" s="410">
        <f>(C210-C209)/C210</f>
        <v>4.2767462422634739E-2</v>
      </c>
      <c r="D212" s="336"/>
      <c r="E212" s="336">
        <f>(E210-E209)/E210</f>
        <v>8.9174679487179456E-2</v>
      </c>
      <c r="F212" s="336">
        <f>(F210-F209)/F210</f>
        <v>7.9049773755656055E-2</v>
      </c>
      <c r="G212" s="336">
        <f>(G210-G209)/G210</f>
        <v>0.16976923076923073</v>
      </c>
      <c r="H212" s="336"/>
      <c r="I212" s="336"/>
      <c r="J212" s="338"/>
      <c r="K212" s="433"/>
      <c r="L212" s="279"/>
      <c r="M212" s="465">
        <f>(M210-M209)/M210</f>
        <v>0.10090408805031439</v>
      </c>
      <c r="N212" s="466">
        <f>(N210-N209)/N210</f>
        <v>9.2232704402515672E-2</v>
      </c>
      <c r="O212" s="444"/>
      <c r="P212" s="340"/>
      <c r="Q212" s="341"/>
      <c r="R212" s="336">
        <f>(R210-R209)/R210</f>
        <v>0.1304590395480226</v>
      </c>
      <c r="S212" s="470"/>
      <c r="T212" s="339"/>
      <c r="U212" s="340"/>
      <c r="V212" s="470"/>
      <c r="W212" s="315"/>
      <c r="X212" s="315"/>
      <c r="Y212" s="315"/>
      <c r="Z212" s="315"/>
      <c r="AA212" s="315"/>
      <c r="AB212" s="352"/>
    </row>
    <row r="213" spans="1:28" ht="13.3" thickBot="1" x14ac:dyDescent="0.25">
      <c r="A213" s="510">
        <v>42833</v>
      </c>
      <c r="B213" s="421" t="s">
        <v>16</v>
      </c>
      <c r="C213" s="410">
        <f>(C210-C209)/C209</f>
        <v>4.4678237255571976E-2</v>
      </c>
      <c r="D213" s="336"/>
      <c r="E213" s="336">
        <f>(E210-E209)/E209</f>
        <v>9.7905358446745402E-2</v>
      </c>
      <c r="F213" s="336">
        <f>(F210-F209)/F209</f>
        <v>8.5835012037537406E-2</v>
      </c>
      <c r="G213" s="336">
        <f>(G210-G209)/G209</f>
        <v>0.20448438802927815</v>
      </c>
      <c r="H213" s="336"/>
      <c r="I213" s="336"/>
      <c r="J213" s="338"/>
      <c r="K213" s="433"/>
      <c r="L213" s="279"/>
      <c r="M213" s="465">
        <f>(M210-M209)/M209</f>
        <v>0.11222839155335977</v>
      </c>
      <c r="N213" s="466">
        <f>(N210-N209)/N209</f>
        <v>0.10160390757612493</v>
      </c>
      <c r="O213" s="444"/>
      <c r="P213" s="340"/>
      <c r="Q213" s="341"/>
      <c r="R213" s="336">
        <f>(R210-R209)/R209</f>
        <v>0.15003208069716636</v>
      </c>
      <c r="S213" s="470"/>
      <c r="T213" s="339"/>
      <c r="U213" s="340"/>
      <c r="V213" s="470"/>
      <c r="W213" s="315"/>
      <c r="X213" s="315"/>
      <c r="Y213" s="315"/>
      <c r="Z213" s="315"/>
      <c r="AA213" s="315"/>
      <c r="AB213" s="352"/>
    </row>
    <row r="214" spans="1:28" ht="13.3" thickBot="1" x14ac:dyDescent="0.25">
      <c r="A214" s="510">
        <v>42833</v>
      </c>
      <c r="B214" s="422" t="s">
        <v>10</v>
      </c>
      <c r="C214" s="411">
        <f>C211/C205-1</f>
        <v>9.7087378640776656E-3</v>
      </c>
      <c r="D214" s="353"/>
      <c r="E214" s="353">
        <f>E211/E205-1</f>
        <v>8.7719298245614308E-3</v>
      </c>
      <c r="F214" s="353">
        <f>F211/F205-1</f>
        <v>8.1967213114753079E-3</v>
      </c>
      <c r="G214" s="353">
        <f>G211/G205-1</f>
        <v>6.9930069930070893E-3</v>
      </c>
      <c r="H214" s="353"/>
      <c r="I214" s="353"/>
      <c r="J214" s="355"/>
      <c r="K214" s="434"/>
      <c r="L214" s="509"/>
      <c r="M214" s="467">
        <f>M211/M205-1</f>
        <v>7.9365079365079083E-3</v>
      </c>
      <c r="N214" s="292">
        <f>N211/N205-1</f>
        <v>7.9365079365079083E-3</v>
      </c>
      <c r="O214" s="445"/>
      <c r="P214" s="357"/>
      <c r="Q214" s="358"/>
      <c r="R214" s="353">
        <f>R211/R205-1</f>
        <v>7.0921985815601829E-3</v>
      </c>
      <c r="S214" s="471"/>
      <c r="T214" s="356"/>
      <c r="U214" s="357"/>
      <c r="V214" s="471"/>
      <c r="W214" s="359"/>
      <c r="X214" s="359"/>
      <c r="Y214" s="359"/>
      <c r="Z214" s="359"/>
      <c r="AA214" s="359"/>
      <c r="AB214" s="360"/>
    </row>
    <row r="215" spans="1:28" ht="13.3" thickBot="1" x14ac:dyDescent="0.25">
      <c r="A215" s="510">
        <v>42840</v>
      </c>
      <c r="B215" s="420" t="s">
        <v>13</v>
      </c>
      <c r="C215" s="408">
        <v>1092.77</v>
      </c>
      <c r="D215" s="347"/>
      <c r="E215" s="346">
        <v>1146.3499999999999</v>
      </c>
      <c r="F215" s="346">
        <v>1230.8800000000001</v>
      </c>
      <c r="G215" s="346">
        <v>1303.96</v>
      </c>
      <c r="H215" s="347"/>
      <c r="I215" s="347"/>
      <c r="J215" s="290"/>
      <c r="K215" s="431"/>
      <c r="L215" s="507"/>
      <c r="M215" s="256">
        <v>1152.43</v>
      </c>
      <c r="N215" s="462">
        <v>1163.55</v>
      </c>
      <c r="O215" s="442"/>
      <c r="P215" s="348"/>
      <c r="Q215" s="349"/>
      <c r="R215" s="346">
        <v>1239.74</v>
      </c>
      <c r="S215" s="346">
        <v>1364.92</v>
      </c>
      <c r="T215" s="290"/>
      <c r="U215" s="348"/>
      <c r="V215" s="347"/>
      <c r="W215" s="346">
        <v>931.11</v>
      </c>
      <c r="X215" s="350"/>
      <c r="Y215" s="350"/>
      <c r="Z215" s="350"/>
      <c r="AA215" s="350"/>
      <c r="AB215" s="351"/>
    </row>
    <row r="216" spans="1:28" ht="13.3" thickBot="1" x14ac:dyDescent="0.25">
      <c r="A216" s="510">
        <v>42840</v>
      </c>
      <c r="B216" s="421" t="s">
        <v>12</v>
      </c>
      <c r="C216" s="409">
        <v>1131</v>
      </c>
      <c r="D216" s="249"/>
      <c r="E216" s="250">
        <v>1261</v>
      </c>
      <c r="F216" s="250">
        <v>1339</v>
      </c>
      <c r="G216" s="250">
        <v>1573</v>
      </c>
      <c r="H216" s="249"/>
      <c r="I216" s="249"/>
      <c r="J216" s="330"/>
      <c r="K216" s="432"/>
      <c r="L216" s="508"/>
      <c r="M216" s="463">
        <v>1284</v>
      </c>
      <c r="N216" s="464">
        <v>1284</v>
      </c>
      <c r="O216" s="446"/>
      <c r="P216" s="331"/>
      <c r="Q216" s="332"/>
      <c r="R216" s="250">
        <v>1428</v>
      </c>
      <c r="S216" s="249"/>
      <c r="T216" s="330"/>
      <c r="U216" s="334"/>
      <c r="V216" s="469"/>
      <c r="W216" s="315"/>
      <c r="X216" s="315"/>
      <c r="Y216" s="315"/>
      <c r="Z216" s="315"/>
      <c r="AA216" s="315"/>
      <c r="AB216" s="352"/>
    </row>
    <row r="217" spans="1:28" ht="13.3" thickBot="1" x14ac:dyDescent="0.25">
      <c r="A217" s="510">
        <v>42840</v>
      </c>
      <c r="B217" s="421" t="s">
        <v>11</v>
      </c>
      <c r="C217" s="409">
        <v>1.05</v>
      </c>
      <c r="D217" s="249"/>
      <c r="E217" s="250">
        <v>1.1599999999999999</v>
      </c>
      <c r="F217" s="250">
        <v>1.24</v>
      </c>
      <c r="G217" s="250">
        <v>1.45</v>
      </c>
      <c r="H217" s="249"/>
      <c r="I217" s="249"/>
      <c r="J217" s="330"/>
      <c r="K217" s="432"/>
      <c r="L217" s="508"/>
      <c r="M217" s="463">
        <v>1.28</v>
      </c>
      <c r="N217" s="464">
        <v>1.28</v>
      </c>
      <c r="O217" s="443"/>
      <c r="P217" s="334"/>
      <c r="Q217" s="335"/>
      <c r="R217" s="250">
        <v>1.43</v>
      </c>
      <c r="S217" s="469"/>
      <c r="T217" s="333"/>
      <c r="U217" s="334"/>
      <c r="V217" s="469"/>
      <c r="W217" s="315"/>
      <c r="X217" s="315"/>
      <c r="Y217" s="315"/>
      <c r="Z217" s="315"/>
      <c r="AA217" s="315"/>
      <c r="AB217" s="352"/>
    </row>
    <row r="218" spans="1:28" ht="13.3" thickBot="1" x14ac:dyDescent="0.25">
      <c r="A218" s="510">
        <v>42840</v>
      </c>
      <c r="B218" s="421" t="s">
        <v>15</v>
      </c>
      <c r="C218" s="410">
        <f>(C216-C215)/C216</f>
        <v>3.3801945181255545E-2</v>
      </c>
      <c r="D218" s="336"/>
      <c r="E218" s="336">
        <f>(E216-E215)/E216</f>
        <v>9.0919904837430676E-2</v>
      </c>
      <c r="F218" s="336">
        <f>(F216-F215)/F216</f>
        <v>8.0746825989544357E-2</v>
      </c>
      <c r="G218" s="336">
        <f>(G216-G215)/G216</f>
        <v>0.17103623649078192</v>
      </c>
      <c r="H218" s="336"/>
      <c r="I218" s="336"/>
      <c r="J218" s="338"/>
      <c r="K218" s="433"/>
      <c r="L218" s="279"/>
      <c r="M218" s="465">
        <f>(M216-M215)/M216</f>
        <v>0.10246884735202487</v>
      </c>
      <c r="N218" s="466">
        <f>(N216-N215)/N216</f>
        <v>9.3808411214953313E-2</v>
      </c>
      <c r="O218" s="444"/>
      <c r="P218" s="340"/>
      <c r="Q218" s="341"/>
      <c r="R218" s="336">
        <f>(R216-R215)/R216</f>
        <v>0.1318347338935574</v>
      </c>
      <c r="S218" s="470"/>
      <c r="T218" s="339"/>
      <c r="U218" s="340"/>
      <c r="V218" s="470"/>
      <c r="W218" s="315"/>
      <c r="X218" s="315"/>
      <c r="Y218" s="315"/>
      <c r="Z218" s="315"/>
      <c r="AA218" s="315"/>
      <c r="AB218" s="352"/>
    </row>
    <row r="219" spans="1:28" ht="13.3" thickBot="1" x14ac:dyDescent="0.25">
      <c r="A219" s="510">
        <v>42840</v>
      </c>
      <c r="B219" s="421" t="s">
        <v>16</v>
      </c>
      <c r="C219" s="410">
        <f>(C216-C215)/C215</f>
        <v>3.4984488959250361E-2</v>
      </c>
      <c r="D219" s="336"/>
      <c r="E219" s="336">
        <f>(E216-E215)/E215</f>
        <v>0.10001308500894152</v>
      </c>
      <c r="F219" s="336">
        <f>(F216-F215)/F215</f>
        <v>8.783959443650062E-2</v>
      </c>
      <c r="G219" s="336">
        <f>(G216-G215)/G215</f>
        <v>0.20632534740329456</v>
      </c>
      <c r="H219" s="336"/>
      <c r="I219" s="336"/>
      <c r="J219" s="338"/>
      <c r="K219" s="433"/>
      <c r="L219" s="279"/>
      <c r="M219" s="465">
        <f>(M216-M215)/M215</f>
        <v>0.11416745485626019</v>
      </c>
      <c r="N219" s="466">
        <f>(N216-N215)/N215</f>
        <v>0.10351940183060465</v>
      </c>
      <c r="O219" s="444"/>
      <c r="P219" s="340"/>
      <c r="Q219" s="341"/>
      <c r="R219" s="336">
        <f>(R216-R215)/R215</f>
        <v>0.1518544210882927</v>
      </c>
      <c r="S219" s="470"/>
      <c r="T219" s="339"/>
      <c r="U219" s="340"/>
      <c r="V219" s="470"/>
      <c r="W219" s="315"/>
      <c r="X219" s="315"/>
      <c r="Y219" s="315"/>
      <c r="Z219" s="315"/>
      <c r="AA219" s="315"/>
      <c r="AB219" s="352"/>
    </row>
    <row r="220" spans="1:28" ht="13.3" thickBot="1" x14ac:dyDescent="0.25">
      <c r="A220" s="510">
        <v>42840</v>
      </c>
      <c r="B220" s="422" t="s">
        <v>10</v>
      </c>
      <c r="C220" s="411">
        <f>C217/C211-1</f>
        <v>9.6153846153845812E-3</v>
      </c>
      <c r="D220" s="353"/>
      <c r="E220" s="353">
        <f>E217/E211-1</f>
        <v>8.6956521739129933E-3</v>
      </c>
      <c r="F220" s="353">
        <f>F217/F211-1</f>
        <v>8.1300813008129413E-3</v>
      </c>
      <c r="G220" s="353">
        <f>G217/G211-1</f>
        <v>6.9444444444444198E-3</v>
      </c>
      <c r="H220" s="353"/>
      <c r="I220" s="353"/>
      <c r="J220" s="355"/>
      <c r="K220" s="434"/>
      <c r="L220" s="509"/>
      <c r="M220" s="467">
        <f>M217/M211-1</f>
        <v>7.8740157480314821E-3</v>
      </c>
      <c r="N220" s="292">
        <f>N217/N211-1</f>
        <v>7.8740157480314821E-3</v>
      </c>
      <c r="O220" s="445"/>
      <c r="P220" s="357"/>
      <c r="Q220" s="358"/>
      <c r="R220" s="353">
        <f>R217/R211-1</f>
        <v>7.0422535211267512E-3</v>
      </c>
      <c r="S220" s="471"/>
      <c r="T220" s="356"/>
      <c r="U220" s="357"/>
      <c r="V220" s="471"/>
      <c r="W220" s="359"/>
      <c r="X220" s="359"/>
      <c r="Y220" s="359"/>
      <c r="Z220" s="359"/>
      <c r="AA220" s="359"/>
      <c r="AB220" s="360"/>
    </row>
    <row r="221" spans="1:28" ht="13.3" thickBot="1" x14ac:dyDescent="0.25">
      <c r="A221" s="510">
        <v>42861</v>
      </c>
      <c r="B221" s="420" t="s">
        <v>13</v>
      </c>
      <c r="C221" s="408">
        <v>1102.9100000000001</v>
      </c>
      <c r="D221" s="347"/>
      <c r="E221" s="346">
        <v>1155.99</v>
      </c>
      <c r="F221" s="346">
        <v>1240.58</v>
      </c>
      <c r="G221" s="346">
        <v>1312.76</v>
      </c>
      <c r="H221" s="347"/>
      <c r="I221" s="347"/>
      <c r="J221" s="290"/>
      <c r="K221" s="431"/>
      <c r="L221" s="507"/>
      <c r="M221" s="256">
        <v>1161.21</v>
      </c>
      <c r="N221" s="462">
        <v>1172.42</v>
      </c>
      <c r="O221" s="442"/>
      <c r="P221" s="348"/>
      <c r="Q221" s="349"/>
      <c r="R221" s="346">
        <v>1248.21</v>
      </c>
      <c r="S221" s="346">
        <v>1374.36</v>
      </c>
      <c r="T221" s="290"/>
      <c r="U221" s="348"/>
      <c r="V221" s="347"/>
      <c r="W221" s="346">
        <v>938.32</v>
      </c>
      <c r="X221" s="350"/>
      <c r="Y221" s="350"/>
      <c r="Z221" s="350"/>
      <c r="AA221" s="350"/>
      <c r="AB221" s="351"/>
    </row>
    <row r="222" spans="1:28" ht="13.3" thickBot="1" x14ac:dyDescent="0.25">
      <c r="A222" s="510">
        <v>42861</v>
      </c>
      <c r="B222" s="421" t="s">
        <v>12</v>
      </c>
      <c r="C222" s="409">
        <v>1144</v>
      </c>
      <c r="D222" s="249"/>
      <c r="E222" s="250">
        <v>1261</v>
      </c>
      <c r="F222" s="250">
        <v>1352</v>
      </c>
      <c r="G222" s="250">
        <v>1586</v>
      </c>
      <c r="H222" s="249"/>
      <c r="I222" s="249"/>
      <c r="J222" s="330"/>
      <c r="K222" s="432"/>
      <c r="L222" s="508"/>
      <c r="M222" s="463">
        <v>1284</v>
      </c>
      <c r="N222" s="464">
        <v>1284</v>
      </c>
      <c r="O222" s="446"/>
      <c r="P222" s="331"/>
      <c r="Q222" s="332"/>
      <c r="R222" s="250">
        <v>1440</v>
      </c>
      <c r="S222" s="249"/>
      <c r="T222" s="330"/>
      <c r="U222" s="334"/>
      <c r="V222" s="469"/>
      <c r="W222" s="315"/>
      <c r="X222" s="315"/>
      <c r="Y222" s="315"/>
      <c r="Z222" s="315"/>
      <c r="AA222" s="315"/>
      <c r="AB222" s="352"/>
    </row>
    <row r="223" spans="1:28" ht="13.3" thickBot="1" x14ac:dyDescent="0.25">
      <c r="A223" s="510">
        <v>42861</v>
      </c>
      <c r="B223" s="421" t="s">
        <v>11</v>
      </c>
      <c r="C223" s="409">
        <v>1.06</v>
      </c>
      <c r="D223" s="249"/>
      <c r="E223" s="250">
        <v>1.17</v>
      </c>
      <c r="F223" s="250">
        <v>1.25</v>
      </c>
      <c r="G223" s="250">
        <v>1.46</v>
      </c>
      <c r="H223" s="249"/>
      <c r="I223" s="249"/>
      <c r="J223" s="330"/>
      <c r="K223" s="432"/>
      <c r="L223" s="508"/>
      <c r="M223" s="463">
        <v>1.29</v>
      </c>
      <c r="N223" s="464">
        <v>1.29</v>
      </c>
      <c r="O223" s="443"/>
      <c r="P223" s="334"/>
      <c r="Q223" s="335"/>
      <c r="R223" s="250">
        <v>1.44</v>
      </c>
      <c r="S223" s="469"/>
      <c r="T223" s="333"/>
      <c r="U223" s="334"/>
      <c r="V223" s="469"/>
      <c r="W223" s="315"/>
      <c r="X223" s="315"/>
      <c r="Y223" s="315"/>
      <c r="Z223" s="315"/>
      <c r="AA223" s="315"/>
      <c r="AB223" s="352"/>
    </row>
    <row r="224" spans="1:28" ht="13.3" thickBot="1" x14ac:dyDescent="0.25">
      <c r="A224" s="510">
        <v>42861</v>
      </c>
      <c r="B224" s="421" t="s">
        <v>15</v>
      </c>
      <c r="C224" s="410">
        <f>(C222-C221)/C222</f>
        <v>3.5917832167832099E-2</v>
      </c>
      <c r="D224" s="336"/>
      <c r="E224" s="336">
        <f>(E222-E221)/E222</f>
        <v>8.3275178429817603E-2</v>
      </c>
      <c r="F224" s="336">
        <f>(F222-F221)/F222</f>
        <v>8.2411242603550344E-2</v>
      </c>
      <c r="G224" s="336">
        <f>(G222-G221)/G222</f>
        <v>0.17228247162673394</v>
      </c>
      <c r="H224" s="336"/>
      <c r="I224" s="336"/>
      <c r="J224" s="338"/>
      <c r="K224" s="433"/>
      <c r="L224" s="279"/>
      <c r="M224" s="465">
        <f>(M222-M221)/M222</f>
        <v>9.5630841121495294E-2</v>
      </c>
      <c r="N224" s="466">
        <f>(N222-N221)/N222</f>
        <v>8.6900311526479701E-2</v>
      </c>
      <c r="O224" s="444"/>
      <c r="P224" s="340"/>
      <c r="Q224" s="341"/>
      <c r="R224" s="336">
        <f>(R222-R221)/R222</f>
        <v>0.13318749999999999</v>
      </c>
      <c r="S224" s="470"/>
      <c r="T224" s="339"/>
      <c r="U224" s="340"/>
      <c r="V224" s="470"/>
      <c r="W224" s="315"/>
      <c r="X224" s="315"/>
      <c r="Y224" s="315"/>
      <c r="Z224" s="315"/>
      <c r="AA224" s="315"/>
      <c r="AB224" s="352"/>
    </row>
    <row r="225" spans="1:28" ht="13.3" thickBot="1" x14ac:dyDescent="0.25">
      <c r="A225" s="510">
        <v>42861</v>
      </c>
      <c r="B225" s="421" t="s">
        <v>16</v>
      </c>
      <c r="C225" s="410">
        <f>(C222-C221)/C221</f>
        <v>3.7255986435883175E-2</v>
      </c>
      <c r="D225" s="336"/>
      <c r="E225" s="336">
        <f>(E222-E221)/E221</f>
        <v>9.0839886158184752E-2</v>
      </c>
      <c r="F225" s="336">
        <f>(F222-F221)/F221</f>
        <v>8.981282948298383E-2</v>
      </c>
      <c r="G225" s="336">
        <f>(G222-G221)/G221</f>
        <v>0.20814162527804017</v>
      </c>
      <c r="H225" s="336"/>
      <c r="I225" s="336"/>
      <c r="J225" s="338"/>
      <c r="K225" s="433"/>
      <c r="L225" s="279"/>
      <c r="M225" s="465">
        <f>(M222-M221)/M221</f>
        <v>0.10574314723435034</v>
      </c>
      <c r="N225" s="466">
        <f>(N222-N221)/N221</f>
        <v>9.517067262585073E-2</v>
      </c>
      <c r="O225" s="444"/>
      <c r="P225" s="340"/>
      <c r="Q225" s="341"/>
      <c r="R225" s="336">
        <f>(R222-R221)/R221</f>
        <v>0.15365202970653974</v>
      </c>
      <c r="S225" s="470"/>
      <c r="T225" s="339"/>
      <c r="U225" s="340"/>
      <c r="V225" s="470"/>
      <c r="W225" s="315"/>
      <c r="X225" s="315"/>
      <c r="Y225" s="315"/>
      <c r="Z225" s="315"/>
      <c r="AA225" s="315"/>
      <c r="AB225" s="352"/>
    </row>
    <row r="226" spans="1:28" ht="13.3" thickBot="1" x14ac:dyDescent="0.25">
      <c r="A226" s="510">
        <v>42861</v>
      </c>
      <c r="B226" s="422" t="s">
        <v>10</v>
      </c>
      <c r="C226" s="411">
        <f>C223/C217-1</f>
        <v>9.52380952380949E-3</v>
      </c>
      <c r="D226" s="353"/>
      <c r="E226" s="353">
        <f>E223/E217-1</f>
        <v>8.6206896551723755E-3</v>
      </c>
      <c r="F226" s="353">
        <f>F223/F217-1</f>
        <v>8.0645161290322509E-3</v>
      </c>
      <c r="G226" s="353">
        <f>G223/G217-1</f>
        <v>6.8965517241379448E-3</v>
      </c>
      <c r="H226" s="353"/>
      <c r="I226" s="353"/>
      <c r="J226" s="355"/>
      <c r="K226" s="434"/>
      <c r="L226" s="509"/>
      <c r="M226" s="467">
        <f>M223/M217-1</f>
        <v>7.8125E-3</v>
      </c>
      <c r="N226" s="292">
        <f>N223/N217-1</f>
        <v>7.8125E-3</v>
      </c>
      <c r="O226" s="445"/>
      <c r="P226" s="357"/>
      <c r="Q226" s="358"/>
      <c r="R226" s="353">
        <f>R223/R217-1</f>
        <v>6.9930069930070893E-3</v>
      </c>
      <c r="S226" s="471"/>
      <c r="T226" s="356"/>
      <c r="U226" s="357"/>
      <c r="V226" s="471"/>
      <c r="W226" s="359"/>
      <c r="X226" s="359"/>
      <c r="Y226" s="359"/>
      <c r="Z226" s="359"/>
      <c r="AA226" s="359"/>
      <c r="AB226" s="360"/>
    </row>
    <row r="227" spans="1:28" ht="13.3" thickBot="1" x14ac:dyDescent="0.25">
      <c r="A227" s="510">
        <v>43034</v>
      </c>
      <c r="B227" s="420" t="s">
        <v>13</v>
      </c>
      <c r="C227" s="408">
        <v>1123.19</v>
      </c>
      <c r="D227" s="347"/>
      <c r="E227" s="346">
        <v>1175.27</v>
      </c>
      <c r="F227" s="346">
        <v>1259.98</v>
      </c>
      <c r="G227" s="346">
        <v>1330.36</v>
      </c>
      <c r="H227" s="347"/>
      <c r="I227" s="347"/>
      <c r="J227" s="290"/>
      <c r="K227" s="431"/>
      <c r="L227" s="507"/>
      <c r="M227" s="256">
        <v>1161.21</v>
      </c>
      <c r="N227" s="462">
        <v>1172.42</v>
      </c>
      <c r="O227" s="442"/>
      <c r="P227" s="348"/>
      <c r="Q227" s="349"/>
      <c r="R227" s="346">
        <v>1248.21</v>
      </c>
      <c r="S227" s="346">
        <v>1374.36</v>
      </c>
      <c r="T227" s="290"/>
      <c r="U227" s="348"/>
      <c r="V227" s="347"/>
      <c r="W227" s="346">
        <v>938.32</v>
      </c>
      <c r="X227" s="350"/>
      <c r="Y227" s="350"/>
      <c r="Z227" s="350"/>
      <c r="AA227" s="350"/>
      <c r="AB227" s="351"/>
    </row>
    <row r="228" spans="1:28" ht="13.3" thickBot="1" x14ac:dyDescent="0.25">
      <c r="A228" s="510">
        <v>43034</v>
      </c>
      <c r="B228" s="421" t="s">
        <v>12</v>
      </c>
      <c r="C228" s="409">
        <v>1170</v>
      </c>
      <c r="D228" s="249"/>
      <c r="E228" s="250">
        <v>1287</v>
      </c>
      <c r="F228" s="250">
        <v>1378</v>
      </c>
      <c r="G228" s="250">
        <v>1599</v>
      </c>
      <c r="H228" s="249"/>
      <c r="I228" s="249"/>
      <c r="J228" s="330"/>
      <c r="K228" s="432"/>
      <c r="L228" s="508"/>
      <c r="M228" s="463">
        <v>1284</v>
      </c>
      <c r="N228" s="464">
        <v>1284</v>
      </c>
      <c r="O228" s="446"/>
      <c r="P228" s="331"/>
      <c r="Q228" s="332"/>
      <c r="R228" s="250">
        <v>1440</v>
      </c>
      <c r="S228" s="249"/>
      <c r="T228" s="330"/>
      <c r="U228" s="334"/>
      <c r="V228" s="469"/>
      <c r="W228" s="315"/>
      <c r="X228" s="315"/>
      <c r="Y228" s="315"/>
      <c r="Z228" s="315"/>
      <c r="AA228" s="315"/>
      <c r="AB228" s="352"/>
    </row>
    <row r="229" spans="1:28" ht="13.3" thickBot="1" x14ac:dyDescent="0.25">
      <c r="A229" s="510">
        <v>43034</v>
      </c>
      <c r="B229" s="421" t="s">
        <v>11</v>
      </c>
      <c r="C229" s="409">
        <v>1.08</v>
      </c>
      <c r="D229" s="249"/>
      <c r="E229" s="250">
        <v>1.19</v>
      </c>
      <c r="F229" s="250">
        <v>1.27</v>
      </c>
      <c r="G229" s="250">
        <v>1.48</v>
      </c>
      <c r="H229" s="249"/>
      <c r="I229" s="249"/>
      <c r="J229" s="330"/>
      <c r="K229" s="432"/>
      <c r="L229" s="508"/>
      <c r="M229" s="463">
        <v>1.29</v>
      </c>
      <c r="N229" s="464">
        <v>1.29</v>
      </c>
      <c r="O229" s="443"/>
      <c r="P229" s="334"/>
      <c r="Q229" s="335"/>
      <c r="R229" s="250">
        <v>1.44</v>
      </c>
      <c r="S229" s="469"/>
      <c r="T229" s="333"/>
      <c r="U229" s="334"/>
      <c r="V229" s="469"/>
      <c r="W229" s="315"/>
      <c r="X229" s="315"/>
      <c r="Y229" s="315"/>
      <c r="Z229" s="315"/>
      <c r="AA229" s="315"/>
      <c r="AB229" s="352"/>
    </row>
    <row r="230" spans="1:28" ht="13.3" thickBot="1" x14ac:dyDescent="0.25">
      <c r="A230" s="510">
        <v>43034</v>
      </c>
      <c r="B230" s="421" t="s">
        <v>15</v>
      </c>
      <c r="C230" s="410">
        <f>(C228-C227)/C228</f>
        <v>4.000854700854696E-2</v>
      </c>
      <c r="D230" s="336"/>
      <c r="E230" s="336">
        <f>(E228-E227)/E228</f>
        <v>8.6814296814296824E-2</v>
      </c>
      <c r="F230" s="336">
        <f>(F228-F227)/F228</f>
        <v>8.5645863570391861E-2</v>
      </c>
      <c r="G230" s="336">
        <f>(G228-G227)/G228</f>
        <v>0.16800500312695441</v>
      </c>
      <c r="H230" s="336"/>
      <c r="I230" s="336"/>
      <c r="J230" s="338"/>
      <c r="K230" s="433"/>
      <c r="L230" s="279"/>
      <c r="M230" s="465">
        <f>(M228-M227)/M228</f>
        <v>9.5630841121495294E-2</v>
      </c>
      <c r="N230" s="466">
        <f>(N228-N227)/N228</f>
        <v>8.6900311526479701E-2</v>
      </c>
      <c r="O230" s="444"/>
      <c r="P230" s="340"/>
      <c r="Q230" s="341"/>
      <c r="R230" s="336">
        <f>(R228-R227)/R228</f>
        <v>0.13318749999999999</v>
      </c>
      <c r="S230" s="470"/>
      <c r="T230" s="339"/>
      <c r="U230" s="340"/>
      <c r="V230" s="470"/>
      <c r="W230" s="315"/>
      <c r="X230" s="315"/>
      <c r="Y230" s="315"/>
      <c r="Z230" s="315"/>
      <c r="AA230" s="315"/>
      <c r="AB230" s="352"/>
    </row>
    <row r="231" spans="1:28" ht="13.3" thickBot="1" x14ac:dyDescent="0.25">
      <c r="A231" s="510">
        <v>43034</v>
      </c>
      <c r="B231" s="421" t="s">
        <v>16</v>
      </c>
      <c r="C231" s="410">
        <f>(C228-C227)/C227</f>
        <v>4.1675940847051653E-2</v>
      </c>
      <c r="D231" s="336"/>
      <c r="E231" s="336">
        <f>(E228-E227)/E227</f>
        <v>9.5067516400486718E-2</v>
      </c>
      <c r="F231" s="336">
        <f>(F228-F227)/F227</f>
        <v>9.3668153462753367E-2</v>
      </c>
      <c r="G231" s="336">
        <f>(G228-G227)/G227</f>
        <v>0.20193030457921174</v>
      </c>
      <c r="H231" s="336"/>
      <c r="I231" s="336"/>
      <c r="J231" s="338"/>
      <c r="K231" s="433"/>
      <c r="L231" s="279"/>
      <c r="M231" s="465">
        <f>(M228-M227)/M227</f>
        <v>0.10574314723435034</v>
      </c>
      <c r="N231" s="466">
        <f>(N228-N227)/N227</f>
        <v>9.517067262585073E-2</v>
      </c>
      <c r="O231" s="444"/>
      <c r="P231" s="340"/>
      <c r="Q231" s="341"/>
      <c r="R231" s="336">
        <f>(R228-R227)/R227</f>
        <v>0.15365202970653974</v>
      </c>
      <c r="S231" s="470"/>
      <c r="T231" s="339"/>
      <c r="U231" s="340"/>
      <c r="V231" s="470"/>
      <c r="W231" s="315"/>
      <c r="X231" s="315"/>
      <c r="Y231" s="315"/>
      <c r="Z231" s="315"/>
      <c r="AA231" s="315"/>
      <c r="AB231" s="352"/>
    </row>
    <row r="232" spans="1:28" ht="13.3" thickBot="1" x14ac:dyDescent="0.25">
      <c r="A232" s="510">
        <v>43034</v>
      </c>
      <c r="B232" s="422" t="s">
        <v>10</v>
      </c>
      <c r="C232" s="411">
        <f>C229/C223-1</f>
        <v>1.8867924528301883E-2</v>
      </c>
      <c r="D232" s="353"/>
      <c r="E232" s="353">
        <f>E229/E223-1</f>
        <v>1.7094017094017033E-2</v>
      </c>
      <c r="F232" s="353">
        <f>F229/F223-1</f>
        <v>1.6000000000000014E-2</v>
      </c>
      <c r="G232" s="353">
        <f>G229/G223-1</f>
        <v>1.3698630136986356E-2</v>
      </c>
      <c r="H232" s="353"/>
      <c r="I232" s="353"/>
      <c r="J232" s="355"/>
      <c r="K232" s="434"/>
      <c r="L232" s="509"/>
      <c r="M232" s="467">
        <f>M229/M223-1</f>
        <v>0</v>
      </c>
      <c r="N232" s="292">
        <f>N229/N223-1</f>
        <v>0</v>
      </c>
      <c r="O232" s="445"/>
      <c r="P232" s="357"/>
      <c r="Q232" s="358"/>
      <c r="R232" s="353">
        <f>R229/R223-1</f>
        <v>0</v>
      </c>
      <c r="S232" s="471"/>
      <c r="T232" s="356"/>
      <c r="U232" s="357"/>
      <c r="V232" s="471"/>
      <c r="W232" s="359"/>
      <c r="X232" s="359"/>
      <c r="Y232" s="359"/>
      <c r="Z232" s="359"/>
      <c r="AA232" s="359"/>
      <c r="AB232" s="360"/>
    </row>
    <row r="233" spans="1:28" ht="13.3" thickBot="1" x14ac:dyDescent="0.25">
      <c r="A233" s="510">
        <v>43139</v>
      </c>
      <c r="B233" s="420" t="s">
        <v>13</v>
      </c>
      <c r="C233" s="408">
        <v>1143.47</v>
      </c>
      <c r="D233" s="347"/>
      <c r="E233" s="346">
        <v>1194.55</v>
      </c>
      <c r="F233" s="346">
        <v>1279.3800000000001</v>
      </c>
      <c r="G233" s="346">
        <v>1347.96</v>
      </c>
      <c r="H233" s="347"/>
      <c r="I233" s="347"/>
      <c r="J233" s="290"/>
      <c r="K233" s="431"/>
      <c r="L233" s="507"/>
      <c r="M233" s="256">
        <v>1178.78</v>
      </c>
      <c r="N233" s="462">
        <v>1190.1600000000001</v>
      </c>
      <c r="O233" s="442"/>
      <c r="P233" s="348"/>
      <c r="Q233" s="349"/>
      <c r="R233" s="346">
        <v>1265.1600000000001</v>
      </c>
      <c r="S233" s="346">
        <v>1393.26</v>
      </c>
      <c r="T233" s="290"/>
      <c r="U233" s="348"/>
      <c r="V233" s="347"/>
      <c r="W233" s="346">
        <v>952.61</v>
      </c>
      <c r="X233" s="350"/>
      <c r="Y233" s="350"/>
      <c r="Z233" s="350"/>
      <c r="AA233" s="350"/>
      <c r="AB233" s="351"/>
    </row>
    <row r="234" spans="1:28" ht="13.3" thickBot="1" x14ac:dyDescent="0.25">
      <c r="A234" s="510">
        <v>43139</v>
      </c>
      <c r="B234" s="421" t="s">
        <v>12</v>
      </c>
      <c r="C234" s="409">
        <v>1196</v>
      </c>
      <c r="D234" s="249"/>
      <c r="E234" s="250">
        <v>1313</v>
      </c>
      <c r="F234" s="250">
        <v>1391</v>
      </c>
      <c r="G234" s="250">
        <v>1625</v>
      </c>
      <c r="H234" s="249"/>
      <c r="I234" s="249"/>
      <c r="J234" s="330"/>
      <c r="K234" s="432"/>
      <c r="L234" s="508"/>
      <c r="M234" s="468">
        <v>1308</v>
      </c>
      <c r="N234" s="464">
        <v>1308</v>
      </c>
      <c r="O234" s="446"/>
      <c r="P234" s="331"/>
      <c r="Q234" s="332"/>
      <c r="R234" s="250">
        <v>1464</v>
      </c>
      <c r="S234" s="249"/>
      <c r="T234" s="330"/>
      <c r="U234" s="334"/>
      <c r="V234" s="469"/>
      <c r="W234" s="315"/>
      <c r="X234" s="315"/>
      <c r="Y234" s="315"/>
      <c r="Z234" s="315"/>
      <c r="AA234" s="315"/>
      <c r="AB234" s="352"/>
    </row>
    <row r="235" spans="1:28" ht="13.3" thickBot="1" x14ac:dyDescent="0.25">
      <c r="A235" s="510">
        <v>43139</v>
      </c>
      <c r="B235" s="421" t="s">
        <v>11</v>
      </c>
      <c r="C235" s="409">
        <v>1.1000000000000001</v>
      </c>
      <c r="D235" s="249"/>
      <c r="E235" s="250">
        <v>1.21</v>
      </c>
      <c r="F235" s="250">
        <v>1.29</v>
      </c>
      <c r="G235" s="250">
        <v>1.5</v>
      </c>
      <c r="H235" s="249"/>
      <c r="I235" s="249"/>
      <c r="J235" s="330"/>
      <c r="K235" s="432"/>
      <c r="L235" s="508"/>
      <c r="M235" s="463">
        <v>1.31</v>
      </c>
      <c r="N235" s="464">
        <v>1.31</v>
      </c>
      <c r="O235" s="443"/>
      <c r="P235" s="334"/>
      <c r="Q235" s="335"/>
      <c r="R235" s="250">
        <v>1.46</v>
      </c>
      <c r="S235" s="469"/>
      <c r="T235" s="333"/>
      <c r="U235" s="334"/>
      <c r="V235" s="469"/>
      <c r="W235" s="315"/>
      <c r="X235" s="315"/>
      <c r="Y235" s="315"/>
      <c r="Z235" s="315"/>
      <c r="AA235" s="315"/>
      <c r="AB235" s="352"/>
    </row>
    <row r="236" spans="1:28" ht="13.3" thickBot="1" x14ac:dyDescent="0.25">
      <c r="A236" s="510">
        <v>43139</v>
      </c>
      <c r="B236" s="421" t="s">
        <v>15</v>
      </c>
      <c r="C236" s="410">
        <f>(C234-C233)/C234</f>
        <v>4.3921404682274227E-2</v>
      </c>
      <c r="D236" s="336"/>
      <c r="E236" s="336">
        <f>(E234-E233)/E234</f>
        <v>9.0213252094440241E-2</v>
      </c>
      <c r="F236" s="336">
        <f>(F234-F233)/F234</f>
        <v>8.0244428468727452E-2</v>
      </c>
      <c r="G236" s="336">
        <f>(G234-G233)/G234</f>
        <v>0.17048615384615382</v>
      </c>
      <c r="H236" s="336"/>
      <c r="I236" s="336"/>
      <c r="J236" s="338"/>
      <c r="K236" s="433"/>
      <c r="L236" s="279"/>
      <c r="M236" s="465">
        <f>(M234-M233)/M234</f>
        <v>9.8792048929663631E-2</v>
      </c>
      <c r="N236" s="466">
        <f>(N234-N233)/N234</f>
        <v>9.0091743119265988E-2</v>
      </c>
      <c r="O236" s="444"/>
      <c r="P236" s="340"/>
      <c r="Q236" s="341"/>
      <c r="R236" s="336">
        <f>(R234-R233)/R234</f>
        <v>0.13581967213114748</v>
      </c>
      <c r="S236" s="470"/>
      <c r="T236" s="339"/>
      <c r="U236" s="340"/>
      <c r="V236" s="470"/>
      <c r="W236" s="315"/>
      <c r="X236" s="315"/>
      <c r="Y236" s="315"/>
      <c r="Z236" s="315"/>
      <c r="AA236" s="315"/>
      <c r="AB236" s="352"/>
    </row>
    <row r="237" spans="1:28" ht="13.3" thickBot="1" x14ac:dyDescent="0.25">
      <c r="A237" s="510">
        <v>43139</v>
      </c>
      <c r="B237" s="421" t="s">
        <v>16</v>
      </c>
      <c r="C237" s="410">
        <f>(C234-C233)/C233</f>
        <v>4.5939115149501053E-2</v>
      </c>
      <c r="D237" s="336"/>
      <c r="E237" s="336">
        <f>(E234-E233)/E233</f>
        <v>9.9158679000460465E-2</v>
      </c>
      <c r="F237" s="336">
        <f>(F234-F233)/F233</f>
        <v>8.7245384483108909E-2</v>
      </c>
      <c r="G237" s="336">
        <f>(G234-G233)/G233</f>
        <v>0.20552538650998542</v>
      </c>
      <c r="H237" s="336"/>
      <c r="I237" s="336"/>
      <c r="J237" s="338"/>
      <c r="K237" s="433"/>
      <c r="L237" s="279"/>
      <c r="M237" s="465">
        <f>(M234-M233)/M233</f>
        <v>0.10962181238229358</v>
      </c>
      <c r="N237" s="466">
        <f>(N234-N233)/N233</f>
        <v>9.901189755999186E-2</v>
      </c>
      <c r="O237" s="444"/>
      <c r="P237" s="340"/>
      <c r="Q237" s="341"/>
      <c r="R237" s="336">
        <f>(R234-R233)/R233</f>
        <v>0.15716589206108311</v>
      </c>
      <c r="S237" s="470"/>
      <c r="T237" s="339"/>
      <c r="U237" s="340"/>
      <c r="V237" s="470"/>
      <c r="W237" s="315"/>
      <c r="X237" s="315"/>
      <c r="Y237" s="315"/>
      <c r="Z237" s="315"/>
      <c r="AA237" s="315"/>
      <c r="AB237" s="352"/>
    </row>
    <row r="238" spans="1:28" ht="13.3" thickBot="1" x14ac:dyDescent="0.25">
      <c r="A238" s="510">
        <v>43139</v>
      </c>
      <c r="B238" s="422" t="s">
        <v>10</v>
      </c>
      <c r="C238" s="411">
        <f>C235/C229-1</f>
        <v>1.8518518518518601E-2</v>
      </c>
      <c r="D238" s="353"/>
      <c r="E238" s="353">
        <f>E235/E229-1</f>
        <v>1.6806722689075571E-2</v>
      </c>
      <c r="F238" s="353">
        <f>F235/F229-1</f>
        <v>1.5748031496062964E-2</v>
      </c>
      <c r="G238" s="353">
        <f>G235/G229-1</f>
        <v>1.3513513513513598E-2</v>
      </c>
      <c r="H238" s="353"/>
      <c r="I238" s="353"/>
      <c r="J238" s="355"/>
      <c r="K238" s="434"/>
      <c r="L238" s="509"/>
      <c r="M238" s="467">
        <f>M235/M229-1</f>
        <v>1.5503875968992276E-2</v>
      </c>
      <c r="N238" s="292">
        <f>N235/N229-1</f>
        <v>1.5503875968992276E-2</v>
      </c>
      <c r="O238" s="445"/>
      <c r="P238" s="357"/>
      <c r="Q238" s="358"/>
      <c r="R238" s="353">
        <f>R235/R229-1</f>
        <v>1.388888888888884E-2</v>
      </c>
      <c r="S238" s="471"/>
      <c r="T238" s="356"/>
      <c r="U238" s="357"/>
      <c r="V238" s="471"/>
      <c r="W238" s="359"/>
      <c r="X238" s="359"/>
      <c r="Y238" s="359"/>
      <c r="Z238" s="359"/>
      <c r="AA238" s="359"/>
      <c r="AB238" s="360"/>
    </row>
    <row r="239" spans="1:28" ht="13.3" thickBot="1" x14ac:dyDescent="0.25">
      <c r="A239" s="510">
        <v>43170</v>
      </c>
      <c r="B239" s="420" t="s">
        <v>13</v>
      </c>
      <c r="C239" s="408">
        <v>1153.6099999999999</v>
      </c>
      <c r="D239" s="347"/>
      <c r="E239" s="346">
        <v>1204.19</v>
      </c>
      <c r="F239" s="346">
        <v>1289.19</v>
      </c>
      <c r="G239" s="346">
        <v>1356.76</v>
      </c>
      <c r="H239" s="347"/>
      <c r="I239" s="347"/>
      <c r="J239" s="290"/>
      <c r="K239" s="431"/>
      <c r="L239" s="507"/>
      <c r="M239" s="256">
        <v>1196.3499999999999</v>
      </c>
      <c r="N239" s="462">
        <v>1207.9000000000001</v>
      </c>
      <c r="O239" s="442"/>
      <c r="P239" s="348"/>
      <c r="Q239" s="349"/>
      <c r="R239" s="346">
        <v>1282.1099999999999</v>
      </c>
      <c r="S239" s="346">
        <v>1412.15</v>
      </c>
      <c r="T239" s="290"/>
      <c r="U239" s="348"/>
      <c r="V239" s="347"/>
      <c r="W239" s="346">
        <v>961.95</v>
      </c>
      <c r="X239" s="350"/>
      <c r="Y239" s="350"/>
      <c r="Z239" s="350"/>
      <c r="AA239" s="350"/>
      <c r="AB239" s="351"/>
    </row>
    <row r="240" spans="1:28" ht="13.3" thickBot="1" x14ac:dyDescent="0.25">
      <c r="A240" s="510">
        <v>43170</v>
      </c>
      <c r="B240" s="421" t="s">
        <v>12</v>
      </c>
      <c r="C240" s="409">
        <v>1196</v>
      </c>
      <c r="D240" s="249"/>
      <c r="E240" s="250">
        <v>1326</v>
      </c>
      <c r="F240" s="250">
        <v>1404</v>
      </c>
      <c r="G240" s="250">
        <v>1638</v>
      </c>
      <c r="H240" s="249"/>
      <c r="I240" s="249"/>
      <c r="J240" s="330"/>
      <c r="K240" s="432"/>
      <c r="L240" s="508"/>
      <c r="M240" s="468">
        <v>1332</v>
      </c>
      <c r="N240" s="464">
        <v>1332</v>
      </c>
      <c r="O240" s="446"/>
      <c r="P240" s="331"/>
      <c r="Q240" s="332"/>
      <c r="R240" s="250">
        <v>1476</v>
      </c>
      <c r="S240" s="249"/>
      <c r="T240" s="330"/>
      <c r="U240" s="334"/>
      <c r="V240" s="469"/>
      <c r="W240" s="315"/>
      <c r="X240" s="315"/>
      <c r="Y240" s="315"/>
      <c r="Z240" s="315"/>
      <c r="AA240" s="315"/>
      <c r="AB240" s="352"/>
    </row>
    <row r="241" spans="1:28" ht="13.3" thickBot="1" x14ac:dyDescent="0.25">
      <c r="A241" s="510">
        <v>43170</v>
      </c>
      <c r="B241" s="421" t="s">
        <v>11</v>
      </c>
      <c r="C241" s="409">
        <v>1.1100000000000001</v>
      </c>
      <c r="D241" s="249"/>
      <c r="E241" s="250">
        <v>1.22</v>
      </c>
      <c r="F241" s="250">
        <v>1.3</v>
      </c>
      <c r="G241" s="250">
        <v>1.51</v>
      </c>
      <c r="H241" s="249"/>
      <c r="I241" s="249"/>
      <c r="J241" s="330"/>
      <c r="K241" s="432"/>
      <c r="L241" s="508"/>
      <c r="M241" s="463">
        <v>1.33</v>
      </c>
      <c r="N241" s="464">
        <v>1.33</v>
      </c>
      <c r="O241" s="443"/>
      <c r="P241" s="334"/>
      <c r="Q241" s="335"/>
      <c r="R241" s="250">
        <v>1.48</v>
      </c>
      <c r="S241" s="469"/>
      <c r="T241" s="333"/>
      <c r="U241" s="334"/>
      <c r="V241" s="469"/>
      <c r="W241" s="315"/>
      <c r="X241" s="315"/>
      <c r="Y241" s="315"/>
      <c r="Z241" s="315"/>
      <c r="AA241" s="315"/>
      <c r="AB241" s="352"/>
    </row>
    <row r="242" spans="1:28" ht="13.3" thickBot="1" x14ac:dyDescent="0.25">
      <c r="A242" s="510">
        <v>43170</v>
      </c>
      <c r="B242" s="421" t="s">
        <v>15</v>
      </c>
      <c r="C242" s="410">
        <f>(C240-C239)/C240</f>
        <v>3.5443143812709112E-2</v>
      </c>
      <c r="D242" s="336"/>
      <c r="E242" s="336">
        <f>(E240-E239)/E240</f>
        <v>9.186274509803917E-2</v>
      </c>
      <c r="F242" s="336">
        <f>(F240-F239)/F240</f>
        <v>8.177350427350423E-2</v>
      </c>
      <c r="G242" s="336">
        <f>(G240-G239)/G240</f>
        <v>0.17169719169719169</v>
      </c>
      <c r="H242" s="336"/>
      <c r="I242" s="336"/>
      <c r="J242" s="338"/>
      <c r="K242" s="433"/>
      <c r="L242" s="279"/>
      <c r="M242" s="465">
        <f>(M240-M239)/M240</f>
        <v>0.1018393393393394</v>
      </c>
      <c r="N242" s="466">
        <f>(N240-N239)/N240</f>
        <v>9.31681681681681E-2</v>
      </c>
      <c r="O242" s="444"/>
      <c r="P242" s="340"/>
      <c r="Q242" s="341"/>
      <c r="R242" s="336">
        <f>(R240-R239)/R240</f>
        <v>0.13136178861788625</v>
      </c>
      <c r="S242" s="470"/>
      <c r="T242" s="339"/>
      <c r="U242" s="340"/>
      <c r="V242" s="470"/>
      <c r="W242" s="315"/>
      <c r="X242" s="315"/>
      <c r="Y242" s="315"/>
      <c r="Z242" s="315"/>
      <c r="AA242" s="315"/>
      <c r="AB242" s="352"/>
    </row>
    <row r="243" spans="1:28" ht="13.3" thickBot="1" x14ac:dyDescent="0.25">
      <c r="A243" s="510">
        <v>43170</v>
      </c>
      <c r="B243" s="421" t="s">
        <v>16</v>
      </c>
      <c r="C243" s="410">
        <f>(C240-C239)/C239</f>
        <v>3.6745520583212787E-2</v>
      </c>
      <c r="D243" s="336"/>
      <c r="E243" s="336">
        <f>(E240-E239)/E239</f>
        <v>0.1011551333261362</v>
      </c>
      <c r="F243" s="336">
        <f>(F240-F239)/F239</f>
        <v>8.9055918832755404E-2</v>
      </c>
      <c r="G243" s="336">
        <f>(G240-G239)/G239</f>
        <v>0.20728795070609393</v>
      </c>
      <c r="H243" s="336"/>
      <c r="I243" s="336"/>
      <c r="J243" s="338"/>
      <c r="K243" s="433"/>
      <c r="L243" s="279"/>
      <c r="M243" s="465">
        <f>(M240-M239)/M239</f>
        <v>0.11338655075855736</v>
      </c>
      <c r="N243" s="466">
        <f>(N240-N239)/N239</f>
        <v>0.10274029307061834</v>
      </c>
      <c r="O243" s="444"/>
      <c r="P243" s="340"/>
      <c r="Q243" s="341"/>
      <c r="R243" s="336">
        <f>(R240-R239)/R239</f>
        <v>0.15122727379086046</v>
      </c>
      <c r="S243" s="470"/>
      <c r="T243" s="339"/>
      <c r="U243" s="340"/>
      <c r="V243" s="470"/>
      <c r="W243" s="315"/>
      <c r="X243" s="315"/>
      <c r="Y243" s="315"/>
      <c r="Z243" s="315"/>
      <c r="AA243" s="315"/>
      <c r="AB243" s="352"/>
    </row>
    <row r="244" spans="1:28" ht="13.3" thickBot="1" x14ac:dyDescent="0.25">
      <c r="A244" s="510">
        <v>43170</v>
      </c>
      <c r="B244" s="422" t="s">
        <v>10</v>
      </c>
      <c r="C244" s="411">
        <f>C241/C235-1</f>
        <v>9.0909090909090384E-3</v>
      </c>
      <c r="D244" s="353"/>
      <c r="E244" s="353">
        <f>E241/E235-1</f>
        <v>8.2644628099173278E-3</v>
      </c>
      <c r="F244" s="353">
        <f>F241/F235-1</f>
        <v>7.7519379844961378E-3</v>
      </c>
      <c r="G244" s="353">
        <f>G241/G235-1</f>
        <v>6.6666666666665986E-3</v>
      </c>
      <c r="H244" s="353"/>
      <c r="I244" s="353"/>
      <c r="J244" s="355"/>
      <c r="K244" s="434"/>
      <c r="L244" s="509"/>
      <c r="M244" s="467">
        <f>M241/M235-1</f>
        <v>1.5267175572519109E-2</v>
      </c>
      <c r="N244" s="292">
        <f>N241/N235-1</f>
        <v>1.5267175572519109E-2</v>
      </c>
      <c r="O244" s="445"/>
      <c r="P244" s="357"/>
      <c r="Q244" s="358"/>
      <c r="R244" s="353">
        <f>R241/R235-1</f>
        <v>1.3698630136986356E-2</v>
      </c>
      <c r="S244" s="471"/>
      <c r="T244" s="356"/>
      <c r="U244" s="357"/>
      <c r="V244" s="471"/>
      <c r="W244" s="359"/>
      <c r="X244" s="359"/>
      <c r="Y244" s="359"/>
      <c r="Z244" s="359"/>
      <c r="AA244" s="359"/>
      <c r="AB244" s="360"/>
    </row>
    <row r="245" spans="1:28" ht="13.3" thickBot="1" x14ac:dyDescent="0.25">
      <c r="A245" s="510">
        <v>43174</v>
      </c>
      <c r="B245" s="420" t="s">
        <v>13</v>
      </c>
      <c r="C245" s="408">
        <v>1163.75</v>
      </c>
      <c r="D245" s="347"/>
      <c r="E245" s="346">
        <v>1213.83</v>
      </c>
      <c r="F245" s="346">
        <v>1298.78</v>
      </c>
      <c r="G245" s="346">
        <v>1365.56</v>
      </c>
      <c r="H245" s="347"/>
      <c r="I245" s="347"/>
      <c r="J245" s="290"/>
      <c r="K245" s="431"/>
      <c r="L245" s="507"/>
      <c r="M245" s="256">
        <v>1205.1300000000001</v>
      </c>
      <c r="N245" s="462">
        <v>1216.77</v>
      </c>
      <c r="O245" s="442"/>
      <c r="P245" s="348"/>
      <c r="Q245" s="349"/>
      <c r="R245" s="346">
        <v>1290.58</v>
      </c>
      <c r="S245" s="346">
        <v>1421.59</v>
      </c>
      <c r="T245" s="290"/>
      <c r="U245" s="348"/>
      <c r="V245" s="347"/>
      <c r="W245" s="346">
        <v>969.05</v>
      </c>
      <c r="X245" s="350"/>
      <c r="Y245" s="350"/>
      <c r="Z245" s="350"/>
      <c r="AA245" s="350"/>
      <c r="AB245" s="351"/>
    </row>
    <row r="246" spans="1:28" ht="13.3" thickBot="1" x14ac:dyDescent="0.25">
      <c r="A246" s="510">
        <v>43174</v>
      </c>
      <c r="B246" s="421" t="s">
        <v>12</v>
      </c>
      <c r="C246" s="409">
        <v>1209</v>
      </c>
      <c r="D246" s="249"/>
      <c r="E246" s="250">
        <v>1326</v>
      </c>
      <c r="F246" s="250">
        <v>1417</v>
      </c>
      <c r="G246" s="250">
        <v>1651</v>
      </c>
      <c r="H246" s="249"/>
      <c r="I246" s="249"/>
      <c r="J246" s="330"/>
      <c r="K246" s="432"/>
      <c r="L246" s="508"/>
      <c r="M246" s="468">
        <v>1344</v>
      </c>
      <c r="N246" s="464">
        <v>1344</v>
      </c>
      <c r="O246" s="446"/>
      <c r="P246" s="331"/>
      <c r="Q246" s="332"/>
      <c r="R246" s="250">
        <v>1488</v>
      </c>
      <c r="S246" s="249"/>
      <c r="T246" s="330"/>
      <c r="U246" s="334"/>
      <c r="V246" s="469"/>
      <c r="W246" s="315"/>
      <c r="X246" s="315"/>
      <c r="Y246" s="315"/>
      <c r="Z246" s="315"/>
      <c r="AA246" s="315"/>
      <c r="AB246" s="352"/>
    </row>
    <row r="247" spans="1:28" ht="13.3" thickBot="1" x14ac:dyDescent="0.25">
      <c r="A247" s="510">
        <v>43174</v>
      </c>
      <c r="B247" s="421" t="s">
        <v>11</v>
      </c>
      <c r="C247" s="409">
        <v>1.1200000000000001</v>
      </c>
      <c r="D247" s="249"/>
      <c r="E247" s="250">
        <v>1.23</v>
      </c>
      <c r="F247" s="250">
        <v>1.31</v>
      </c>
      <c r="G247" s="250">
        <v>1.52</v>
      </c>
      <c r="H247" s="249"/>
      <c r="I247" s="249"/>
      <c r="J247" s="330"/>
      <c r="K247" s="432"/>
      <c r="L247" s="508"/>
      <c r="M247" s="463">
        <v>1.34</v>
      </c>
      <c r="N247" s="464">
        <v>1.34</v>
      </c>
      <c r="O247" s="443"/>
      <c r="P247" s="334"/>
      <c r="Q247" s="335"/>
      <c r="R247" s="250">
        <v>1.49</v>
      </c>
      <c r="S247" s="469"/>
      <c r="T247" s="333"/>
      <c r="U247" s="334"/>
      <c r="V247" s="469"/>
      <c r="W247" s="315"/>
      <c r="X247" s="315"/>
      <c r="Y247" s="315"/>
      <c r="Z247" s="315"/>
      <c r="AA247" s="315"/>
      <c r="AB247" s="352"/>
    </row>
    <row r="248" spans="1:28" ht="13.3" thickBot="1" x14ac:dyDescent="0.25">
      <c r="A248" s="510">
        <v>43174</v>
      </c>
      <c r="B248" s="421" t="s">
        <v>15</v>
      </c>
      <c r="C248" s="410">
        <f>(C246-C245)/C246</f>
        <v>3.7427626137303556E-2</v>
      </c>
      <c r="D248" s="336"/>
      <c r="E248" s="336">
        <f>(E246-E245)/E246</f>
        <v>8.4592760180995527E-2</v>
      </c>
      <c r="F248" s="336">
        <f>(F246-F245)/F246</f>
        <v>8.3429781227946379E-2</v>
      </c>
      <c r="G248" s="336">
        <f>(G246-G245)/G246</f>
        <v>0.17288915808600852</v>
      </c>
      <c r="H248" s="336"/>
      <c r="I248" s="336"/>
      <c r="J248" s="338"/>
      <c r="K248" s="433"/>
      <c r="L248" s="279"/>
      <c r="M248" s="465">
        <f>(M246-M245)/M246</f>
        <v>0.10332589285714278</v>
      </c>
      <c r="N248" s="466">
        <f>(N246-N245)/N246</f>
        <v>9.4665178571428588E-2</v>
      </c>
      <c r="O248" s="444"/>
      <c r="P248" s="340"/>
      <c r="Q248" s="341"/>
      <c r="R248" s="336">
        <f>(R246-R245)/R246</f>
        <v>0.13267473118279574</v>
      </c>
      <c r="S248" s="470"/>
      <c r="T248" s="339"/>
      <c r="U248" s="340"/>
      <c r="V248" s="470"/>
      <c r="W248" s="315"/>
      <c r="X248" s="315"/>
      <c r="Y248" s="315"/>
      <c r="Z248" s="315"/>
      <c r="AA248" s="315"/>
      <c r="AB248" s="352"/>
    </row>
    <row r="249" spans="1:28" ht="13.3" thickBot="1" x14ac:dyDescent="0.25">
      <c r="A249" s="510">
        <v>43174</v>
      </c>
      <c r="B249" s="421" t="s">
        <v>16</v>
      </c>
      <c r="C249" s="410">
        <f>(C246-C245)/C245</f>
        <v>3.8882921589688507E-2</v>
      </c>
      <c r="D249" s="336"/>
      <c r="E249" s="336">
        <f>(E246-E245)/E245</f>
        <v>9.2409975037690675E-2</v>
      </c>
      <c r="F249" s="336">
        <f>(F246-F245)/F245</f>
        <v>9.1023883952632487E-2</v>
      </c>
      <c r="G249" s="336">
        <f>(G246-G245)/G245</f>
        <v>0.20902779811945288</v>
      </c>
      <c r="H249" s="336"/>
      <c r="I249" s="336"/>
      <c r="J249" s="338"/>
      <c r="K249" s="433"/>
      <c r="L249" s="279"/>
      <c r="M249" s="465">
        <f>(M246-M245)/M245</f>
        <v>0.11523238156879331</v>
      </c>
      <c r="N249" s="466">
        <f>(N246-N245)/N245</f>
        <v>0.10456372198525607</v>
      </c>
      <c r="O249" s="444"/>
      <c r="P249" s="340"/>
      <c r="Q249" s="341"/>
      <c r="R249" s="336">
        <f>(R246-R245)/R245</f>
        <v>0.15296998248849361</v>
      </c>
      <c r="S249" s="470"/>
      <c r="T249" s="339"/>
      <c r="U249" s="340"/>
      <c r="V249" s="470"/>
      <c r="W249" s="315"/>
      <c r="X249" s="315"/>
      <c r="Y249" s="315"/>
      <c r="Z249" s="315"/>
      <c r="AA249" s="315"/>
      <c r="AB249" s="352"/>
    </row>
    <row r="250" spans="1:28" ht="13.3" thickBot="1" x14ac:dyDescent="0.25">
      <c r="A250" s="510">
        <v>43174</v>
      </c>
      <c r="B250" s="422" t="s">
        <v>10</v>
      </c>
      <c r="C250" s="411">
        <f>C247/C241-1</f>
        <v>9.009009009008917E-3</v>
      </c>
      <c r="D250" s="353"/>
      <c r="E250" s="353">
        <f>E247/E241-1</f>
        <v>8.1967213114753079E-3</v>
      </c>
      <c r="F250" s="353">
        <f>F247/F241-1</f>
        <v>7.692307692307665E-3</v>
      </c>
      <c r="G250" s="353">
        <f>G247/G241-1</f>
        <v>6.6225165562914245E-3</v>
      </c>
      <c r="H250" s="353"/>
      <c r="I250" s="353"/>
      <c r="J250" s="355"/>
      <c r="K250" s="434"/>
      <c r="L250" s="509"/>
      <c r="M250" s="467">
        <f>M247/M241-1</f>
        <v>7.5187969924812581E-3</v>
      </c>
      <c r="N250" s="292">
        <f>N247/N241-1</f>
        <v>7.5187969924812581E-3</v>
      </c>
      <c r="O250" s="445"/>
      <c r="P250" s="357"/>
      <c r="Q250" s="358"/>
      <c r="R250" s="353">
        <f>R247/R241-1</f>
        <v>6.7567567567567988E-3</v>
      </c>
      <c r="S250" s="471"/>
      <c r="T250" s="356"/>
      <c r="U250" s="357"/>
      <c r="V250" s="471"/>
      <c r="W250" s="359"/>
      <c r="X250" s="359"/>
      <c r="Y250" s="359"/>
      <c r="Z250" s="359"/>
      <c r="AA250" s="359"/>
      <c r="AB250" s="360"/>
    </row>
    <row r="251" spans="1:28" ht="13.3" thickBot="1" x14ac:dyDescent="0.25">
      <c r="A251" s="510">
        <v>43183</v>
      </c>
      <c r="B251" s="419" t="s">
        <v>53</v>
      </c>
      <c r="C251" s="408">
        <v>1173.8900000000001</v>
      </c>
      <c r="D251" s="347"/>
      <c r="E251" s="346">
        <v>1223.47</v>
      </c>
      <c r="F251" s="346">
        <v>1308.48</v>
      </c>
      <c r="G251" s="346">
        <v>1374.36</v>
      </c>
      <c r="H251" s="347"/>
      <c r="I251" s="347"/>
      <c r="J251" s="290"/>
      <c r="K251" s="431"/>
      <c r="L251" s="507"/>
      <c r="M251" s="256">
        <v>1213.9100000000001</v>
      </c>
      <c r="N251" s="462">
        <v>1225.6400000000001</v>
      </c>
      <c r="O251" s="442"/>
      <c r="P251" s="348"/>
      <c r="Q251" s="349"/>
      <c r="R251" s="346">
        <v>1299.05</v>
      </c>
      <c r="S251" s="346"/>
      <c r="T251" s="290"/>
      <c r="U251" s="348"/>
      <c r="V251" s="347"/>
      <c r="W251" s="346">
        <v>976.2</v>
      </c>
    </row>
    <row r="252" spans="1:28" ht="13.3" thickBot="1" x14ac:dyDescent="0.25">
      <c r="A252" s="510">
        <v>43183</v>
      </c>
      <c r="B252" s="415" t="s">
        <v>54</v>
      </c>
      <c r="C252" s="409">
        <v>1222</v>
      </c>
      <c r="D252" s="249"/>
      <c r="E252" s="250">
        <v>1339</v>
      </c>
      <c r="F252" s="250">
        <v>1430</v>
      </c>
      <c r="G252" s="250">
        <v>1651</v>
      </c>
      <c r="H252" s="249"/>
      <c r="I252" s="249"/>
      <c r="J252" s="330"/>
      <c r="K252" s="432"/>
      <c r="L252" s="508"/>
      <c r="M252" s="468">
        <v>1344</v>
      </c>
      <c r="N252" s="464">
        <v>1344</v>
      </c>
      <c r="O252" s="446"/>
      <c r="P252" s="331"/>
      <c r="Q252" s="332"/>
      <c r="R252" s="250">
        <v>1500</v>
      </c>
      <c r="S252" s="249"/>
      <c r="T252" s="330"/>
      <c r="U252" s="334"/>
      <c r="V252" s="469"/>
      <c r="W252" s="315"/>
    </row>
    <row r="253" spans="1:28" ht="13.3" thickBot="1" x14ac:dyDescent="0.25">
      <c r="A253" s="510">
        <v>43183</v>
      </c>
      <c r="B253" s="415" t="s">
        <v>55</v>
      </c>
      <c r="C253" s="409">
        <v>1.1299999999999999</v>
      </c>
      <c r="D253" s="249"/>
      <c r="E253" s="250">
        <v>1.24</v>
      </c>
      <c r="F253" s="250">
        <v>1.32</v>
      </c>
      <c r="G253" s="250">
        <v>1.53</v>
      </c>
      <c r="H253" s="249"/>
      <c r="I253" s="249"/>
      <c r="J253" s="330"/>
      <c r="K253" s="432"/>
      <c r="L253" s="508"/>
      <c r="M253" s="463">
        <v>1.35</v>
      </c>
      <c r="N253" s="464">
        <v>1.35</v>
      </c>
      <c r="O253" s="443"/>
      <c r="P253" s="334"/>
      <c r="Q253" s="335"/>
      <c r="R253" s="250">
        <v>1.5</v>
      </c>
      <c r="S253" s="469"/>
      <c r="T253" s="333"/>
      <c r="U253" s="334"/>
      <c r="V253" s="469"/>
      <c r="W253" s="315"/>
    </row>
    <row r="254" spans="1:28" ht="13.3" thickBot="1" x14ac:dyDescent="0.25">
      <c r="A254" s="510">
        <v>43183</v>
      </c>
      <c r="B254" s="415" t="s">
        <v>56</v>
      </c>
      <c r="C254" s="410">
        <f>(C252-C251)/C252</f>
        <v>3.936988543371514E-2</v>
      </c>
      <c r="D254" s="336"/>
      <c r="E254" s="336">
        <f>(E252-E251)/E252</f>
        <v>8.6280806572068686E-2</v>
      </c>
      <c r="F254" s="336">
        <f>(F252-F251)/F252</f>
        <v>8.4979020979020964E-2</v>
      </c>
      <c r="G254" s="336">
        <f>(G252-G251)/G252</f>
        <v>0.16755905511811028</v>
      </c>
      <c r="H254" s="336"/>
      <c r="I254" s="336"/>
      <c r="J254" s="338"/>
      <c r="K254" s="433"/>
      <c r="L254" s="279"/>
      <c r="M254" s="465">
        <f>(M252-M251)/M252</f>
        <v>9.6793154761904698E-2</v>
      </c>
      <c r="N254" s="466">
        <f>(N252-N251)/N252</f>
        <v>8.8065476190476111E-2</v>
      </c>
      <c r="O254" s="444"/>
      <c r="P254" s="340"/>
      <c r="Q254" s="341"/>
      <c r="R254" s="336">
        <f>(R252-R251)/R252</f>
        <v>0.13396666666666671</v>
      </c>
      <c r="S254" s="470"/>
      <c r="T254" s="339"/>
      <c r="U254" s="340"/>
      <c r="V254" s="470"/>
      <c r="W254" s="315"/>
    </row>
    <row r="255" spans="1:28" ht="13.3" thickBot="1" x14ac:dyDescent="0.25">
      <c r="A255" s="510">
        <v>43183</v>
      </c>
      <c r="B255" s="415" t="s">
        <v>57</v>
      </c>
      <c r="C255" s="410">
        <f>(C252-C251)/C251</f>
        <v>4.0983397081498181E-2</v>
      </c>
      <c r="D255" s="336"/>
      <c r="E255" s="336">
        <f>(E252-E251)/E251</f>
        <v>9.4428142905016041E-2</v>
      </c>
      <c r="F255" s="336">
        <f>(F252-F251)/F251</f>
        <v>9.2871117632673014E-2</v>
      </c>
      <c r="G255" s="336">
        <f>(G252-G251)/G251</f>
        <v>0.2012864169504352</v>
      </c>
      <c r="H255" s="336"/>
      <c r="I255" s="336"/>
      <c r="J255" s="338"/>
      <c r="K255" s="433"/>
      <c r="L255" s="279"/>
      <c r="M255" s="465">
        <f>(M252-M251)/M251</f>
        <v>0.1071660996284732</v>
      </c>
      <c r="N255" s="466">
        <f>(N252-N251)/N251</f>
        <v>9.6569955288665424E-2</v>
      </c>
      <c r="O255" s="444"/>
      <c r="P255" s="340"/>
      <c r="Q255" s="341"/>
      <c r="R255" s="336">
        <f>(R252-R251)/R251</f>
        <v>0.15468996574419772</v>
      </c>
      <c r="S255" s="470"/>
      <c r="T255" s="339"/>
      <c r="U255" s="340"/>
      <c r="V255" s="470"/>
      <c r="W255" s="315"/>
    </row>
    <row r="256" spans="1:28" ht="13.3" thickBot="1" x14ac:dyDescent="0.25">
      <c r="A256" s="510">
        <v>43183</v>
      </c>
      <c r="B256" s="418" t="s">
        <v>58</v>
      </c>
      <c r="C256" s="411">
        <f>C253/C247-1</f>
        <v>8.9285714285711748E-3</v>
      </c>
      <c r="D256" s="353"/>
      <c r="E256" s="353">
        <f>E253/E247-1</f>
        <v>8.1300813008129413E-3</v>
      </c>
      <c r="F256" s="353">
        <f>F253/F247-1</f>
        <v>7.6335877862594437E-3</v>
      </c>
      <c r="G256" s="353">
        <f>G253/G247-1</f>
        <v>6.5789473684210176E-3</v>
      </c>
      <c r="H256" s="353"/>
      <c r="I256" s="353"/>
      <c r="J256" s="355"/>
      <c r="K256" s="434"/>
      <c r="L256" s="509"/>
      <c r="M256" s="467">
        <f>M253/M247-1</f>
        <v>7.4626865671640896E-3</v>
      </c>
      <c r="N256" s="292">
        <f>N253/N247-1</f>
        <v>7.4626865671640896E-3</v>
      </c>
      <c r="O256" s="445"/>
      <c r="P256" s="357"/>
      <c r="Q256" s="358"/>
      <c r="R256" s="353">
        <f>R253/R247-1</f>
        <v>6.7114093959732557E-3</v>
      </c>
      <c r="S256" s="471"/>
      <c r="T256" s="356"/>
      <c r="U256" s="357"/>
      <c r="V256" s="471"/>
      <c r="W256" s="359"/>
    </row>
    <row r="257" spans="1:23" ht="13.3" thickBot="1" x14ac:dyDescent="0.25">
      <c r="A257" s="510">
        <v>43189</v>
      </c>
      <c r="B257" s="419" t="s">
        <v>53</v>
      </c>
      <c r="C257" s="408">
        <v>1187.03</v>
      </c>
      <c r="D257" s="347"/>
      <c r="E257" s="346">
        <v>1236.1099999999999</v>
      </c>
      <c r="F257" s="346">
        <v>1321.18</v>
      </c>
      <c r="G257" s="346">
        <v>1386.16</v>
      </c>
      <c r="H257" s="347"/>
      <c r="I257" s="347"/>
      <c r="J257" s="290"/>
      <c r="K257" s="431"/>
      <c r="L257" s="507"/>
      <c r="M257" s="256">
        <v>1225.69</v>
      </c>
      <c r="N257" s="462">
        <v>1237.51</v>
      </c>
      <c r="O257" s="442"/>
      <c r="P257" s="348"/>
      <c r="Q257" s="349"/>
      <c r="R257" s="346">
        <v>1310.52</v>
      </c>
      <c r="S257" s="346"/>
      <c r="T257" s="290"/>
      <c r="U257" s="348"/>
      <c r="V257" s="347"/>
      <c r="W257" s="346">
        <v>986.31</v>
      </c>
    </row>
    <row r="258" spans="1:23" ht="13.3" thickBot="1" x14ac:dyDescent="0.25">
      <c r="A258" s="510">
        <v>43189</v>
      </c>
      <c r="B258" s="415" t="s">
        <v>54</v>
      </c>
      <c r="C258" s="409">
        <v>1235</v>
      </c>
      <c r="D258" s="249"/>
      <c r="E258" s="250">
        <v>1352</v>
      </c>
      <c r="F258" s="250">
        <v>1443</v>
      </c>
      <c r="G258" s="250">
        <v>1664</v>
      </c>
      <c r="H258" s="249"/>
      <c r="I258" s="249"/>
      <c r="J258" s="330"/>
      <c r="K258" s="432"/>
      <c r="L258" s="508"/>
      <c r="M258" s="468">
        <v>1356</v>
      </c>
      <c r="N258" s="464">
        <v>1356</v>
      </c>
      <c r="O258" s="446"/>
      <c r="P258" s="331"/>
      <c r="Q258" s="332"/>
      <c r="R258" s="250">
        <v>1512</v>
      </c>
      <c r="S258" s="249"/>
      <c r="T258" s="330"/>
      <c r="U258" s="334"/>
      <c r="V258" s="469"/>
      <c r="W258" s="315"/>
    </row>
    <row r="259" spans="1:23" ht="13.3" thickBot="1" x14ac:dyDescent="0.25">
      <c r="A259" s="510">
        <v>43189</v>
      </c>
      <c r="B259" s="415" t="s">
        <v>55</v>
      </c>
      <c r="C259" s="409">
        <v>1.1399999999999999</v>
      </c>
      <c r="D259" s="249"/>
      <c r="E259" s="250">
        <v>1.25</v>
      </c>
      <c r="F259" s="250">
        <v>1.33</v>
      </c>
      <c r="G259" s="250">
        <v>1.54</v>
      </c>
      <c r="H259" s="249"/>
      <c r="I259" s="249"/>
      <c r="J259" s="330"/>
      <c r="K259" s="432"/>
      <c r="L259" s="508"/>
      <c r="M259" s="463">
        <v>1.36</v>
      </c>
      <c r="N259" s="464">
        <v>1.36</v>
      </c>
      <c r="O259" s="443"/>
      <c r="P259" s="334"/>
      <c r="Q259" s="335"/>
      <c r="R259" s="250">
        <v>1.51</v>
      </c>
      <c r="S259" s="469"/>
      <c r="T259" s="333"/>
      <c r="U259" s="334"/>
      <c r="V259" s="469"/>
      <c r="W259" s="315"/>
    </row>
    <row r="260" spans="1:23" ht="13.3" thickBot="1" x14ac:dyDescent="0.25">
      <c r="A260" s="510">
        <v>43189</v>
      </c>
      <c r="B260" s="415" t="s">
        <v>56</v>
      </c>
      <c r="C260" s="410">
        <f>(C258-C257)/C258</f>
        <v>3.8842105263157914E-2</v>
      </c>
      <c r="D260" s="336"/>
      <c r="E260" s="336">
        <f>(E258-E257)/E258</f>
        <v>8.5717455621301855E-2</v>
      </c>
      <c r="F260" s="336">
        <f>(F258-F257)/F258</f>
        <v>8.4421344421344371E-2</v>
      </c>
      <c r="G260" s="336">
        <f>(G258-G257)/G258</f>
        <v>0.1669711538461538</v>
      </c>
      <c r="H260" s="336"/>
      <c r="I260" s="336"/>
      <c r="J260" s="338"/>
      <c r="K260" s="433"/>
      <c r="L260" s="279"/>
      <c r="M260" s="465">
        <f>(M258-M257)/M258</f>
        <v>9.6098820058997003E-2</v>
      </c>
      <c r="N260" s="466">
        <f>(N258-N257)/N258</f>
        <v>8.7382005899705018E-2</v>
      </c>
      <c r="O260" s="444"/>
      <c r="P260" s="340"/>
      <c r="Q260" s="341"/>
      <c r="R260" s="336">
        <f>(R258-R257)/R258</f>
        <v>0.13325396825396826</v>
      </c>
      <c r="S260" s="470"/>
      <c r="T260" s="339"/>
      <c r="U260" s="340"/>
      <c r="V260" s="470"/>
      <c r="W260" s="315"/>
    </row>
    <row r="261" spans="1:23" ht="13.3" thickBot="1" x14ac:dyDescent="0.25">
      <c r="A261" s="510">
        <v>43189</v>
      </c>
      <c r="B261" s="415" t="s">
        <v>57</v>
      </c>
      <c r="C261" s="410">
        <f>(C258-C257)/C257</f>
        <v>4.0411784032417061E-2</v>
      </c>
      <c r="D261" s="336"/>
      <c r="E261" s="336">
        <f>(E258-E257)/E257</f>
        <v>9.3753792138240213E-2</v>
      </c>
      <c r="F261" s="336">
        <f>(F258-F257)/F257</f>
        <v>9.2205452701372967E-2</v>
      </c>
      <c r="G261" s="336">
        <f>(G258-G257)/G257</f>
        <v>0.20043862180412067</v>
      </c>
      <c r="H261" s="336"/>
      <c r="I261" s="336"/>
      <c r="J261" s="338"/>
      <c r="K261" s="433"/>
      <c r="L261" s="279"/>
      <c r="M261" s="465">
        <f>(M258-M257)/M257</f>
        <v>0.10631562630028796</v>
      </c>
      <c r="N261" s="466">
        <f>(N258-N257)/N257</f>
        <v>9.5748721222454772E-2</v>
      </c>
      <c r="O261" s="444"/>
      <c r="P261" s="340"/>
      <c r="Q261" s="341"/>
      <c r="R261" s="336">
        <f>(R258-R257)/R257</f>
        <v>0.15374049995421665</v>
      </c>
      <c r="S261" s="470"/>
      <c r="T261" s="339"/>
      <c r="U261" s="340"/>
      <c r="V261" s="470"/>
      <c r="W261" s="315"/>
    </row>
    <row r="262" spans="1:23" ht="13.3" thickBot="1" x14ac:dyDescent="0.25">
      <c r="A262" s="510">
        <v>43189</v>
      </c>
      <c r="B262" s="418" t="s">
        <v>58</v>
      </c>
      <c r="C262" s="411">
        <f>C259/C253-1</f>
        <v>8.8495575221239076E-3</v>
      </c>
      <c r="D262" s="353"/>
      <c r="E262" s="353">
        <f>E259/E253-1</f>
        <v>8.0645161290322509E-3</v>
      </c>
      <c r="F262" s="353">
        <f>F259/F253-1</f>
        <v>7.575757575757569E-3</v>
      </c>
      <c r="G262" s="353">
        <f>G259/G253-1</f>
        <v>6.5359477124182774E-3</v>
      </c>
      <c r="H262" s="353"/>
      <c r="I262" s="353"/>
      <c r="J262" s="355"/>
      <c r="K262" s="434"/>
      <c r="L262" s="509"/>
      <c r="M262" s="467">
        <f>M259/M253-1</f>
        <v>7.4074074074073071E-3</v>
      </c>
      <c r="N262" s="292">
        <f>N259/N253-1</f>
        <v>7.4074074074073071E-3</v>
      </c>
      <c r="O262" s="445"/>
      <c r="P262" s="357"/>
      <c r="Q262" s="358"/>
      <c r="R262" s="353">
        <f>R259/R253-1</f>
        <v>6.6666666666665986E-3</v>
      </c>
      <c r="S262" s="471"/>
      <c r="T262" s="356"/>
      <c r="U262" s="357"/>
      <c r="V262" s="471"/>
      <c r="W262" s="359"/>
    </row>
    <row r="263" spans="1:23" ht="13.3" thickBot="1" x14ac:dyDescent="0.25">
      <c r="A263" s="510">
        <v>43193</v>
      </c>
      <c r="B263" s="419" t="s">
        <v>53</v>
      </c>
      <c r="C263" s="408">
        <v>1197.17</v>
      </c>
      <c r="D263" s="347"/>
      <c r="E263" s="346">
        <v>1245.75</v>
      </c>
      <c r="F263" s="346">
        <v>1330.88</v>
      </c>
      <c r="G263" s="346">
        <v>1394.96</v>
      </c>
      <c r="H263" s="347"/>
      <c r="I263" s="347"/>
      <c r="J263" s="290"/>
      <c r="K263" s="431"/>
      <c r="L263" s="507"/>
      <c r="M263" s="256">
        <v>1234.47</v>
      </c>
      <c r="N263" s="462">
        <v>1246.3800000000001</v>
      </c>
      <c r="O263" s="442"/>
      <c r="P263" s="348"/>
      <c r="Q263" s="349"/>
      <c r="R263" s="346">
        <v>1318.99</v>
      </c>
      <c r="S263" s="346"/>
      <c r="T263" s="290"/>
      <c r="U263" s="348"/>
      <c r="V263" s="347"/>
      <c r="W263" s="346">
        <v>993.47</v>
      </c>
    </row>
    <row r="264" spans="1:23" ht="13.3" thickBot="1" x14ac:dyDescent="0.25">
      <c r="A264" s="510">
        <v>43193</v>
      </c>
      <c r="B264" s="415" t="s">
        <v>54</v>
      </c>
      <c r="C264" s="409">
        <v>1248</v>
      </c>
      <c r="D264" s="249"/>
      <c r="E264" s="250">
        <v>1365</v>
      </c>
      <c r="F264" s="250">
        <v>1456</v>
      </c>
      <c r="G264" s="250">
        <v>1677</v>
      </c>
      <c r="H264" s="249"/>
      <c r="I264" s="249"/>
      <c r="J264" s="330"/>
      <c r="K264" s="432"/>
      <c r="L264" s="508"/>
      <c r="M264" s="468">
        <v>1368</v>
      </c>
      <c r="N264" s="464">
        <v>1368</v>
      </c>
      <c r="O264" s="446"/>
      <c r="P264" s="331"/>
      <c r="Q264" s="332"/>
      <c r="R264" s="250">
        <v>1524</v>
      </c>
      <c r="S264" s="249"/>
      <c r="T264" s="330"/>
      <c r="U264" s="334"/>
      <c r="V264" s="469"/>
      <c r="W264" s="315"/>
    </row>
    <row r="265" spans="1:23" ht="13.3" thickBot="1" x14ac:dyDescent="0.25">
      <c r="A265" s="510">
        <v>43193</v>
      </c>
      <c r="B265" s="415" t="s">
        <v>55</v>
      </c>
      <c r="C265" s="409">
        <v>1.1499999999999999</v>
      </c>
      <c r="D265" s="249"/>
      <c r="E265" s="250">
        <v>1.26</v>
      </c>
      <c r="F265" s="250">
        <v>1.34</v>
      </c>
      <c r="G265" s="250">
        <v>1.55</v>
      </c>
      <c r="H265" s="249"/>
      <c r="I265" s="249"/>
      <c r="J265" s="330"/>
      <c r="K265" s="432"/>
      <c r="L265" s="508"/>
      <c r="M265" s="463">
        <v>1.37</v>
      </c>
      <c r="N265" s="464">
        <v>1.37</v>
      </c>
      <c r="O265" s="443"/>
      <c r="P265" s="334"/>
      <c r="Q265" s="335"/>
      <c r="R265" s="250">
        <v>1.52</v>
      </c>
      <c r="S265" s="469"/>
      <c r="T265" s="333"/>
      <c r="U265" s="334"/>
      <c r="V265" s="469"/>
      <c r="W265" s="315"/>
    </row>
    <row r="266" spans="1:23" ht="13.3" thickBot="1" x14ac:dyDescent="0.25">
      <c r="A266" s="510">
        <v>43193</v>
      </c>
      <c r="B266" s="415" t="s">
        <v>56</v>
      </c>
      <c r="C266" s="410">
        <f>(C264-C263)/C264</f>
        <v>4.0729166666666608E-2</v>
      </c>
      <c r="D266" s="336"/>
      <c r="E266" s="336">
        <f>(E264-E263)/E264</f>
        <v>8.7362637362637358E-2</v>
      </c>
      <c r="F266" s="336">
        <f>(F264-F263)/F264</f>
        <v>8.5934065934065856E-2</v>
      </c>
      <c r="G266" s="336">
        <f>(G264-G263)/G264</f>
        <v>0.16818127608825281</v>
      </c>
      <c r="H266" s="336"/>
      <c r="I266" s="336"/>
      <c r="J266" s="338"/>
      <c r="K266" s="433"/>
      <c r="L266" s="279"/>
      <c r="M266" s="465">
        <f>(M264-M263)/M264</f>
        <v>9.7609649122806993E-2</v>
      </c>
      <c r="N266" s="466">
        <f>(N264-N263)/N264</f>
        <v>8.8903508771929748E-2</v>
      </c>
      <c r="O266" s="444"/>
      <c r="P266" s="340"/>
      <c r="Q266" s="341"/>
      <c r="R266" s="336">
        <f>(R264-R263)/R264</f>
        <v>0.13452099737532808</v>
      </c>
      <c r="S266" s="470"/>
      <c r="T266" s="339"/>
      <c r="U266" s="340"/>
      <c r="V266" s="470"/>
      <c r="W266" s="315"/>
    </row>
    <row r="267" spans="1:23" ht="13.3" thickBot="1" x14ac:dyDescent="0.25">
      <c r="A267" s="510">
        <v>43193</v>
      </c>
      <c r="B267" s="415" t="s">
        <v>57</v>
      </c>
      <c r="C267" s="410">
        <f>(C264-C263)/C263</f>
        <v>4.2458464545553201E-2</v>
      </c>
      <c r="D267" s="336"/>
      <c r="E267" s="336">
        <f>(E264-E263)/E263</f>
        <v>9.5725466586393734E-2</v>
      </c>
      <c r="F267" s="336">
        <f>(F264-F263)/F263</f>
        <v>9.401298389035817E-2</v>
      </c>
      <c r="G267" s="336">
        <f>(G264-G263)/G263</f>
        <v>0.20218500888914373</v>
      </c>
      <c r="H267" s="336"/>
      <c r="I267" s="336"/>
      <c r="J267" s="338"/>
      <c r="K267" s="433"/>
      <c r="L267" s="279"/>
      <c r="M267" s="465">
        <f>(M264-M263)/M263</f>
        <v>0.10816787771270259</v>
      </c>
      <c r="N267" s="466">
        <f>(N264-N263)/N263</f>
        <v>9.7578587589659552E-2</v>
      </c>
      <c r="O267" s="444"/>
      <c r="P267" s="340"/>
      <c r="Q267" s="341"/>
      <c r="R267" s="336">
        <f>(R264-R263)/R263</f>
        <v>0.15542953320343594</v>
      </c>
      <c r="S267" s="470"/>
      <c r="T267" s="339"/>
      <c r="U267" s="340"/>
      <c r="V267" s="470"/>
      <c r="W267" s="315"/>
    </row>
    <row r="268" spans="1:23" ht="13.3" thickBot="1" x14ac:dyDescent="0.25">
      <c r="A268" s="510">
        <v>43193</v>
      </c>
      <c r="B268" s="418" t="s">
        <v>58</v>
      </c>
      <c r="C268" s="411">
        <f>C265/C259-1</f>
        <v>8.7719298245614308E-3</v>
      </c>
      <c r="D268" s="353"/>
      <c r="E268" s="353">
        <f>E265/E259-1</f>
        <v>8.0000000000000071E-3</v>
      </c>
      <c r="F268" s="353">
        <f>F265/F259-1</f>
        <v>7.5187969924812581E-3</v>
      </c>
      <c r="G268" s="353">
        <f>G265/G259-1</f>
        <v>6.4935064935065512E-3</v>
      </c>
      <c r="H268" s="353"/>
      <c r="I268" s="353"/>
      <c r="J268" s="355"/>
      <c r="K268" s="434"/>
      <c r="L268" s="509"/>
      <c r="M268" s="467">
        <f>M265/M259-1</f>
        <v>7.3529411764705621E-3</v>
      </c>
      <c r="N268" s="292">
        <f>N265/N259-1</f>
        <v>7.3529411764705621E-3</v>
      </c>
      <c r="O268" s="445"/>
      <c r="P268" s="357"/>
      <c r="Q268" s="358"/>
      <c r="R268" s="353">
        <f>R265/R259-1</f>
        <v>6.6225165562914245E-3</v>
      </c>
      <c r="S268" s="471"/>
      <c r="T268" s="356"/>
      <c r="U268" s="357"/>
      <c r="V268" s="471"/>
      <c r="W268" s="359"/>
    </row>
    <row r="269" spans="1:23" ht="13.3" thickBot="1" x14ac:dyDescent="0.25">
      <c r="A269" s="510">
        <v>43204</v>
      </c>
      <c r="B269" s="419" t="s">
        <v>53</v>
      </c>
      <c r="C269" s="408">
        <v>1207.31</v>
      </c>
      <c r="D269" s="347"/>
      <c r="E269" s="346">
        <v>1255.3900000000001</v>
      </c>
      <c r="F269" s="346">
        <v>1340.58</v>
      </c>
      <c r="G269" s="346">
        <v>1403.76</v>
      </c>
      <c r="H269" s="347"/>
      <c r="I269" s="347"/>
      <c r="J269" s="290"/>
      <c r="K269" s="431"/>
      <c r="L269" s="507"/>
      <c r="M269" s="256">
        <v>1225.69</v>
      </c>
      <c r="N269" s="462">
        <v>1237.51</v>
      </c>
      <c r="O269" s="442"/>
      <c r="P269" s="348"/>
      <c r="Q269" s="349"/>
      <c r="R269" s="346">
        <v>1310.52</v>
      </c>
      <c r="S269" s="346"/>
      <c r="T269" s="290"/>
      <c r="U269" s="348"/>
      <c r="V269" s="347"/>
      <c r="W269" s="346">
        <v>1000.78</v>
      </c>
    </row>
    <row r="270" spans="1:23" ht="13.3" thickBot="1" x14ac:dyDescent="0.25">
      <c r="A270" s="510">
        <v>43204</v>
      </c>
      <c r="B270" s="415" t="s">
        <v>54</v>
      </c>
      <c r="C270" s="409">
        <v>1261</v>
      </c>
      <c r="D270" s="249"/>
      <c r="E270" s="250">
        <v>1378</v>
      </c>
      <c r="F270" s="250">
        <v>1456</v>
      </c>
      <c r="G270" s="250">
        <v>1690</v>
      </c>
      <c r="H270" s="249"/>
      <c r="I270" s="249"/>
      <c r="J270" s="330"/>
      <c r="K270" s="432"/>
      <c r="L270" s="508"/>
      <c r="M270" s="468">
        <v>1356</v>
      </c>
      <c r="N270" s="464">
        <v>1356</v>
      </c>
      <c r="O270" s="446"/>
      <c r="P270" s="331"/>
      <c r="Q270" s="332"/>
      <c r="R270" s="250">
        <v>1512</v>
      </c>
      <c r="S270" s="249"/>
      <c r="T270" s="330"/>
      <c r="U270" s="334"/>
      <c r="V270" s="469"/>
      <c r="W270" s="315"/>
    </row>
    <row r="271" spans="1:23" ht="13.3" thickBot="1" x14ac:dyDescent="0.25">
      <c r="A271" s="510">
        <v>43204</v>
      </c>
      <c r="B271" s="415" t="s">
        <v>55</v>
      </c>
      <c r="C271" s="409">
        <v>1.1599999999999999</v>
      </c>
      <c r="D271" s="249"/>
      <c r="E271" s="250">
        <v>1.27</v>
      </c>
      <c r="F271" s="250">
        <v>1.35</v>
      </c>
      <c r="G271" s="250">
        <v>1.56</v>
      </c>
      <c r="H271" s="249"/>
      <c r="I271" s="249"/>
      <c r="J271" s="330"/>
      <c r="K271" s="432"/>
      <c r="L271" s="508"/>
      <c r="M271" s="463">
        <v>1.36</v>
      </c>
      <c r="N271" s="464">
        <v>1.36</v>
      </c>
      <c r="O271" s="443"/>
      <c r="P271" s="334"/>
      <c r="Q271" s="335"/>
      <c r="R271" s="250">
        <v>1.51</v>
      </c>
      <c r="S271" s="469"/>
      <c r="T271" s="333"/>
      <c r="U271" s="334"/>
      <c r="V271" s="469"/>
      <c r="W271" s="315"/>
    </row>
    <row r="272" spans="1:23" ht="13.3" thickBot="1" x14ac:dyDescent="0.25">
      <c r="A272" s="510">
        <v>43204</v>
      </c>
      <c r="B272" s="415" t="s">
        <v>56</v>
      </c>
      <c r="C272" s="410">
        <f>(C270-C269)/C270</f>
        <v>4.2577319587628906E-2</v>
      </c>
      <c r="D272" s="336"/>
      <c r="E272" s="336">
        <f>(E270-E269)/E270</f>
        <v>8.8976777939042018E-2</v>
      </c>
      <c r="F272" s="336">
        <f>(F270-F269)/F270</f>
        <v>7.9271978021978065E-2</v>
      </c>
      <c r="G272" s="336">
        <f>(G270-G269)/G270</f>
        <v>0.16937278106508877</v>
      </c>
      <c r="H272" s="336"/>
      <c r="I272" s="336"/>
      <c r="J272" s="338"/>
      <c r="K272" s="433"/>
      <c r="L272" s="279"/>
      <c r="M272" s="465">
        <f>(M270-M269)/M270</f>
        <v>9.6098820058997003E-2</v>
      </c>
      <c r="N272" s="466">
        <f>(N270-N269)/N270</f>
        <v>8.7382005899705018E-2</v>
      </c>
      <c r="O272" s="444"/>
      <c r="P272" s="340"/>
      <c r="Q272" s="341"/>
      <c r="R272" s="336">
        <f>(R270-R269)/R270</f>
        <v>0.13325396825396826</v>
      </c>
      <c r="S272" s="470"/>
      <c r="T272" s="339"/>
      <c r="U272" s="340"/>
      <c r="V272" s="470"/>
      <c r="W272" s="315"/>
    </row>
    <row r="273" spans="1:23" ht="13.3" thickBot="1" x14ac:dyDescent="0.25">
      <c r="A273" s="510">
        <v>43204</v>
      </c>
      <c r="B273" s="415" t="s">
        <v>57</v>
      </c>
      <c r="C273" s="410">
        <f>(C270-C269)/C269</f>
        <v>4.447076558630348E-2</v>
      </c>
      <c r="D273" s="336"/>
      <c r="E273" s="336">
        <f>(E270-E269)/E269</f>
        <v>9.7666860497534549E-2</v>
      </c>
      <c r="F273" s="336">
        <f>(F270-F269)/F269</f>
        <v>8.6097062465500071E-2</v>
      </c>
      <c r="G273" s="336">
        <f>(G270-G269)/G269</f>
        <v>0.2039095001994643</v>
      </c>
      <c r="H273" s="336"/>
      <c r="I273" s="336"/>
      <c r="J273" s="338"/>
      <c r="K273" s="433"/>
      <c r="L273" s="279"/>
      <c r="M273" s="465">
        <f>(M270-M269)/M269</f>
        <v>0.10631562630028796</v>
      </c>
      <c r="N273" s="466">
        <f>(N270-N269)/N269</f>
        <v>9.5748721222454772E-2</v>
      </c>
      <c r="O273" s="444"/>
      <c r="P273" s="340"/>
      <c r="Q273" s="341"/>
      <c r="R273" s="336">
        <f>(R270-R269)/R269</f>
        <v>0.15374049995421665</v>
      </c>
      <c r="S273" s="470"/>
      <c r="T273" s="339"/>
      <c r="U273" s="340"/>
      <c r="V273" s="470"/>
      <c r="W273" s="315"/>
    </row>
    <row r="274" spans="1:23" ht="13.3" thickBot="1" x14ac:dyDescent="0.25">
      <c r="A274" s="510">
        <v>43204</v>
      </c>
      <c r="B274" s="418" t="s">
        <v>58</v>
      </c>
      <c r="C274" s="411">
        <f>C271/C265-1</f>
        <v>8.6956521739129933E-3</v>
      </c>
      <c r="D274" s="353"/>
      <c r="E274" s="353">
        <f>E271/E265-1</f>
        <v>7.9365079365079083E-3</v>
      </c>
      <c r="F274" s="353">
        <f>F271/F265-1</f>
        <v>7.4626865671640896E-3</v>
      </c>
      <c r="G274" s="353">
        <f>G271/G265-1</f>
        <v>6.4516129032257119E-3</v>
      </c>
      <c r="H274" s="353"/>
      <c r="I274" s="353"/>
      <c r="J274" s="355"/>
      <c r="K274" s="434"/>
      <c r="L274" s="509"/>
      <c r="M274" s="467">
        <f>M271/M265-1</f>
        <v>-7.2992700729926918E-3</v>
      </c>
      <c r="N274" s="292">
        <f>N271/N265-1</f>
        <v>-7.2992700729926918E-3</v>
      </c>
      <c r="O274" s="445"/>
      <c r="P274" s="357"/>
      <c r="Q274" s="358"/>
      <c r="R274" s="353">
        <f>R271/R265-1</f>
        <v>-6.5789473684210176E-3</v>
      </c>
      <c r="S274" s="471"/>
      <c r="T274" s="356"/>
      <c r="U274" s="357"/>
      <c r="V274" s="471"/>
      <c r="W274" s="359"/>
    </row>
    <row r="275" spans="1:23" ht="13.3" thickBot="1" x14ac:dyDescent="0.25">
      <c r="A275" s="510">
        <v>43217</v>
      </c>
      <c r="B275" s="419" t="s">
        <v>53</v>
      </c>
      <c r="C275" s="408">
        <v>1207.31</v>
      </c>
      <c r="D275" s="347"/>
      <c r="E275" s="346">
        <v>1255.3900000000001</v>
      </c>
      <c r="F275" s="346">
        <v>1340.58</v>
      </c>
      <c r="G275" s="346">
        <v>1403.76</v>
      </c>
      <c r="H275" s="347"/>
      <c r="I275" s="347"/>
      <c r="J275" s="290"/>
      <c r="K275" s="431"/>
      <c r="L275" s="507"/>
      <c r="M275" s="256">
        <v>1225.69</v>
      </c>
      <c r="N275" s="462">
        <v>1237.51</v>
      </c>
      <c r="O275" s="442"/>
      <c r="P275" s="348"/>
      <c r="Q275" s="349"/>
      <c r="R275" s="346">
        <v>1310.52</v>
      </c>
      <c r="S275" s="346"/>
      <c r="T275" s="290"/>
      <c r="U275" s="348"/>
      <c r="V275" s="347"/>
      <c r="W275" s="346">
        <v>1000.78</v>
      </c>
    </row>
    <row r="276" spans="1:23" ht="13.3" thickBot="1" x14ac:dyDescent="0.25">
      <c r="A276" s="510">
        <v>43217</v>
      </c>
      <c r="B276" s="415" t="s">
        <v>54</v>
      </c>
      <c r="C276" s="409">
        <v>1261</v>
      </c>
      <c r="D276" s="249"/>
      <c r="E276" s="250">
        <v>1378</v>
      </c>
      <c r="F276" s="250">
        <v>1456</v>
      </c>
      <c r="G276" s="250">
        <v>1690</v>
      </c>
      <c r="H276" s="249"/>
      <c r="I276" s="249"/>
      <c r="J276" s="330"/>
      <c r="K276" s="432"/>
      <c r="L276" s="508"/>
      <c r="M276" s="468">
        <v>1344</v>
      </c>
      <c r="N276" s="464">
        <v>1344</v>
      </c>
      <c r="O276" s="446"/>
      <c r="P276" s="331"/>
      <c r="Q276" s="332"/>
      <c r="R276" s="250">
        <v>1500</v>
      </c>
      <c r="S276" s="249"/>
      <c r="T276" s="330"/>
      <c r="U276" s="334"/>
      <c r="V276" s="469"/>
      <c r="W276" s="315"/>
    </row>
    <row r="277" spans="1:23" ht="13.3" thickBot="1" x14ac:dyDescent="0.25">
      <c r="A277" s="510">
        <v>43217</v>
      </c>
      <c r="B277" s="415" t="s">
        <v>55</v>
      </c>
      <c r="C277" s="409">
        <v>1.1599999999999999</v>
      </c>
      <c r="D277" s="249"/>
      <c r="E277" s="250">
        <v>1.27</v>
      </c>
      <c r="F277" s="250">
        <v>1.35</v>
      </c>
      <c r="G277" s="250">
        <v>1.56</v>
      </c>
      <c r="H277" s="249"/>
      <c r="I277" s="249"/>
      <c r="J277" s="330"/>
      <c r="K277" s="432"/>
      <c r="L277" s="508"/>
      <c r="M277" s="463">
        <v>1.35</v>
      </c>
      <c r="N277" s="464">
        <v>1.35</v>
      </c>
      <c r="O277" s="443"/>
      <c r="P277" s="334"/>
      <c r="Q277" s="335"/>
      <c r="R277" s="250">
        <v>1.5</v>
      </c>
      <c r="S277" s="469"/>
      <c r="T277" s="333"/>
      <c r="U277" s="334"/>
      <c r="V277" s="469"/>
      <c r="W277" s="315"/>
    </row>
    <row r="278" spans="1:23" ht="13.3" thickBot="1" x14ac:dyDescent="0.25">
      <c r="A278" s="510">
        <v>43217</v>
      </c>
      <c r="B278" s="415" t="s">
        <v>56</v>
      </c>
      <c r="C278" s="410">
        <f>(C276-C275)/C276</f>
        <v>4.2577319587628906E-2</v>
      </c>
      <c r="D278" s="336"/>
      <c r="E278" s="336">
        <f>(E276-E275)/E276</f>
        <v>8.8976777939042018E-2</v>
      </c>
      <c r="F278" s="336">
        <f>(F276-F275)/F276</f>
        <v>7.9271978021978065E-2</v>
      </c>
      <c r="G278" s="336">
        <f>(G276-G275)/G276</f>
        <v>0.16937278106508877</v>
      </c>
      <c r="H278" s="336"/>
      <c r="I278" s="336"/>
      <c r="J278" s="338"/>
      <c r="K278" s="433"/>
      <c r="L278" s="279"/>
      <c r="M278" s="465">
        <f>(M276-M275)/M276</f>
        <v>8.8028273809523772E-2</v>
      </c>
      <c r="N278" s="466">
        <f>(N276-N275)/N276</f>
        <v>7.9233630952380965E-2</v>
      </c>
      <c r="O278" s="444"/>
      <c r="P278" s="340"/>
      <c r="Q278" s="341"/>
      <c r="R278" s="336">
        <f>(R276-R275)/R276</f>
        <v>0.12632000000000002</v>
      </c>
      <c r="S278" s="470"/>
      <c r="T278" s="339"/>
      <c r="U278" s="340"/>
      <c r="V278" s="470"/>
      <c r="W278" s="315"/>
    </row>
    <row r="279" spans="1:23" ht="13.3" thickBot="1" x14ac:dyDescent="0.25">
      <c r="A279" s="510">
        <v>43217</v>
      </c>
      <c r="B279" s="415" t="s">
        <v>57</v>
      </c>
      <c r="C279" s="410">
        <f>(C276-C275)/C275</f>
        <v>4.447076558630348E-2</v>
      </c>
      <c r="D279" s="336"/>
      <c r="E279" s="336">
        <f>(E276-E275)/E275</f>
        <v>9.7666860497534549E-2</v>
      </c>
      <c r="F279" s="336">
        <f>(F276-F275)/F275</f>
        <v>8.6097062465500071E-2</v>
      </c>
      <c r="G279" s="336">
        <f>(G276-G275)/G275</f>
        <v>0.2039095001994643</v>
      </c>
      <c r="H279" s="336"/>
      <c r="I279" s="336"/>
      <c r="J279" s="338"/>
      <c r="K279" s="433"/>
      <c r="L279" s="279"/>
      <c r="M279" s="465">
        <f>(M276-M275)/M275</f>
        <v>9.6525222527719029E-2</v>
      </c>
      <c r="N279" s="466">
        <f>(N276-N275)/N275</f>
        <v>8.6051829884202957E-2</v>
      </c>
      <c r="O279" s="444"/>
      <c r="P279" s="340"/>
      <c r="Q279" s="341"/>
      <c r="R279" s="336">
        <f>(R276-R275)/R275</f>
        <v>0.14458382931965938</v>
      </c>
      <c r="S279" s="470"/>
      <c r="T279" s="339"/>
      <c r="U279" s="340"/>
      <c r="V279" s="470"/>
      <c r="W279" s="315"/>
    </row>
    <row r="280" spans="1:23" ht="13.3" thickBot="1" x14ac:dyDescent="0.25">
      <c r="A280" s="510">
        <v>43217</v>
      </c>
      <c r="B280" s="418" t="s">
        <v>58</v>
      </c>
      <c r="C280" s="411">
        <f>C277/C271-1</f>
        <v>0</v>
      </c>
      <c r="D280" s="353"/>
      <c r="E280" s="353">
        <f>E277/E271-1</f>
        <v>0</v>
      </c>
      <c r="F280" s="353">
        <f>F277/F271-1</f>
        <v>0</v>
      </c>
      <c r="G280" s="353">
        <f>G277/G271-1</f>
        <v>0</v>
      </c>
      <c r="H280" s="353"/>
      <c r="I280" s="353"/>
      <c r="J280" s="355"/>
      <c r="K280" s="434"/>
      <c r="L280" s="509"/>
      <c r="M280" s="467">
        <f>M277/M271-1</f>
        <v>-7.3529411764705621E-3</v>
      </c>
      <c r="N280" s="292">
        <f>N277/N271-1</f>
        <v>-7.3529411764705621E-3</v>
      </c>
      <c r="O280" s="445"/>
      <c r="P280" s="357"/>
      <c r="Q280" s="358"/>
      <c r="R280" s="353">
        <f>R277/R271-1</f>
        <v>-6.6225165562914245E-3</v>
      </c>
      <c r="S280" s="471"/>
      <c r="T280" s="356"/>
      <c r="U280" s="357"/>
      <c r="V280" s="471"/>
      <c r="W280" s="359"/>
    </row>
    <row r="281" spans="1:23" ht="13.3" thickBot="1" x14ac:dyDescent="0.25">
      <c r="A281" s="510">
        <v>43232</v>
      </c>
      <c r="B281" s="419" t="s">
        <v>53</v>
      </c>
      <c r="C281" s="408">
        <v>1217.45</v>
      </c>
      <c r="D281" s="347"/>
      <c r="E281" s="346">
        <v>1255.3900000000001</v>
      </c>
      <c r="F281" s="346">
        <v>1350.28</v>
      </c>
      <c r="G281" s="346">
        <v>1412.56</v>
      </c>
      <c r="H281" s="347"/>
      <c r="I281" s="347"/>
      <c r="J281" s="290"/>
      <c r="K281" s="431"/>
      <c r="L281" s="507"/>
      <c r="M281" s="256">
        <v>1234.54</v>
      </c>
      <c r="N281" s="462">
        <v>1246.45</v>
      </c>
      <c r="O281" s="442"/>
      <c r="P281" s="348"/>
      <c r="Q281" s="349"/>
      <c r="R281" s="346">
        <v>1319.05</v>
      </c>
      <c r="S281" s="346"/>
      <c r="T281" s="290"/>
      <c r="U281" s="348"/>
      <c r="V281" s="347"/>
      <c r="W281" s="346">
        <v>1007.96</v>
      </c>
    </row>
    <row r="282" spans="1:23" ht="13.3" thickBot="1" x14ac:dyDescent="0.25">
      <c r="A282" s="510">
        <v>43232</v>
      </c>
      <c r="B282" s="415" t="s">
        <v>54</v>
      </c>
      <c r="C282" s="409">
        <v>1261</v>
      </c>
      <c r="D282" s="249"/>
      <c r="E282" s="250">
        <v>1391</v>
      </c>
      <c r="F282" s="250">
        <v>1469</v>
      </c>
      <c r="G282" s="250">
        <v>1703</v>
      </c>
      <c r="H282" s="249"/>
      <c r="I282" s="249"/>
      <c r="J282" s="330"/>
      <c r="K282" s="432"/>
      <c r="L282" s="508"/>
      <c r="M282" s="468">
        <v>1356</v>
      </c>
      <c r="N282" s="464">
        <v>1356</v>
      </c>
      <c r="O282" s="446"/>
      <c r="P282" s="331"/>
      <c r="Q282" s="332"/>
      <c r="R282" s="250">
        <v>1512</v>
      </c>
      <c r="S282" s="249"/>
      <c r="T282" s="330"/>
      <c r="U282" s="334"/>
      <c r="V282" s="469"/>
      <c r="W282" s="315"/>
    </row>
    <row r="283" spans="1:23" ht="13.3" thickBot="1" x14ac:dyDescent="0.25">
      <c r="A283" s="510">
        <v>43232</v>
      </c>
      <c r="B283" s="415" t="s">
        <v>55</v>
      </c>
      <c r="C283" s="409">
        <v>1.17</v>
      </c>
      <c r="D283" s="249"/>
      <c r="E283" s="250">
        <v>1.27</v>
      </c>
      <c r="F283" s="250">
        <v>1.35</v>
      </c>
      <c r="G283" s="250">
        <v>1.56</v>
      </c>
      <c r="H283" s="249"/>
      <c r="I283" s="249"/>
      <c r="J283" s="330"/>
      <c r="K283" s="432"/>
      <c r="L283" s="508"/>
      <c r="M283" s="463">
        <v>1.35</v>
      </c>
      <c r="N283" s="464">
        <v>1.35</v>
      </c>
      <c r="O283" s="443"/>
      <c r="P283" s="334"/>
      <c r="Q283" s="335"/>
      <c r="R283" s="250">
        <v>1.5</v>
      </c>
      <c r="S283" s="469"/>
      <c r="T283" s="333"/>
      <c r="U283" s="334"/>
      <c r="V283" s="469"/>
      <c r="W283" s="315"/>
    </row>
    <row r="284" spans="1:23" ht="13.3" thickBot="1" x14ac:dyDescent="0.25">
      <c r="A284" s="510">
        <v>43232</v>
      </c>
      <c r="B284" s="415" t="s">
        <v>56</v>
      </c>
      <c r="C284" s="410">
        <f>(C282-C281)/C282</f>
        <v>3.4536082474226765E-2</v>
      </c>
      <c r="D284" s="336"/>
      <c r="E284" s="336">
        <f>(E282-E281)/E282</f>
        <v>9.7491013659237888E-2</v>
      </c>
      <c r="F284" s="336">
        <f>(F282-F281)/F282</f>
        <v>8.0816882232811457E-2</v>
      </c>
      <c r="G284" s="336">
        <f>(G282-G281)/G282</f>
        <v>0.17054609512624783</v>
      </c>
      <c r="H284" s="336"/>
      <c r="I284" s="336"/>
      <c r="J284" s="338"/>
      <c r="K284" s="433"/>
      <c r="L284" s="279"/>
      <c r="M284" s="465">
        <f>(M282-M281)/M282</f>
        <v>8.9572271386430702E-2</v>
      </c>
      <c r="N284" s="466">
        <f>(N282-N281)/N282</f>
        <v>8.0789085545722686E-2</v>
      </c>
      <c r="O284" s="444"/>
      <c r="P284" s="340"/>
      <c r="Q284" s="341"/>
      <c r="R284" s="336">
        <f>(R282-R281)/R282</f>
        <v>0.1276124338624339</v>
      </c>
      <c r="S284" s="470"/>
      <c r="T284" s="339"/>
      <c r="U284" s="340"/>
      <c r="V284" s="470"/>
      <c r="W284" s="315"/>
    </row>
    <row r="285" spans="1:23" ht="13.3" thickBot="1" x14ac:dyDescent="0.25">
      <c r="A285" s="510">
        <v>43232</v>
      </c>
      <c r="B285" s="415" t="s">
        <v>57</v>
      </c>
      <c r="C285" s="410">
        <f>(C282-C281)/C281</f>
        <v>3.5771489588894784E-2</v>
      </c>
      <c r="D285" s="336"/>
      <c r="E285" s="336">
        <f>(E282-E281)/E281</f>
        <v>0.10802220823807732</v>
      </c>
      <c r="F285" s="336">
        <f>(F282-F281)/F281</f>
        <v>8.7922504961933837E-2</v>
      </c>
      <c r="G285" s="336">
        <f>(G282-G281)/G281</f>
        <v>0.20561250495554176</v>
      </c>
      <c r="H285" s="336"/>
      <c r="I285" s="336"/>
      <c r="J285" s="338"/>
      <c r="K285" s="433"/>
      <c r="L285" s="279"/>
      <c r="M285" s="465">
        <f>(M282-M281)/M281</f>
        <v>9.8384823497011067E-2</v>
      </c>
      <c r="N285" s="466">
        <f>(N282-N281)/N281</f>
        <v>8.788960648241001E-2</v>
      </c>
      <c r="O285" s="444"/>
      <c r="P285" s="340"/>
      <c r="Q285" s="341"/>
      <c r="R285" s="336">
        <f>(R282-R281)/R281</f>
        <v>0.14627951935104813</v>
      </c>
      <c r="S285" s="470"/>
      <c r="T285" s="339"/>
      <c r="U285" s="340"/>
      <c r="V285" s="470"/>
      <c r="W285" s="315"/>
    </row>
    <row r="286" spans="1:23" ht="13.3" thickBot="1" x14ac:dyDescent="0.25">
      <c r="A286" s="510">
        <v>43232</v>
      </c>
      <c r="B286" s="418" t="s">
        <v>58</v>
      </c>
      <c r="C286" s="411">
        <f>C283/C277-1</f>
        <v>8.6206896551723755E-3</v>
      </c>
      <c r="D286" s="353"/>
      <c r="E286" s="353">
        <f>E283/E277-1</f>
        <v>0</v>
      </c>
      <c r="F286" s="353">
        <f>F283/F277-1</f>
        <v>0</v>
      </c>
      <c r="G286" s="353">
        <f>G283/G277-1</f>
        <v>0</v>
      </c>
      <c r="H286" s="353"/>
      <c r="I286" s="353"/>
      <c r="J286" s="355"/>
      <c r="K286" s="434"/>
      <c r="L286" s="509"/>
      <c r="M286" s="467">
        <f>M283/M277-1</f>
        <v>0</v>
      </c>
      <c r="N286" s="292">
        <f>N283/N277-1</f>
        <v>0</v>
      </c>
      <c r="O286" s="445"/>
      <c r="P286" s="357"/>
      <c r="Q286" s="358"/>
      <c r="R286" s="353">
        <f>R283/R277-1</f>
        <v>0</v>
      </c>
      <c r="S286" s="471"/>
      <c r="T286" s="356"/>
      <c r="U286" s="357"/>
      <c r="V286" s="471"/>
      <c r="W286" s="359"/>
    </row>
    <row r="287" spans="1:23" ht="13.3" thickBot="1" x14ac:dyDescent="0.25">
      <c r="A287" s="510">
        <v>43235</v>
      </c>
      <c r="B287" s="419" t="s">
        <v>53</v>
      </c>
      <c r="C287" s="408">
        <v>1227.5899999999999</v>
      </c>
      <c r="D287" s="347"/>
      <c r="E287" s="346">
        <v>1257.06</v>
      </c>
      <c r="F287" s="346">
        <v>1359.98</v>
      </c>
      <c r="G287" s="346">
        <v>1421.36</v>
      </c>
      <c r="H287" s="347"/>
      <c r="I287" s="347"/>
      <c r="J287" s="290"/>
      <c r="K287" s="431"/>
      <c r="L287" s="507"/>
      <c r="M287" s="256">
        <v>1243.3900000000001</v>
      </c>
      <c r="N287" s="462">
        <v>1255.3900000000001</v>
      </c>
      <c r="O287" s="442"/>
      <c r="P287" s="348"/>
      <c r="Q287" s="349"/>
      <c r="R287" s="346">
        <v>1327.58</v>
      </c>
      <c r="S287" s="346"/>
      <c r="T287" s="290"/>
      <c r="U287" s="348"/>
      <c r="V287" s="347"/>
      <c r="W287" s="346">
        <v>1015.06</v>
      </c>
    </row>
    <row r="288" spans="1:23" ht="13.3" thickBot="1" x14ac:dyDescent="0.25">
      <c r="A288" s="510">
        <v>43235</v>
      </c>
      <c r="B288" s="415" t="s">
        <v>54</v>
      </c>
      <c r="C288" s="409">
        <v>1274</v>
      </c>
      <c r="D288" s="249"/>
      <c r="E288" s="250">
        <v>1391</v>
      </c>
      <c r="F288" s="250">
        <v>1482</v>
      </c>
      <c r="G288" s="250">
        <v>1716</v>
      </c>
      <c r="H288" s="249"/>
      <c r="I288" s="249"/>
      <c r="J288" s="330"/>
      <c r="K288" s="432"/>
      <c r="L288" s="508"/>
      <c r="M288" s="468">
        <v>1368</v>
      </c>
      <c r="N288" s="464">
        <v>1368</v>
      </c>
      <c r="O288" s="446"/>
      <c r="P288" s="331"/>
      <c r="Q288" s="332"/>
      <c r="R288" s="250">
        <v>1524</v>
      </c>
      <c r="S288" s="249"/>
      <c r="T288" s="330"/>
      <c r="U288" s="334"/>
      <c r="V288" s="469"/>
      <c r="W288" s="315"/>
    </row>
    <row r="289" spans="1:23" ht="13.3" thickBot="1" x14ac:dyDescent="0.25">
      <c r="A289" s="510">
        <v>43235</v>
      </c>
      <c r="B289" s="415" t="s">
        <v>55</v>
      </c>
      <c r="C289" s="409">
        <v>1.18</v>
      </c>
      <c r="D289" s="249"/>
      <c r="E289" s="250">
        <v>1.29</v>
      </c>
      <c r="F289" s="250">
        <v>1.37</v>
      </c>
      <c r="G289" s="250">
        <v>1.58</v>
      </c>
      <c r="H289" s="249"/>
      <c r="I289" s="249"/>
      <c r="J289" s="330"/>
      <c r="K289" s="432"/>
      <c r="L289" s="508"/>
      <c r="M289" s="463">
        <v>1.37</v>
      </c>
      <c r="N289" s="464">
        <v>1.37</v>
      </c>
      <c r="O289" s="443"/>
      <c r="P289" s="334"/>
      <c r="Q289" s="335"/>
      <c r="R289" s="250">
        <v>1.52</v>
      </c>
      <c r="S289" s="469"/>
      <c r="T289" s="333"/>
      <c r="U289" s="334"/>
      <c r="V289" s="469"/>
      <c r="W289" s="315"/>
    </row>
    <row r="290" spans="1:23" ht="13.3" thickBot="1" x14ac:dyDescent="0.25">
      <c r="A290" s="510">
        <v>43235</v>
      </c>
      <c r="B290" s="415" t="s">
        <v>56</v>
      </c>
      <c r="C290" s="410">
        <f>(C288-C287)/C288</f>
        <v>3.6428571428571491E-2</v>
      </c>
      <c r="D290" s="336"/>
      <c r="E290" s="336">
        <f>(E288-E287)/E288</f>
        <v>9.6290438533429223E-2</v>
      </c>
      <c r="F290" s="336">
        <f>(F288-F287)/F288</f>
        <v>8.233468286099864E-2</v>
      </c>
      <c r="G290" s="336">
        <f>(G288-G287)/G288</f>
        <v>0.17170163170163175</v>
      </c>
      <c r="H290" s="336"/>
      <c r="I290" s="336"/>
      <c r="J290" s="338"/>
      <c r="K290" s="433"/>
      <c r="L290" s="279"/>
      <c r="M290" s="465">
        <f>(M288-M287)/M288</f>
        <v>9.1089181286549636E-2</v>
      </c>
      <c r="N290" s="466">
        <f>(N288-N287)/N288</f>
        <v>8.2317251461988233E-2</v>
      </c>
      <c r="O290" s="444"/>
      <c r="P290" s="340"/>
      <c r="Q290" s="341"/>
      <c r="R290" s="336">
        <f>(R288-R287)/R288</f>
        <v>0.1288845144356956</v>
      </c>
      <c r="S290" s="470"/>
      <c r="T290" s="339"/>
      <c r="U290" s="340"/>
      <c r="V290" s="470"/>
      <c r="W290" s="315"/>
    </row>
    <row r="291" spans="1:23" ht="13.3" thickBot="1" x14ac:dyDescent="0.25">
      <c r="A291" s="510">
        <v>43235</v>
      </c>
      <c r="B291" s="415" t="s">
        <v>57</v>
      </c>
      <c r="C291" s="410">
        <f>(C288-C287)/C287</f>
        <v>3.7805782060785838E-2</v>
      </c>
      <c r="D291" s="336"/>
      <c r="E291" s="336">
        <f>(E288-E287)/E287</f>
        <v>0.10655020444529303</v>
      </c>
      <c r="F291" s="336">
        <f>(F288-F287)/F287</f>
        <v>8.9721907675112858E-2</v>
      </c>
      <c r="G291" s="336">
        <f>(G288-G287)/G287</f>
        <v>0.20729442224348521</v>
      </c>
      <c r="H291" s="336"/>
      <c r="I291" s="336"/>
      <c r="J291" s="338"/>
      <c r="K291" s="433"/>
      <c r="L291" s="279"/>
      <c r="M291" s="465">
        <f>(M288-M287)/M287</f>
        <v>0.10021795253299438</v>
      </c>
      <c r="N291" s="466">
        <f>(N288-N287)/N287</f>
        <v>8.9701208389424719E-2</v>
      </c>
      <c r="O291" s="444"/>
      <c r="P291" s="340"/>
      <c r="Q291" s="341"/>
      <c r="R291" s="336">
        <f>(R288-R287)/R287</f>
        <v>0.14795341900299799</v>
      </c>
      <c r="S291" s="470"/>
      <c r="T291" s="339"/>
      <c r="U291" s="340"/>
      <c r="V291" s="470"/>
      <c r="W291" s="315"/>
    </row>
    <row r="292" spans="1:23" ht="13.3" thickBot="1" x14ac:dyDescent="0.25">
      <c r="A292" s="510">
        <v>43235</v>
      </c>
      <c r="B292" s="418" t="s">
        <v>58</v>
      </c>
      <c r="C292" s="411">
        <f>C289/C283-1</f>
        <v>8.5470085470085166E-3</v>
      </c>
      <c r="D292" s="353"/>
      <c r="E292" s="353">
        <f>E289/E283-1</f>
        <v>1.5748031496062964E-2</v>
      </c>
      <c r="F292" s="353">
        <f>F289/F283-1</f>
        <v>1.4814814814814836E-2</v>
      </c>
      <c r="G292" s="353">
        <f>G289/G283-1</f>
        <v>1.2820512820512775E-2</v>
      </c>
      <c r="H292" s="353"/>
      <c r="I292" s="353"/>
      <c r="J292" s="355"/>
      <c r="K292" s="434"/>
      <c r="L292" s="509"/>
      <c r="M292" s="467">
        <f>M289/M283-1</f>
        <v>1.4814814814814836E-2</v>
      </c>
      <c r="N292" s="292">
        <f>N289/N283-1</f>
        <v>1.4814814814814836E-2</v>
      </c>
      <c r="O292" s="445"/>
      <c r="P292" s="357"/>
      <c r="Q292" s="358"/>
      <c r="R292" s="353">
        <f>R289/R283-1</f>
        <v>1.3333333333333419E-2</v>
      </c>
      <c r="S292" s="471"/>
      <c r="T292" s="356"/>
      <c r="U292" s="357"/>
      <c r="V292" s="471"/>
      <c r="W292" s="359"/>
    </row>
    <row r="293" spans="1:23" ht="13.3" thickBot="1" x14ac:dyDescent="0.25">
      <c r="A293" s="510">
        <v>43324</v>
      </c>
      <c r="B293" s="419" t="s">
        <v>53</v>
      </c>
      <c r="C293" s="408">
        <v>1237.73</v>
      </c>
      <c r="D293" s="347"/>
      <c r="E293" s="346">
        <v>1284.31</v>
      </c>
      <c r="F293" s="346">
        <v>1369.68</v>
      </c>
      <c r="G293" s="346">
        <v>1430.16</v>
      </c>
      <c r="H293" s="347"/>
      <c r="I293" s="347"/>
      <c r="J293" s="290"/>
      <c r="K293" s="431"/>
      <c r="L293" s="507"/>
      <c r="M293" s="256">
        <v>1252.24</v>
      </c>
      <c r="N293" s="462">
        <v>1264.33</v>
      </c>
      <c r="O293" s="442"/>
      <c r="P293" s="348"/>
      <c r="Q293" s="349"/>
      <c r="R293" s="346">
        <v>1336.11</v>
      </c>
      <c r="S293" s="346"/>
      <c r="T293" s="290"/>
      <c r="U293" s="348"/>
      <c r="V293" s="347"/>
      <c r="W293" s="346">
        <v>1022.27</v>
      </c>
    </row>
    <row r="294" spans="1:23" ht="13.3" thickBot="1" x14ac:dyDescent="0.25">
      <c r="A294" s="510">
        <v>43324</v>
      </c>
      <c r="B294" s="415" t="s">
        <v>54</v>
      </c>
      <c r="C294" s="409">
        <v>1287</v>
      </c>
      <c r="D294" s="249"/>
      <c r="E294" s="250">
        <v>1404</v>
      </c>
      <c r="F294" s="250">
        <v>1495</v>
      </c>
      <c r="G294" s="250">
        <v>1716</v>
      </c>
      <c r="H294" s="249"/>
      <c r="I294" s="249"/>
      <c r="J294" s="330"/>
      <c r="K294" s="432"/>
      <c r="L294" s="508"/>
      <c r="M294" s="468">
        <v>1380</v>
      </c>
      <c r="N294" s="464">
        <v>1380</v>
      </c>
      <c r="O294" s="446"/>
      <c r="P294" s="331"/>
      <c r="Q294" s="332"/>
      <c r="R294" s="250">
        <v>1524</v>
      </c>
      <c r="S294" s="249"/>
      <c r="T294" s="330"/>
      <c r="U294" s="334"/>
      <c r="V294" s="469"/>
      <c r="W294" s="315"/>
    </row>
    <row r="295" spans="1:23" ht="13.3" thickBot="1" x14ac:dyDescent="0.25">
      <c r="A295" s="510">
        <v>43324</v>
      </c>
      <c r="B295" s="415" t="s">
        <v>55</v>
      </c>
      <c r="C295" s="409">
        <v>1.19</v>
      </c>
      <c r="D295" s="249"/>
      <c r="E295" s="250">
        <v>1.3</v>
      </c>
      <c r="F295" s="250">
        <v>1.38</v>
      </c>
      <c r="G295" s="250">
        <v>1.59</v>
      </c>
      <c r="H295" s="249"/>
      <c r="I295" s="249"/>
      <c r="J295" s="330"/>
      <c r="K295" s="432"/>
      <c r="L295" s="508"/>
      <c r="M295" s="463">
        <v>1.38</v>
      </c>
      <c r="N295" s="464">
        <v>1.38</v>
      </c>
      <c r="O295" s="443"/>
      <c r="P295" s="334"/>
      <c r="Q295" s="335"/>
      <c r="R295" s="250">
        <v>1.53</v>
      </c>
      <c r="S295" s="469"/>
      <c r="T295" s="333"/>
      <c r="U295" s="334"/>
      <c r="V295" s="469"/>
      <c r="W295" s="315"/>
    </row>
    <row r="296" spans="1:23" ht="13.3" thickBot="1" x14ac:dyDescent="0.25">
      <c r="A296" s="510">
        <v>43324</v>
      </c>
      <c r="B296" s="415" t="s">
        <v>56</v>
      </c>
      <c r="C296" s="410">
        <f>(C294-C293)/C294</f>
        <v>3.8282828282828266E-2</v>
      </c>
      <c r="D296" s="336"/>
      <c r="E296" s="336">
        <f>(E294-E293)/E294</f>
        <v>8.5249287749287792E-2</v>
      </c>
      <c r="F296" s="336">
        <f>(F294-F293)/F294</f>
        <v>8.3826086956521703E-2</v>
      </c>
      <c r="G296" s="336">
        <f>(G294-G293)/G294</f>
        <v>0.16657342657342653</v>
      </c>
      <c r="H296" s="336"/>
      <c r="I296" s="336"/>
      <c r="J296" s="338"/>
      <c r="K296" s="433"/>
      <c r="L296" s="279"/>
      <c r="M296" s="465">
        <f>(M294-M293)/M294</f>
        <v>9.2579710144927524E-2</v>
      </c>
      <c r="N296" s="466">
        <f>(N294-N293)/N294</f>
        <v>8.3818840579710202E-2</v>
      </c>
      <c r="O296" s="444"/>
      <c r="P296" s="340"/>
      <c r="Q296" s="341"/>
      <c r="R296" s="336">
        <f>(R294-R293)/R294</f>
        <v>0.12328740157480321</v>
      </c>
      <c r="S296" s="470"/>
      <c r="T296" s="339"/>
      <c r="U296" s="340"/>
      <c r="V296" s="470"/>
      <c r="W296" s="315"/>
    </row>
    <row r="297" spans="1:23" ht="13.3" thickBot="1" x14ac:dyDescent="0.25">
      <c r="A297" s="510">
        <v>43324</v>
      </c>
      <c r="B297" s="415" t="s">
        <v>57</v>
      </c>
      <c r="C297" s="410">
        <f>(C294-C293)/C293</f>
        <v>3.9806742989181791E-2</v>
      </c>
      <c r="D297" s="336"/>
      <c r="E297" s="336">
        <f>(E294-E293)/E293</f>
        <v>9.3194010791787074E-2</v>
      </c>
      <c r="F297" s="336">
        <f>(F294-F293)/F293</f>
        <v>9.1495823842065255E-2</v>
      </c>
      <c r="G297" s="336">
        <f>(G294-G293)/G293</f>
        <v>0.19986574928679302</v>
      </c>
      <c r="H297" s="336"/>
      <c r="I297" s="336"/>
      <c r="J297" s="338"/>
      <c r="K297" s="433"/>
      <c r="L297" s="279"/>
      <c r="M297" s="465">
        <f>(M294-M293)/M293</f>
        <v>0.10202517089375837</v>
      </c>
      <c r="N297" s="466">
        <f>(N294-N293)/N293</f>
        <v>9.1487190844162583E-2</v>
      </c>
      <c r="O297" s="444"/>
      <c r="P297" s="340"/>
      <c r="Q297" s="341"/>
      <c r="R297" s="336">
        <f>(R294-R293)/R293</f>
        <v>0.14062464916810749</v>
      </c>
      <c r="S297" s="470"/>
      <c r="T297" s="339"/>
      <c r="U297" s="340"/>
      <c r="V297" s="470"/>
      <c r="W297" s="315"/>
    </row>
    <row r="298" spans="1:23" ht="13.3" thickBot="1" x14ac:dyDescent="0.25">
      <c r="A298" s="510">
        <v>43324</v>
      </c>
      <c r="B298" s="418" t="s">
        <v>58</v>
      </c>
      <c r="C298" s="411">
        <f>C295/C289-1</f>
        <v>8.4745762711864181E-3</v>
      </c>
      <c r="D298" s="353"/>
      <c r="E298" s="353">
        <f>E295/E289-1</f>
        <v>7.7519379844961378E-3</v>
      </c>
      <c r="F298" s="353">
        <f>F295/F289-1</f>
        <v>7.2992700729925808E-3</v>
      </c>
      <c r="G298" s="353">
        <f>G295/G289-1</f>
        <v>6.3291139240506666E-3</v>
      </c>
      <c r="H298" s="353"/>
      <c r="I298" s="353"/>
      <c r="J298" s="355"/>
      <c r="K298" s="434"/>
      <c r="L298" s="509"/>
      <c r="M298" s="467">
        <f>M295/M289-1</f>
        <v>7.2992700729925808E-3</v>
      </c>
      <c r="N298" s="292">
        <f>N295/N289-1</f>
        <v>7.2992700729925808E-3</v>
      </c>
      <c r="O298" s="445"/>
      <c r="P298" s="357"/>
      <c r="Q298" s="358"/>
      <c r="R298" s="353">
        <f>R295/R289-1</f>
        <v>6.5789473684210176E-3</v>
      </c>
      <c r="S298" s="471"/>
      <c r="T298" s="356"/>
      <c r="U298" s="357"/>
      <c r="V298" s="471"/>
      <c r="W298" s="359"/>
    </row>
    <row r="299" spans="1:23" ht="13.3" thickBot="1" x14ac:dyDescent="0.25">
      <c r="A299" s="511">
        <v>43330</v>
      </c>
      <c r="B299" s="419" t="s">
        <v>53</v>
      </c>
      <c r="C299" s="408">
        <v>1250.24</v>
      </c>
      <c r="D299" s="347"/>
      <c r="E299" s="346">
        <v>1296.19</v>
      </c>
      <c r="F299" s="346">
        <v>1381.58</v>
      </c>
      <c r="G299" s="346">
        <v>1440.95</v>
      </c>
      <c r="H299" s="347"/>
      <c r="I299" s="347"/>
      <c r="J299" s="290"/>
      <c r="K299" s="431"/>
      <c r="L299" s="507"/>
      <c r="M299" s="256">
        <v>1263.1600000000001</v>
      </c>
      <c r="N299" s="462">
        <v>1275.3599999999999</v>
      </c>
      <c r="O299" s="442"/>
      <c r="P299" s="348"/>
      <c r="Q299" s="349"/>
      <c r="R299" s="346">
        <v>1346.66</v>
      </c>
      <c r="S299" s="346"/>
      <c r="T299" s="290"/>
      <c r="U299" s="348"/>
      <c r="V299" s="347"/>
      <c r="W299" s="346">
        <v>1029.4100000000001</v>
      </c>
    </row>
    <row r="300" spans="1:23" ht="13.3" thickBot="1" x14ac:dyDescent="0.25">
      <c r="A300" s="511">
        <v>43330</v>
      </c>
      <c r="B300" s="415" t="s">
        <v>54</v>
      </c>
      <c r="C300" s="409">
        <v>1300</v>
      </c>
      <c r="D300" s="249"/>
      <c r="E300" s="250">
        <v>1417</v>
      </c>
      <c r="F300" s="250">
        <v>1508</v>
      </c>
      <c r="G300" s="250">
        <v>1729</v>
      </c>
      <c r="H300" s="249"/>
      <c r="I300" s="249"/>
      <c r="J300" s="330"/>
      <c r="K300" s="432"/>
      <c r="L300" s="508"/>
      <c r="M300" s="468">
        <v>1392</v>
      </c>
      <c r="N300" s="464">
        <v>1392</v>
      </c>
      <c r="O300" s="446"/>
      <c r="P300" s="331"/>
      <c r="Q300" s="332"/>
      <c r="R300" s="250">
        <v>1536</v>
      </c>
      <c r="S300" s="249"/>
      <c r="T300" s="330"/>
      <c r="U300" s="334"/>
      <c r="V300" s="469"/>
      <c r="W300" s="315"/>
    </row>
    <row r="301" spans="1:23" ht="13.3" thickBot="1" x14ac:dyDescent="0.25">
      <c r="A301" s="511">
        <v>43330</v>
      </c>
      <c r="B301" s="415" t="s">
        <v>55</v>
      </c>
      <c r="C301" s="409">
        <v>1.2</v>
      </c>
      <c r="D301" s="249"/>
      <c r="E301" s="250">
        <v>1.31</v>
      </c>
      <c r="F301" s="250">
        <v>1.39</v>
      </c>
      <c r="G301" s="250">
        <v>1.6</v>
      </c>
      <c r="H301" s="249"/>
      <c r="I301" s="249"/>
      <c r="J301" s="330"/>
      <c r="K301" s="432"/>
      <c r="L301" s="508"/>
      <c r="M301" s="463">
        <v>1.39</v>
      </c>
      <c r="N301" s="464">
        <v>1.39</v>
      </c>
      <c r="O301" s="443"/>
      <c r="P301" s="334"/>
      <c r="Q301" s="335"/>
      <c r="R301" s="250">
        <v>1.54</v>
      </c>
      <c r="S301" s="469"/>
      <c r="T301" s="333"/>
      <c r="U301" s="334"/>
      <c r="V301" s="469"/>
      <c r="W301" s="315"/>
    </row>
    <row r="302" spans="1:23" ht="13.3" thickBot="1" x14ac:dyDescent="0.25">
      <c r="A302" s="511">
        <v>43330</v>
      </c>
      <c r="B302" s="415" t="s">
        <v>56</v>
      </c>
      <c r="C302" s="410">
        <f>(C300-C299)/C300</f>
        <v>3.8276923076923069E-2</v>
      </c>
      <c r="D302" s="336"/>
      <c r="E302" s="336">
        <f>(E300-E299)/E300</f>
        <v>8.5257586450246961E-2</v>
      </c>
      <c r="F302" s="336">
        <f>(F300-F299)/F300</f>
        <v>8.3832891246684402E-2</v>
      </c>
      <c r="G302" s="336">
        <f>(G300-G299)/G300</f>
        <v>0.16659919028340078</v>
      </c>
      <c r="H302" s="336"/>
      <c r="I302" s="336"/>
      <c r="J302" s="338"/>
      <c r="K302" s="433"/>
      <c r="L302" s="279"/>
      <c r="M302" s="465">
        <f>(M300-M299)/M300</f>
        <v>9.2557471264367752E-2</v>
      </c>
      <c r="N302" s="466">
        <f>(N300-N299)/N300</f>
        <v>8.3793103448275938E-2</v>
      </c>
      <c r="O302" s="444"/>
      <c r="P302" s="340"/>
      <c r="Q302" s="341"/>
      <c r="R302" s="336">
        <f>(R300-R299)/R300</f>
        <v>0.12326822916666662</v>
      </c>
      <c r="S302" s="470"/>
      <c r="T302" s="339"/>
      <c r="U302" s="340"/>
      <c r="V302" s="470"/>
      <c r="W302" s="315"/>
    </row>
    <row r="303" spans="1:23" ht="13.3" thickBot="1" x14ac:dyDescent="0.25">
      <c r="A303" s="511">
        <v>43330</v>
      </c>
      <c r="B303" s="415" t="s">
        <v>57</v>
      </c>
      <c r="C303" s="410">
        <f>(C300-C299)/C299</f>
        <v>3.9800358331200401E-2</v>
      </c>
      <c r="D303" s="336"/>
      <c r="E303" s="336">
        <f>(E300-E299)/E299</f>
        <v>9.3203928436417449E-2</v>
      </c>
      <c r="F303" s="336">
        <f>(F300-F299)/F299</f>
        <v>9.1503930282719845E-2</v>
      </c>
      <c r="G303" s="336">
        <f>(G300-G299)/G299</f>
        <v>0.19990284187515178</v>
      </c>
      <c r="H303" s="336"/>
      <c r="I303" s="336"/>
      <c r="J303" s="338"/>
      <c r="K303" s="433"/>
      <c r="L303" s="279"/>
      <c r="M303" s="465">
        <f>(M300-M299)/M299</f>
        <v>0.10199816333639437</v>
      </c>
      <c r="N303" s="466">
        <f>(N300-N299)/N299</f>
        <v>9.1456529920963578E-2</v>
      </c>
      <c r="O303" s="444"/>
      <c r="P303" s="340"/>
      <c r="Q303" s="341"/>
      <c r="R303" s="336">
        <f>(R300-R299)/R299</f>
        <v>0.14059970593913823</v>
      </c>
      <c r="S303" s="470"/>
      <c r="T303" s="339"/>
      <c r="U303" s="340"/>
      <c r="V303" s="470"/>
      <c r="W303" s="315"/>
    </row>
    <row r="304" spans="1:23" ht="13.3" thickBot="1" x14ac:dyDescent="0.25">
      <c r="A304" s="511">
        <v>43330</v>
      </c>
      <c r="B304" s="418" t="s">
        <v>58</v>
      </c>
      <c r="C304" s="411">
        <f>C301/C295-1</f>
        <v>8.4033613445377853E-3</v>
      </c>
      <c r="D304" s="353"/>
      <c r="E304" s="353">
        <f>E301/E295-1</f>
        <v>7.692307692307665E-3</v>
      </c>
      <c r="F304" s="353">
        <f>F301/F295-1</f>
        <v>7.2463768115942351E-3</v>
      </c>
      <c r="G304" s="353">
        <f>G301/G295-1</f>
        <v>6.2893081761006275E-3</v>
      </c>
      <c r="H304" s="353"/>
      <c r="I304" s="353"/>
      <c r="J304" s="355"/>
      <c r="K304" s="434"/>
      <c r="L304" s="509"/>
      <c r="M304" s="467">
        <f>M301/M295-1</f>
        <v>7.2463768115942351E-3</v>
      </c>
      <c r="N304" s="292">
        <f>N301/N295-1</f>
        <v>7.2463768115942351E-3</v>
      </c>
      <c r="O304" s="445"/>
      <c r="P304" s="357"/>
      <c r="Q304" s="358"/>
      <c r="R304" s="353">
        <f>R301/R295-1</f>
        <v>6.5359477124182774E-3</v>
      </c>
      <c r="S304" s="471"/>
      <c r="T304" s="356"/>
      <c r="U304" s="357"/>
      <c r="V304" s="471"/>
      <c r="W304" s="359"/>
    </row>
    <row r="305" spans="1:23" x14ac:dyDescent="0.2">
      <c r="A305" s="512">
        <v>43338</v>
      </c>
      <c r="B305" s="419" t="s">
        <v>53</v>
      </c>
      <c r="C305" s="408">
        <v>1262.74</v>
      </c>
      <c r="D305" s="347"/>
      <c r="E305" s="346">
        <v>1308.0899999999999</v>
      </c>
      <c r="F305" s="346">
        <v>1393.49</v>
      </c>
      <c r="G305" s="346">
        <v>1451.79</v>
      </c>
      <c r="H305" s="347"/>
      <c r="I305" s="347"/>
      <c r="J305" s="290"/>
      <c r="K305" s="431"/>
      <c r="L305" s="507"/>
      <c r="M305" s="256">
        <v>1274.05</v>
      </c>
      <c r="N305" s="462">
        <v>1286.3499999999999</v>
      </c>
      <c r="O305" s="442"/>
      <c r="P305" s="348"/>
      <c r="Q305" s="349"/>
      <c r="R305" s="346">
        <v>1357.18</v>
      </c>
      <c r="S305" s="346"/>
      <c r="T305" s="290"/>
      <c r="U305" s="348"/>
      <c r="V305" s="347"/>
      <c r="W305" s="346">
        <v>1036.5999999999999</v>
      </c>
    </row>
    <row r="306" spans="1:23" x14ac:dyDescent="0.2">
      <c r="A306" s="512">
        <v>43338</v>
      </c>
      <c r="B306" s="415" t="s">
        <v>54</v>
      </c>
      <c r="C306" s="409">
        <v>1313</v>
      </c>
      <c r="D306" s="249"/>
      <c r="E306" s="250">
        <v>1430</v>
      </c>
      <c r="F306" s="250">
        <v>1521</v>
      </c>
      <c r="G306" s="250">
        <v>1742</v>
      </c>
      <c r="H306" s="249"/>
      <c r="I306" s="249"/>
      <c r="J306" s="330"/>
      <c r="K306" s="432"/>
      <c r="L306" s="508"/>
      <c r="M306" s="468">
        <v>1404</v>
      </c>
      <c r="N306" s="464">
        <v>1404</v>
      </c>
      <c r="O306" s="446"/>
      <c r="P306" s="331"/>
      <c r="Q306" s="332"/>
      <c r="R306" s="250">
        <v>1548</v>
      </c>
      <c r="S306" s="249"/>
      <c r="T306" s="330"/>
      <c r="U306" s="334"/>
      <c r="V306" s="469"/>
      <c r="W306" s="315"/>
    </row>
    <row r="307" spans="1:23" x14ac:dyDescent="0.2">
      <c r="A307" s="512">
        <v>43338</v>
      </c>
      <c r="B307" s="415" t="s">
        <v>55</v>
      </c>
      <c r="C307" s="409">
        <v>1.21</v>
      </c>
      <c r="D307" s="249"/>
      <c r="E307" s="250">
        <v>1.32</v>
      </c>
      <c r="F307" s="250">
        <v>1.4</v>
      </c>
      <c r="G307" s="250">
        <v>1.61</v>
      </c>
      <c r="H307" s="249"/>
      <c r="I307" s="249"/>
      <c r="J307" s="330"/>
      <c r="K307" s="432"/>
      <c r="L307" s="508"/>
      <c r="M307" s="463">
        <v>1.4</v>
      </c>
      <c r="N307" s="464">
        <v>1.4</v>
      </c>
      <c r="O307" s="443"/>
      <c r="P307" s="334"/>
      <c r="Q307" s="335"/>
      <c r="R307" s="250">
        <v>1.55</v>
      </c>
      <c r="S307" s="469"/>
      <c r="T307" s="333"/>
      <c r="U307" s="334"/>
      <c r="V307" s="469"/>
      <c r="W307" s="315"/>
    </row>
    <row r="308" spans="1:23" x14ac:dyDescent="0.2">
      <c r="A308" s="512">
        <v>43338</v>
      </c>
      <c r="B308" s="415" t="s">
        <v>56</v>
      </c>
      <c r="C308" s="410">
        <f>(C306-C305)/C306</f>
        <v>3.827875095201827E-2</v>
      </c>
      <c r="D308" s="336"/>
      <c r="E308" s="336">
        <f>(E306-E305)/E306</f>
        <v>8.5251748251748305E-2</v>
      </c>
      <c r="F308" s="336">
        <f>(F306-F305)/F306</f>
        <v>8.3833004602235361E-2</v>
      </c>
      <c r="G308" s="336">
        <f>(G306-G305)/G306</f>
        <v>0.16659586681974745</v>
      </c>
      <c r="H308" s="336"/>
      <c r="I308" s="336"/>
      <c r="J308" s="338"/>
      <c r="K308" s="433"/>
      <c r="L308" s="279"/>
      <c r="M308" s="465">
        <f>(M306-M305)/M306</f>
        <v>9.2556980056980084E-2</v>
      </c>
      <c r="N308" s="466">
        <f>(N306-N305)/N306</f>
        <v>8.3796296296296355E-2</v>
      </c>
      <c r="O308" s="444"/>
      <c r="P308" s="340"/>
      <c r="Q308" s="341"/>
      <c r="R308" s="336">
        <f>(R306-R305)/R306</f>
        <v>0.12326873385012915</v>
      </c>
      <c r="S308" s="470"/>
      <c r="T308" s="339"/>
      <c r="U308" s="340"/>
      <c r="V308" s="470"/>
      <c r="W308" s="315"/>
    </row>
    <row r="309" spans="1:23" x14ac:dyDescent="0.2">
      <c r="A309" s="512">
        <v>43338</v>
      </c>
      <c r="B309" s="415" t="s">
        <v>57</v>
      </c>
      <c r="C309" s="410">
        <f>(C306-C305)/C305</f>
        <v>3.9802334605698708E-2</v>
      </c>
      <c r="D309" s="336"/>
      <c r="E309" s="336">
        <f>(E306-E305)/E305</f>
        <v>9.3196951280110768E-2</v>
      </c>
      <c r="F309" s="336">
        <f>(F306-F305)/F305</f>
        <v>9.1504065332366921E-2</v>
      </c>
      <c r="G309" s="336">
        <f>(G306-G305)/G305</f>
        <v>0.19989805688150494</v>
      </c>
      <c r="H309" s="336"/>
      <c r="I309" s="336"/>
      <c r="J309" s="338"/>
      <c r="K309" s="433"/>
      <c r="L309" s="279"/>
      <c r="M309" s="465">
        <f>(M306-M305)/M305</f>
        <v>0.10199756681448927</v>
      </c>
      <c r="N309" s="466">
        <f>(N306-N305)/N305</f>
        <v>9.1460333501768645E-2</v>
      </c>
      <c r="O309" s="444"/>
      <c r="P309" s="340"/>
      <c r="Q309" s="341"/>
      <c r="R309" s="336">
        <f>(R306-R305)/R305</f>
        <v>0.14060036251639424</v>
      </c>
      <c r="S309" s="470"/>
      <c r="T309" s="339"/>
      <c r="U309" s="340"/>
      <c r="V309" s="470"/>
      <c r="W309" s="315"/>
    </row>
    <row r="310" spans="1:23" ht="13.3" thickBot="1" x14ac:dyDescent="0.25">
      <c r="A310" s="512">
        <v>43338</v>
      </c>
      <c r="B310" s="418" t="s">
        <v>58</v>
      </c>
      <c r="C310" s="411">
        <f>C307/C301-1</f>
        <v>8.3333333333333037E-3</v>
      </c>
      <c r="D310" s="353"/>
      <c r="E310" s="353">
        <f>E307/E301-1</f>
        <v>7.6335877862594437E-3</v>
      </c>
      <c r="F310" s="353">
        <f>F307/F301-1</f>
        <v>7.194244604316502E-3</v>
      </c>
      <c r="G310" s="353">
        <f>G307/G301-1</f>
        <v>6.2500000000000888E-3</v>
      </c>
      <c r="H310" s="353"/>
      <c r="I310" s="353"/>
      <c r="J310" s="355"/>
      <c r="K310" s="434"/>
      <c r="L310" s="509"/>
      <c r="M310" s="467">
        <f>M307/M301-1</f>
        <v>7.194244604316502E-3</v>
      </c>
      <c r="N310" s="292">
        <f>N307/N301-1</f>
        <v>7.194244604316502E-3</v>
      </c>
      <c r="O310" s="445"/>
      <c r="P310" s="357"/>
      <c r="Q310" s="358"/>
      <c r="R310" s="353">
        <f>R307/R301-1</f>
        <v>6.4935064935065512E-3</v>
      </c>
      <c r="S310" s="471"/>
      <c r="T310" s="356"/>
      <c r="U310" s="357"/>
      <c r="V310" s="471"/>
      <c r="W310" s="359"/>
    </row>
    <row r="311" spans="1:23" x14ac:dyDescent="0.2">
      <c r="A311" s="512">
        <v>43345</v>
      </c>
      <c r="B311" s="419" t="s">
        <v>53</v>
      </c>
      <c r="C311" s="408">
        <v>1275.27</v>
      </c>
      <c r="D311" s="347"/>
      <c r="E311" s="346">
        <v>1320.01</v>
      </c>
      <c r="F311" s="346">
        <v>1403.16</v>
      </c>
      <c r="G311" s="346">
        <v>1462.6</v>
      </c>
      <c r="H311" s="347"/>
      <c r="I311" s="347"/>
      <c r="J311" s="290"/>
      <c r="K311" s="431"/>
      <c r="L311" s="507"/>
      <c r="M311" s="256">
        <v>1282.8800000000001</v>
      </c>
      <c r="N311" s="462">
        <v>1295.26</v>
      </c>
      <c r="O311" s="442"/>
      <c r="P311" s="348"/>
      <c r="Q311" s="349"/>
      <c r="R311" s="346">
        <v>1367.7</v>
      </c>
      <c r="S311" s="346"/>
      <c r="T311" s="290"/>
      <c r="U311" s="348"/>
      <c r="V311" s="347"/>
      <c r="W311" s="346">
        <v>1043.74</v>
      </c>
    </row>
    <row r="312" spans="1:23" x14ac:dyDescent="0.2">
      <c r="A312" s="512">
        <v>43345</v>
      </c>
      <c r="B312" s="415" t="s">
        <v>54</v>
      </c>
      <c r="C312" s="409">
        <v>1326</v>
      </c>
      <c r="D312" s="249"/>
      <c r="E312" s="250">
        <v>1443</v>
      </c>
      <c r="F312" s="250">
        <v>1530</v>
      </c>
      <c r="G312" s="250">
        <v>1755</v>
      </c>
      <c r="H312" s="249"/>
      <c r="I312" s="249"/>
      <c r="J312" s="330"/>
      <c r="K312" s="432"/>
      <c r="L312" s="508"/>
      <c r="M312" s="463">
        <v>1412</v>
      </c>
      <c r="N312" s="464">
        <v>1412</v>
      </c>
      <c r="O312" s="446"/>
      <c r="P312" s="331"/>
      <c r="Q312" s="332"/>
      <c r="R312" s="250">
        <v>1560</v>
      </c>
      <c r="S312" s="496"/>
      <c r="T312" s="330"/>
      <c r="U312" s="334"/>
      <c r="V312" s="469"/>
      <c r="W312" s="315"/>
    </row>
    <row r="313" spans="1:23" x14ac:dyDescent="0.2">
      <c r="A313" s="512">
        <v>43345</v>
      </c>
      <c r="B313" s="415" t="s">
        <v>55</v>
      </c>
      <c r="C313" s="409">
        <v>1.22</v>
      </c>
      <c r="D313" s="249"/>
      <c r="E313" s="250">
        <v>1.33</v>
      </c>
      <c r="F313" s="250">
        <v>1.41</v>
      </c>
      <c r="G313" s="250">
        <v>1.62</v>
      </c>
      <c r="H313" s="249"/>
      <c r="I313" s="249"/>
      <c r="J313" s="330"/>
      <c r="K313" s="432"/>
      <c r="L313" s="508"/>
      <c r="M313" s="463">
        <v>1.41</v>
      </c>
      <c r="N313" s="464">
        <v>1.41</v>
      </c>
      <c r="O313" s="443"/>
      <c r="P313" s="334"/>
      <c r="Q313" s="335"/>
      <c r="R313" s="250">
        <v>1.56</v>
      </c>
      <c r="S313" s="469"/>
      <c r="T313" s="333"/>
      <c r="U313" s="334"/>
      <c r="V313" s="497"/>
      <c r="W313" s="315"/>
    </row>
    <row r="314" spans="1:23" x14ac:dyDescent="0.2">
      <c r="A314" s="512">
        <v>43345</v>
      </c>
      <c r="B314" s="415" t="s">
        <v>56</v>
      </c>
      <c r="C314" s="410">
        <f>(C312-C311)/C312</f>
        <v>3.825791855203621E-2</v>
      </c>
      <c r="D314" s="336"/>
      <c r="E314" s="336">
        <f>(E312-E311)/E312</f>
        <v>8.5232155232155243E-2</v>
      </c>
      <c r="F314" s="336">
        <f>(F312-F311)/F312</f>
        <v>8.2901960784313666E-2</v>
      </c>
      <c r="G314" s="336">
        <f>(G312-G311)/G312</f>
        <v>0.16660968660968667</v>
      </c>
      <c r="H314" s="336"/>
      <c r="I314" s="336"/>
      <c r="J314" s="338"/>
      <c r="K314" s="433"/>
      <c r="L314" s="279"/>
      <c r="M314" s="465">
        <f>(M312-M311)/M312</f>
        <v>9.1444759206798787E-2</v>
      </c>
      <c r="N314" s="466">
        <f>(N312-N311)/N312</f>
        <v>8.2677053824362606E-2</v>
      </c>
      <c r="O314" s="444"/>
      <c r="P314" s="340"/>
      <c r="Q314" s="341"/>
      <c r="R314" s="336">
        <f>(R312-R311)/R312</f>
        <v>0.12326923076923074</v>
      </c>
      <c r="S314" s="470"/>
      <c r="T314" s="339"/>
      <c r="U314" s="340"/>
      <c r="V314" s="470"/>
      <c r="W314" s="315"/>
    </row>
    <row r="315" spans="1:23" x14ac:dyDescent="0.2">
      <c r="A315" s="512">
        <v>43345</v>
      </c>
      <c r="B315" s="415" t="s">
        <v>57</v>
      </c>
      <c r="C315" s="410">
        <f>(C312-C311)/C311</f>
        <v>3.977981133407045E-2</v>
      </c>
      <c r="D315" s="336"/>
      <c r="E315" s="336">
        <f>(E312-E311)/E311</f>
        <v>9.3173536564116949E-2</v>
      </c>
      <c r="F315" s="336">
        <f>(F312-F311)/F311</f>
        <v>9.0395963396904061E-2</v>
      </c>
      <c r="G315" s="336">
        <f>(G312-G311)/G311</f>
        <v>0.19991795432790926</v>
      </c>
      <c r="H315" s="336"/>
      <c r="I315" s="336"/>
      <c r="J315" s="338"/>
      <c r="K315" s="433"/>
      <c r="L315" s="279"/>
      <c r="M315" s="465">
        <f>(M312-M311)/M311</f>
        <v>0.10064854078323762</v>
      </c>
      <c r="N315" s="466">
        <f>(N312-N311)/N311</f>
        <v>9.0128622824761057E-2</v>
      </c>
      <c r="O315" s="444"/>
      <c r="P315" s="340"/>
      <c r="Q315" s="341"/>
      <c r="R315" s="336">
        <f>(R312-R311)/R311</f>
        <v>0.14060100899320022</v>
      </c>
      <c r="S315" s="470"/>
      <c r="T315" s="339"/>
      <c r="U315" s="340"/>
      <c r="V315" s="470"/>
      <c r="W315" s="315"/>
    </row>
    <row r="316" spans="1:23" ht="13.3" thickBot="1" x14ac:dyDescent="0.25">
      <c r="A316" s="512">
        <v>43345</v>
      </c>
      <c r="B316" s="418" t="s">
        <v>58</v>
      </c>
      <c r="C316" s="411">
        <f>C313/C307-1</f>
        <v>8.2644628099173278E-3</v>
      </c>
      <c r="D316" s="353"/>
      <c r="E316" s="353">
        <f>E313/E307-1</f>
        <v>7.575757575757569E-3</v>
      </c>
      <c r="F316" s="353">
        <f>F313/F307-1</f>
        <v>7.1428571428571175E-3</v>
      </c>
      <c r="G316" s="353">
        <f>G313/G307-1</f>
        <v>6.2111801242235032E-3</v>
      </c>
      <c r="H316" s="353"/>
      <c r="I316" s="353"/>
      <c r="J316" s="355"/>
      <c r="K316" s="434"/>
      <c r="L316" s="509"/>
      <c r="M316" s="467">
        <f>M313/M307-1</f>
        <v>7.1428571428571175E-3</v>
      </c>
      <c r="N316" s="292">
        <f>N313/N307-1</f>
        <v>7.1428571428571175E-3</v>
      </c>
      <c r="O316" s="445"/>
      <c r="P316" s="357"/>
      <c r="Q316" s="358"/>
      <c r="R316" s="353">
        <f>R313/R307-1</f>
        <v>6.4516129032257119E-3</v>
      </c>
      <c r="S316" s="471"/>
      <c r="T316" s="356"/>
      <c r="U316" s="357"/>
      <c r="V316" s="471"/>
      <c r="W316" s="359"/>
    </row>
    <row r="317" spans="1:23" x14ac:dyDescent="0.2">
      <c r="A317" s="512">
        <v>43352</v>
      </c>
      <c r="B317" s="419" t="s">
        <v>53</v>
      </c>
      <c r="C317" s="408">
        <v>1275.27</v>
      </c>
      <c r="D317" s="347"/>
      <c r="E317" s="346">
        <v>1329.7</v>
      </c>
      <c r="F317" s="346">
        <v>1412.89</v>
      </c>
      <c r="G317" s="346">
        <v>1471.44</v>
      </c>
      <c r="H317" s="347"/>
      <c r="I317" s="347"/>
      <c r="J317" s="290"/>
      <c r="K317" s="431"/>
      <c r="L317" s="507"/>
      <c r="M317" s="256">
        <v>1291.76</v>
      </c>
      <c r="N317" s="462">
        <v>1304.23</v>
      </c>
      <c r="O317" s="442"/>
      <c r="P317" s="348"/>
      <c r="Q317" s="349"/>
      <c r="R317" s="346">
        <v>1376.27</v>
      </c>
      <c r="S317" s="346"/>
      <c r="T317" s="290"/>
      <c r="U317" s="348"/>
      <c r="V317" s="347"/>
      <c r="W317" s="346">
        <v>1050.93</v>
      </c>
    </row>
    <row r="318" spans="1:23" x14ac:dyDescent="0.2">
      <c r="A318" s="512">
        <v>43352</v>
      </c>
      <c r="B318" s="415" t="s">
        <v>54</v>
      </c>
      <c r="C318" s="409">
        <v>1326</v>
      </c>
      <c r="D318" s="249"/>
      <c r="E318" s="250">
        <v>1456</v>
      </c>
      <c r="F318" s="250">
        <v>1534</v>
      </c>
      <c r="G318" s="250">
        <v>1768</v>
      </c>
      <c r="H318" s="249"/>
      <c r="I318" s="249"/>
      <c r="J318" s="330"/>
      <c r="K318" s="432"/>
      <c r="L318" s="508"/>
      <c r="M318" s="463">
        <v>1416</v>
      </c>
      <c r="N318" s="464">
        <v>1416</v>
      </c>
      <c r="O318" s="446"/>
      <c r="P318" s="331"/>
      <c r="Q318" s="332"/>
      <c r="R318" s="250">
        <v>1572</v>
      </c>
      <c r="S318" s="496"/>
      <c r="T318" s="330"/>
      <c r="U318" s="334"/>
      <c r="V318" s="469"/>
      <c r="W318" s="315"/>
    </row>
    <row r="319" spans="1:23" x14ac:dyDescent="0.2">
      <c r="A319" s="512">
        <v>43352</v>
      </c>
      <c r="B319" s="415" t="s">
        <v>55</v>
      </c>
      <c r="C319" s="409">
        <v>1.23</v>
      </c>
      <c r="D319" s="249"/>
      <c r="E319" s="250">
        <v>1.34</v>
      </c>
      <c r="F319" s="250">
        <v>1.42</v>
      </c>
      <c r="G319" s="250">
        <v>1.63</v>
      </c>
      <c r="H319" s="249"/>
      <c r="I319" s="249"/>
      <c r="J319" s="330"/>
      <c r="K319" s="432"/>
      <c r="L319" s="508"/>
      <c r="M319" s="463">
        <v>1.42</v>
      </c>
      <c r="N319" s="464">
        <v>1.42</v>
      </c>
      <c r="O319" s="443"/>
      <c r="P319" s="334"/>
      <c r="Q319" s="335"/>
      <c r="R319" s="250">
        <v>1.57</v>
      </c>
      <c r="S319" s="469"/>
      <c r="T319" s="333"/>
      <c r="U319" s="334"/>
      <c r="V319" s="497"/>
      <c r="W319" s="315"/>
    </row>
    <row r="320" spans="1:23" x14ac:dyDescent="0.2">
      <c r="A320" s="512">
        <v>43352</v>
      </c>
      <c r="B320" s="415" t="s">
        <v>56</v>
      </c>
      <c r="C320" s="410">
        <f>(C318-C317)/C318</f>
        <v>3.825791855203621E-2</v>
      </c>
      <c r="D320" s="336"/>
      <c r="E320" s="336">
        <f>(E318-E317)/E318</f>
        <v>8.6744505494505464E-2</v>
      </c>
      <c r="F320" s="336">
        <f>(F318-F317)/F318</f>
        <v>7.8950456323337609E-2</v>
      </c>
      <c r="G320" s="336">
        <f>(G318-G317)/G318</f>
        <v>0.16773755656108594</v>
      </c>
      <c r="H320" s="336"/>
      <c r="I320" s="336"/>
      <c r="J320" s="338"/>
      <c r="K320" s="433"/>
      <c r="L320" s="279"/>
      <c r="M320" s="465">
        <f>(M318-M317)/M318</f>
        <v>8.7740112994350292E-2</v>
      </c>
      <c r="N320" s="466">
        <f>(N318-N317)/N318</f>
        <v>7.8933615819209033E-2</v>
      </c>
      <c r="O320" s="444"/>
      <c r="P320" s="340"/>
      <c r="Q320" s="341"/>
      <c r="R320" s="336">
        <f>(R318-R317)/R318</f>
        <v>0.12451017811704836</v>
      </c>
      <c r="S320" s="470"/>
      <c r="T320" s="339"/>
      <c r="U320" s="340"/>
      <c r="V320" s="470"/>
      <c r="W320" s="315"/>
    </row>
    <row r="321" spans="1:23" x14ac:dyDescent="0.2">
      <c r="A321" s="512">
        <v>43352</v>
      </c>
      <c r="B321" s="415" t="s">
        <v>57</v>
      </c>
      <c r="C321" s="410">
        <f>(C318-C317)/C317</f>
        <v>3.977981133407045E-2</v>
      </c>
      <c r="D321" s="336"/>
      <c r="E321" s="336">
        <f>(E318-E317)/E317</f>
        <v>9.498383093930958E-2</v>
      </c>
      <c r="F321" s="336">
        <f>(F318-F317)/F317</f>
        <v>8.5717925670080394E-2</v>
      </c>
      <c r="G321" s="336">
        <f>(G318-G317)/G317</f>
        <v>0.20154406567715974</v>
      </c>
      <c r="H321" s="336"/>
      <c r="I321" s="336"/>
      <c r="J321" s="338"/>
      <c r="K321" s="433"/>
      <c r="L321" s="279"/>
      <c r="M321" s="465">
        <f>(M318-M317)/M317</f>
        <v>9.6178856753576528E-2</v>
      </c>
      <c r="N321" s="466">
        <f>(N318-N317)/N317</f>
        <v>8.5698074726083581E-2</v>
      </c>
      <c r="O321" s="444"/>
      <c r="P321" s="340"/>
      <c r="Q321" s="341"/>
      <c r="R321" s="336">
        <f>(R318-R317)/R317</f>
        <v>0.14221773343893279</v>
      </c>
      <c r="S321" s="470"/>
      <c r="T321" s="339"/>
      <c r="U321" s="340"/>
      <c r="V321" s="470"/>
      <c r="W321" s="315"/>
    </row>
    <row r="322" spans="1:23" ht="13.3" thickBot="1" x14ac:dyDescent="0.25">
      <c r="A322" s="512">
        <v>43352</v>
      </c>
      <c r="B322" s="418" t="s">
        <v>58</v>
      </c>
      <c r="C322" s="411">
        <f>C319/C313-1</f>
        <v>8.1967213114753079E-3</v>
      </c>
      <c r="D322" s="353"/>
      <c r="E322" s="353">
        <f>E319/E313-1</f>
        <v>7.5187969924812581E-3</v>
      </c>
      <c r="F322" s="353">
        <f>F319/F313-1</f>
        <v>7.0921985815601829E-3</v>
      </c>
      <c r="G322" s="353">
        <f>G319/G313-1</f>
        <v>6.1728395061726449E-3</v>
      </c>
      <c r="H322" s="353"/>
      <c r="I322" s="353"/>
      <c r="J322" s="355"/>
      <c r="K322" s="434"/>
      <c r="L322" s="509"/>
      <c r="M322" s="467">
        <f>M319/M313-1</f>
        <v>7.0921985815601829E-3</v>
      </c>
      <c r="N322" s="292">
        <f>N319/N313-1</f>
        <v>7.0921985815601829E-3</v>
      </c>
      <c r="O322" s="445"/>
      <c r="P322" s="357"/>
      <c r="Q322" s="358"/>
      <c r="R322" s="353">
        <f>R319/R313-1</f>
        <v>6.4102564102563875E-3</v>
      </c>
      <c r="S322" s="471"/>
      <c r="T322" s="356"/>
      <c r="U322" s="357"/>
      <c r="V322" s="471"/>
      <c r="W322" s="359"/>
    </row>
    <row r="323" spans="1:23" x14ac:dyDescent="0.2">
      <c r="A323" s="512">
        <v>43359</v>
      </c>
      <c r="B323" s="419" t="s">
        <v>53</v>
      </c>
      <c r="C323" s="408">
        <v>1285.3900000000001</v>
      </c>
      <c r="D323" s="347"/>
      <c r="E323" s="346">
        <v>1339.39</v>
      </c>
      <c r="F323" s="346">
        <v>1422.62</v>
      </c>
      <c r="G323" s="346">
        <v>1480.28</v>
      </c>
      <c r="H323" s="347"/>
      <c r="I323" s="347"/>
      <c r="J323" s="290"/>
      <c r="K323" s="431"/>
      <c r="L323" s="507"/>
      <c r="M323" s="256">
        <v>1300.6400000000001</v>
      </c>
      <c r="N323" s="462">
        <v>1313.2</v>
      </c>
      <c r="O323" s="442"/>
      <c r="P323" s="348"/>
      <c r="Q323" s="349"/>
      <c r="R323" s="346">
        <v>1384.84</v>
      </c>
      <c r="S323" s="346"/>
      <c r="T323" s="290"/>
      <c r="U323" s="348"/>
      <c r="V323" s="347"/>
      <c r="W323" s="346">
        <v>1058.07</v>
      </c>
    </row>
    <row r="324" spans="1:23" x14ac:dyDescent="0.2">
      <c r="A324" s="512">
        <v>43359</v>
      </c>
      <c r="B324" s="415" t="s">
        <v>54</v>
      </c>
      <c r="C324" s="409">
        <v>1339</v>
      </c>
      <c r="D324" s="249"/>
      <c r="E324" s="250">
        <f>1456+13</f>
        <v>1469</v>
      </c>
      <c r="F324" s="250">
        <v>1547</v>
      </c>
      <c r="G324" s="250">
        <v>1781</v>
      </c>
      <c r="H324" s="249"/>
      <c r="I324" s="249"/>
      <c r="J324" s="330"/>
      <c r="K324" s="432"/>
      <c r="L324" s="508"/>
      <c r="M324" s="463">
        <v>1428</v>
      </c>
      <c r="N324" s="464">
        <v>1428</v>
      </c>
      <c r="O324" s="446"/>
      <c r="P324" s="331"/>
      <c r="Q324" s="332"/>
      <c r="R324" s="250">
        <v>1584</v>
      </c>
      <c r="S324" s="496"/>
      <c r="T324" s="330"/>
      <c r="U324" s="334"/>
      <c r="V324" s="469"/>
      <c r="W324" s="315"/>
    </row>
    <row r="325" spans="1:23" x14ac:dyDescent="0.2">
      <c r="A325" s="512">
        <v>43359</v>
      </c>
      <c r="B325" s="415" t="s">
        <v>55</v>
      </c>
      <c r="C325" s="409">
        <v>1.24</v>
      </c>
      <c r="D325" s="249"/>
      <c r="E325" s="250">
        <v>1.35</v>
      </c>
      <c r="F325" s="250">
        <v>1.43</v>
      </c>
      <c r="G325" s="250">
        <v>1.64</v>
      </c>
      <c r="H325" s="249"/>
      <c r="I325" s="249"/>
      <c r="J325" s="330"/>
      <c r="K325" s="432"/>
      <c r="L325" s="508"/>
      <c r="M325" s="463">
        <v>1.43</v>
      </c>
      <c r="N325" s="464">
        <v>1.43</v>
      </c>
      <c r="O325" s="443"/>
      <c r="P325" s="334"/>
      <c r="Q325" s="335"/>
      <c r="R325" s="250">
        <v>1.58</v>
      </c>
      <c r="S325" s="469"/>
      <c r="T325" s="333"/>
      <c r="U325" s="334"/>
      <c r="V325" s="497"/>
      <c r="W325" s="315"/>
    </row>
    <row r="326" spans="1:23" x14ac:dyDescent="0.2">
      <c r="A326" s="512">
        <v>43359</v>
      </c>
      <c r="B326" s="415" t="s">
        <v>56</v>
      </c>
      <c r="C326" s="410">
        <f>(C324-C323)/C324</f>
        <v>4.0037341299477149E-2</v>
      </c>
      <c r="D326" s="336"/>
      <c r="E326" s="336">
        <f>(E324-E323)/E324</f>
        <v>8.8230088495575149E-2</v>
      </c>
      <c r="F326" s="336">
        <f>(F324-F323)/F324</f>
        <v>8.0400775694893414E-2</v>
      </c>
      <c r="G326" s="336">
        <f>(G324-G323)/G324</f>
        <v>0.16884896125772039</v>
      </c>
      <c r="H326" s="336"/>
      <c r="I326" s="336"/>
      <c r="J326" s="338"/>
      <c r="K326" s="433"/>
      <c r="L326" s="279"/>
      <c r="M326" s="465">
        <f>(M324-M323)/M324</f>
        <v>8.9187675070027936E-2</v>
      </c>
      <c r="N326" s="466">
        <f>(N324-N323)/N324</f>
        <v>8.0392156862745062E-2</v>
      </c>
      <c r="O326" s="444"/>
      <c r="P326" s="340"/>
      <c r="Q326" s="341"/>
      <c r="R326" s="336">
        <f>(R324-R323)/R324</f>
        <v>0.12573232323232328</v>
      </c>
      <c r="S326" s="470"/>
      <c r="T326" s="339"/>
      <c r="U326" s="340"/>
      <c r="V326" s="470"/>
      <c r="W326" s="315"/>
    </row>
    <row r="327" spans="1:23" x14ac:dyDescent="0.2">
      <c r="A327" s="512">
        <v>43359</v>
      </c>
      <c r="B327" s="415" t="s">
        <v>57</v>
      </c>
      <c r="C327" s="410">
        <f>(C324-C323)/C323</f>
        <v>4.1707186145838925E-2</v>
      </c>
      <c r="D327" s="336"/>
      <c r="E327" s="336">
        <f>(E324-E323)/E323</f>
        <v>9.6767931670387178E-2</v>
      </c>
      <c r="F327" s="336">
        <f>(F324-F323)/F323</f>
        <v>8.7430234356328546E-2</v>
      </c>
      <c r="G327" s="336">
        <f>(G324-G323)/G323</f>
        <v>0.20315075526251791</v>
      </c>
      <c r="H327" s="336"/>
      <c r="I327" s="336"/>
      <c r="J327" s="338"/>
      <c r="K327" s="433"/>
      <c r="L327" s="279"/>
      <c r="M327" s="465">
        <f>(M324-M323)/M323</f>
        <v>9.7921023496124901E-2</v>
      </c>
      <c r="N327" s="466">
        <f>(N324-N323)/N323</f>
        <v>8.742004264392321E-2</v>
      </c>
      <c r="O327" s="444"/>
      <c r="P327" s="340"/>
      <c r="Q327" s="341"/>
      <c r="R327" s="336">
        <f>(R324-R323)/R323</f>
        <v>0.14381444787845535</v>
      </c>
      <c r="S327" s="470"/>
      <c r="T327" s="339"/>
      <c r="U327" s="340"/>
      <c r="V327" s="470"/>
      <c r="W327" s="315"/>
    </row>
    <row r="328" spans="1:23" ht="13.3" thickBot="1" x14ac:dyDescent="0.25">
      <c r="A328" s="512">
        <v>43359</v>
      </c>
      <c r="B328" s="418" t="s">
        <v>58</v>
      </c>
      <c r="C328" s="411">
        <f>C325/C319-1</f>
        <v>8.1300813008129413E-3</v>
      </c>
      <c r="D328" s="353"/>
      <c r="E328" s="353">
        <f>E325/E319-1</f>
        <v>7.4626865671640896E-3</v>
      </c>
      <c r="F328" s="353">
        <f>F325/F319-1</f>
        <v>7.0422535211267512E-3</v>
      </c>
      <c r="G328" s="353">
        <f>G325/G319-1</f>
        <v>6.1349693251533388E-3</v>
      </c>
      <c r="H328" s="353"/>
      <c r="I328" s="353"/>
      <c r="J328" s="355"/>
      <c r="K328" s="434"/>
      <c r="L328" s="509"/>
      <c r="M328" s="467">
        <f>M325/M319-1</f>
        <v>7.0422535211267512E-3</v>
      </c>
      <c r="N328" s="292">
        <f>N325/N319-1</f>
        <v>7.0422535211267512E-3</v>
      </c>
      <c r="O328" s="445"/>
      <c r="P328" s="357"/>
      <c r="Q328" s="358"/>
      <c r="R328" s="353">
        <f>R325/R319-1</f>
        <v>6.3694267515923553E-3</v>
      </c>
      <c r="S328" s="471"/>
      <c r="T328" s="356"/>
      <c r="U328" s="357"/>
      <c r="V328" s="471"/>
      <c r="W328" s="359"/>
    </row>
    <row r="329" spans="1:23" x14ac:dyDescent="0.2">
      <c r="A329" s="512">
        <v>43366</v>
      </c>
      <c r="B329" s="419" t="s">
        <v>53</v>
      </c>
      <c r="C329" s="408">
        <v>1295.51</v>
      </c>
      <c r="D329" s="347"/>
      <c r="E329" s="346">
        <v>1349.08</v>
      </c>
      <c r="F329" s="346">
        <v>1432.35</v>
      </c>
      <c r="G329" s="346">
        <v>1489.12</v>
      </c>
      <c r="H329" s="347"/>
      <c r="I329" s="347"/>
      <c r="J329" s="290"/>
      <c r="K329" s="431"/>
      <c r="L329" s="507"/>
      <c r="M329" s="256">
        <v>1309.52</v>
      </c>
      <c r="N329" s="462">
        <v>1322.17</v>
      </c>
      <c r="O329" s="442"/>
      <c r="P329" s="348"/>
      <c r="Q329" s="349"/>
      <c r="R329" s="346">
        <v>1393.41</v>
      </c>
      <c r="S329" s="346"/>
      <c r="T329" s="290"/>
      <c r="U329" s="348"/>
      <c r="V329" s="347"/>
      <c r="W329" s="346">
        <v>1065.26</v>
      </c>
    </row>
    <row r="330" spans="1:23" x14ac:dyDescent="0.2">
      <c r="A330" s="512">
        <v>43366</v>
      </c>
      <c r="B330" s="415" t="s">
        <v>54</v>
      </c>
      <c r="C330" s="409">
        <v>1352</v>
      </c>
      <c r="D330" s="249"/>
      <c r="E330" s="250">
        <f>1469+13</f>
        <v>1482</v>
      </c>
      <c r="F330" s="250">
        <v>1560</v>
      </c>
      <c r="G330" s="250">
        <f>1781+13</f>
        <v>1794</v>
      </c>
      <c r="H330" s="249"/>
      <c r="I330" s="249"/>
      <c r="J330" s="330"/>
      <c r="K330" s="432"/>
      <c r="L330" s="508"/>
      <c r="M330" s="463">
        <v>1440</v>
      </c>
      <c r="N330" s="464">
        <v>1440</v>
      </c>
      <c r="O330" s="446"/>
      <c r="P330" s="331"/>
      <c r="Q330" s="332"/>
      <c r="R330" s="250">
        <f>1584+12</f>
        <v>1596</v>
      </c>
      <c r="S330" s="496"/>
      <c r="T330" s="330"/>
      <c r="U330" s="334"/>
      <c r="V330" s="469"/>
      <c r="W330" s="315"/>
    </row>
    <row r="331" spans="1:23" x14ac:dyDescent="0.2">
      <c r="A331" s="512">
        <v>43366</v>
      </c>
      <c r="B331" s="415" t="s">
        <v>55</v>
      </c>
      <c r="C331" s="409">
        <v>1.25</v>
      </c>
      <c r="D331" s="249"/>
      <c r="E331" s="250">
        <v>1.36</v>
      </c>
      <c r="F331" s="250">
        <v>1.44</v>
      </c>
      <c r="G331" s="250">
        <v>1.65</v>
      </c>
      <c r="H331" s="249"/>
      <c r="I331" s="249"/>
      <c r="J331" s="330"/>
      <c r="K331" s="432"/>
      <c r="L331" s="508"/>
      <c r="M331" s="463">
        <v>1.44</v>
      </c>
      <c r="N331" s="464">
        <v>1.44</v>
      </c>
      <c r="O331" s="443"/>
      <c r="P331" s="334"/>
      <c r="Q331" s="335"/>
      <c r="R331" s="250">
        <v>1.59</v>
      </c>
      <c r="S331" s="469"/>
      <c r="T331" s="333"/>
      <c r="U331" s="334"/>
      <c r="V331" s="497"/>
      <c r="W331" s="315"/>
    </row>
    <row r="332" spans="1:23" x14ac:dyDescent="0.2">
      <c r="A332" s="512">
        <v>43366</v>
      </c>
      <c r="B332" s="415" t="s">
        <v>56</v>
      </c>
      <c r="C332" s="410">
        <f>(C330-C329)/C330</f>
        <v>4.178254437869823E-2</v>
      </c>
      <c r="D332" s="336"/>
      <c r="E332" s="336">
        <f>(E330-E329)/E330</f>
        <v>8.9689608636977114E-2</v>
      </c>
      <c r="F332" s="336">
        <f>(F330-F329)/F330</f>
        <v>8.182692307692313E-2</v>
      </c>
      <c r="G332" s="336">
        <f>(G330-G329)/G330</f>
        <v>0.16994425863991086</v>
      </c>
      <c r="H332" s="336"/>
      <c r="I332" s="336"/>
      <c r="J332" s="338"/>
      <c r="K332" s="433"/>
      <c r="L332" s="279"/>
      <c r="M332" s="465">
        <f>(M330-M329)/M330</f>
        <v>9.0611111111111128E-2</v>
      </c>
      <c r="N332" s="466">
        <f>(N330-N329)/N330</f>
        <v>8.1826388888888837E-2</v>
      </c>
      <c r="O332" s="444"/>
      <c r="P332" s="340"/>
      <c r="Q332" s="341"/>
      <c r="R332" s="336">
        <f>(R330-R329)/R330</f>
        <v>0.12693609022556385</v>
      </c>
      <c r="S332" s="470"/>
      <c r="T332" s="339"/>
      <c r="U332" s="340"/>
      <c r="V332" s="470"/>
      <c r="W332" s="315"/>
    </row>
    <row r="333" spans="1:23" x14ac:dyDescent="0.2">
      <c r="A333" s="512">
        <v>43366</v>
      </c>
      <c r="B333" s="415" t="s">
        <v>57</v>
      </c>
      <c r="C333" s="410">
        <f>(C330-C329)/C329</f>
        <v>4.360444921305124E-2</v>
      </c>
      <c r="D333" s="336"/>
      <c r="E333" s="336">
        <f>(E330-E329)/E329</f>
        <v>9.8526403178462424E-2</v>
      </c>
      <c r="F333" s="336">
        <f>(F330-F329)/F329</f>
        <v>8.9119279505707472E-2</v>
      </c>
      <c r="G333" s="336">
        <f>(G330-G329)/G329</f>
        <v>0.20473836896959285</v>
      </c>
      <c r="H333" s="336"/>
      <c r="I333" s="336"/>
      <c r="J333" s="338"/>
      <c r="K333" s="433"/>
      <c r="L333" s="279"/>
      <c r="M333" s="465">
        <f>(M330-M329)/M329</f>
        <v>9.9639562587818448E-2</v>
      </c>
      <c r="N333" s="466">
        <f>(N330-N329)/N329</f>
        <v>8.9118645862483581E-2</v>
      </c>
      <c r="O333" s="444"/>
      <c r="P333" s="340"/>
      <c r="Q333" s="341"/>
      <c r="R333" s="336">
        <f>(R330-R329)/R329</f>
        <v>0.1453915215191508</v>
      </c>
      <c r="S333" s="470"/>
      <c r="T333" s="339"/>
      <c r="U333" s="340"/>
      <c r="V333" s="470"/>
      <c r="W333" s="315"/>
    </row>
    <row r="334" spans="1:23" ht="13.3" thickBot="1" x14ac:dyDescent="0.25">
      <c r="A334" s="512">
        <v>43366</v>
      </c>
      <c r="B334" s="418" t="s">
        <v>58</v>
      </c>
      <c r="C334" s="411">
        <f>C331/C325-1</f>
        <v>8.0645161290322509E-3</v>
      </c>
      <c r="D334" s="353"/>
      <c r="E334" s="353">
        <f>E331/E325-1</f>
        <v>7.4074074074073071E-3</v>
      </c>
      <c r="F334" s="353">
        <f>F331/F325-1</f>
        <v>6.9930069930070893E-3</v>
      </c>
      <c r="G334" s="353">
        <f>G331/G325-1</f>
        <v>6.0975609756097615E-3</v>
      </c>
      <c r="H334" s="353"/>
      <c r="I334" s="353"/>
      <c r="J334" s="355"/>
      <c r="K334" s="434"/>
      <c r="L334" s="509"/>
      <c r="M334" s="467">
        <f>M331/M325-1</f>
        <v>6.9930069930070893E-3</v>
      </c>
      <c r="N334" s="292">
        <f>N331/N325-1</f>
        <v>6.9930069930070893E-3</v>
      </c>
      <c r="O334" s="445"/>
      <c r="P334" s="357"/>
      <c r="Q334" s="358"/>
      <c r="R334" s="353">
        <f>R331/R325-1</f>
        <v>6.3291139240506666E-3</v>
      </c>
      <c r="S334" s="471"/>
      <c r="T334" s="356"/>
      <c r="U334" s="357"/>
      <c r="V334" s="471"/>
      <c r="W334" s="359"/>
    </row>
    <row r="335" spans="1:23" x14ac:dyDescent="0.2">
      <c r="A335" s="512">
        <v>43373</v>
      </c>
      <c r="B335" s="419" t="s">
        <v>53</v>
      </c>
      <c r="C335" s="408">
        <v>1305.6300000000001</v>
      </c>
      <c r="D335" s="347"/>
      <c r="E335" s="346">
        <v>1358.77</v>
      </c>
      <c r="F335" s="346">
        <v>1442.08</v>
      </c>
      <c r="G335" s="346">
        <v>1497.96</v>
      </c>
      <c r="H335" s="347"/>
      <c r="I335" s="347"/>
      <c r="J335" s="290"/>
      <c r="K335" s="431"/>
      <c r="L335" s="507"/>
      <c r="M335" s="256">
        <v>1318.4</v>
      </c>
      <c r="N335" s="462">
        <v>1331.14</v>
      </c>
      <c r="O335" s="442"/>
      <c r="P335" s="348"/>
      <c r="Q335" s="349"/>
      <c r="R335" s="346">
        <v>1401.98</v>
      </c>
      <c r="S335" s="346"/>
      <c r="T335" s="290"/>
      <c r="U335" s="348"/>
      <c r="V335" s="347"/>
      <c r="W335" s="346">
        <v>1065.26</v>
      </c>
    </row>
    <row r="336" spans="1:23" x14ac:dyDescent="0.2">
      <c r="A336" s="512">
        <v>43373</v>
      </c>
      <c r="B336" s="415" t="s">
        <v>54</v>
      </c>
      <c r="C336" s="409">
        <v>1365</v>
      </c>
      <c r="D336" s="249"/>
      <c r="E336" s="250">
        <f>1469+13</f>
        <v>1482</v>
      </c>
      <c r="F336" s="250">
        <v>1573</v>
      </c>
      <c r="G336" s="250">
        <f>1781+13</f>
        <v>1794</v>
      </c>
      <c r="H336" s="249"/>
      <c r="I336" s="249"/>
      <c r="J336" s="330"/>
      <c r="K336" s="432"/>
      <c r="L336" s="508"/>
      <c r="M336" s="463">
        <v>1452</v>
      </c>
      <c r="N336" s="464">
        <v>1452</v>
      </c>
      <c r="O336" s="446"/>
      <c r="P336" s="331"/>
      <c r="Q336" s="332"/>
      <c r="R336" s="250">
        <f>1584+12</f>
        <v>1596</v>
      </c>
      <c r="S336" s="496"/>
      <c r="T336" s="330"/>
      <c r="U336" s="334"/>
      <c r="V336" s="469"/>
      <c r="W336" s="315"/>
    </row>
    <row r="337" spans="1:23" x14ac:dyDescent="0.2">
      <c r="A337" s="512">
        <v>43373</v>
      </c>
      <c r="B337" s="415" t="s">
        <v>55</v>
      </c>
      <c r="C337" s="409">
        <v>1.26</v>
      </c>
      <c r="D337" s="249"/>
      <c r="E337" s="250">
        <v>1.37</v>
      </c>
      <c r="F337" s="250">
        <v>1.45</v>
      </c>
      <c r="G337" s="250">
        <v>1.66</v>
      </c>
      <c r="H337" s="249"/>
      <c r="I337" s="249"/>
      <c r="J337" s="330"/>
      <c r="K337" s="432"/>
      <c r="L337" s="508"/>
      <c r="M337" s="463">
        <v>1.45</v>
      </c>
      <c r="N337" s="464">
        <v>1.45</v>
      </c>
      <c r="O337" s="443"/>
      <c r="P337" s="334"/>
      <c r="Q337" s="335"/>
      <c r="R337" s="250">
        <v>1.6</v>
      </c>
      <c r="S337" s="469"/>
      <c r="T337" s="333"/>
      <c r="U337" s="334"/>
      <c r="V337" s="497"/>
      <c r="W337" s="315"/>
    </row>
    <row r="338" spans="1:23" x14ac:dyDescent="0.2">
      <c r="A338" s="512">
        <v>43373</v>
      </c>
      <c r="B338" s="415" t="s">
        <v>56</v>
      </c>
      <c r="C338" s="410">
        <f>(C336-C335)/C336</f>
        <v>4.3494505494505412E-2</v>
      </c>
      <c r="D338" s="336"/>
      <c r="E338" s="336">
        <f>(E336-E335)/E336</f>
        <v>8.3151147098515538E-2</v>
      </c>
      <c r="F338" s="336">
        <f>(F336-F335)/F336</f>
        <v>8.3229497774952366E-2</v>
      </c>
      <c r="G338" s="336">
        <f>(G336-G335)/G336</f>
        <v>0.16501672240802673</v>
      </c>
      <c r="H338" s="336"/>
      <c r="I338" s="336"/>
      <c r="J338" s="338"/>
      <c r="K338" s="433"/>
      <c r="L338" s="279"/>
      <c r="M338" s="465">
        <f>(M336-M335)/M336</f>
        <v>9.2011019283746498E-2</v>
      </c>
      <c r="N338" s="466">
        <f>(N336-N335)/N336</f>
        <v>8.3236914600550896E-2</v>
      </c>
      <c r="O338" s="444"/>
      <c r="P338" s="340"/>
      <c r="Q338" s="341"/>
      <c r="R338" s="336">
        <f>(R336-R335)/R336</f>
        <v>0.12156641604010024</v>
      </c>
      <c r="S338" s="470"/>
      <c r="T338" s="339"/>
      <c r="U338" s="340"/>
      <c r="V338" s="470"/>
      <c r="W338" s="315"/>
    </row>
    <row r="339" spans="1:23" x14ac:dyDescent="0.2">
      <c r="A339" s="512">
        <v>43373</v>
      </c>
      <c r="B339" s="415" t="s">
        <v>57</v>
      </c>
      <c r="C339" s="410">
        <f>(C336-C335)/C335</f>
        <v>4.5472300728383909E-2</v>
      </c>
      <c r="D339" s="336"/>
      <c r="E339" s="336">
        <f>(E336-E335)/E335</f>
        <v>9.0692317316396459E-2</v>
      </c>
      <c r="F339" s="336">
        <f>(F336-F335)/F335</f>
        <v>9.0785532009319922E-2</v>
      </c>
      <c r="G339" s="336">
        <f>(G336-G335)/G335</f>
        <v>0.19762877513418245</v>
      </c>
      <c r="H339" s="336"/>
      <c r="I339" s="336"/>
      <c r="J339" s="338"/>
      <c r="K339" s="433"/>
      <c r="L339" s="279"/>
      <c r="M339" s="465">
        <f>(M336-M335)/M335</f>
        <v>0.10133495145631061</v>
      </c>
      <c r="N339" s="466">
        <f>(N336-N335)/N335</f>
        <v>9.0794356716799057E-2</v>
      </c>
      <c r="O339" s="444"/>
      <c r="P339" s="340"/>
      <c r="Q339" s="341"/>
      <c r="R339" s="336">
        <f>(R336-R335)/R335</f>
        <v>0.13838999129802135</v>
      </c>
      <c r="S339" s="470"/>
      <c r="T339" s="339"/>
      <c r="U339" s="340"/>
      <c r="V339" s="470"/>
      <c r="W339" s="315"/>
    </row>
    <row r="340" spans="1:23" ht="13.3" thickBot="1" x14ac:dyDescent="0.25">
      <c r="A340" s="512">
        <v>43373</v>
      </c>
      <c r="B340" s="418" t="s">
        <v>58</v>
      </c>
      <c r="C340" s="411">
        <f>C337/C331-1</f>
        <v>8.0000000000000071E-3</v>
      </c>
      <c r="D340" s="353"/>
      <c r="E340" s="353">
        <f>E337/E331-1</f>
        <v>7.3529411764705621E-3</v>
      </c>
      <c r="F340" s="353">
        <f>F337/F331-1</f>
        <v>6.9444444444444198E-3</v>
      </c>
      <c r="G340" s="353">
        <f>G337/G331-1</f>
        <v>6.0606060606060996E-3</v>
      </c>
      <c r="H340" s="353"/>
      <c r="I340" s="353"/>
      <c r="J340" s="355"/>
      <c r="K340" s="434"/>
      <c r="L340" s="509"/>
      <c r="M340" s="467">
        <f>M337/M331-1</f>
        <v>6.9444444444444198E-3</v>
      </c>
      <c r="N340" s="292">
        <f>N337/N331-1</f>
        <v>6.9444444444444198E-3</v>
      </c>
      <c r="O340" s="445"/>
      <c r="P340" s="357"/>
      <c r="Q340" s="358"/>
      <c r="R340" s="353">
        <f>R337/R331-1</f>
        <v>6.2893081761006275E-3</v>
      </c>
      <c r="S340" s="471"/>
      <c r="T340" s="356"/>
      <c r="U340" s="357"/>
      <c r="V340" s="471"/>
      <c r="W340" s="359"/>
    </row>
    <row r="341" spans="1:23" x14ac:dyDescent="0.2">
      <c r="A341" s="512">
        <v>43380</v>
      </c>
      <c r="B341" s="419" t="s">
        <v>53</v>
      </c>
      <c r="C341" s="408">
        <v>1315.75</v>
      </c>
      <c r="D341" s="347"/>
      <c r="E341" s="346">
        <v>1368.46</v>
      </c>
      <c r="F341" s="346">
        <v>1451.13</v>
      </c>
      <c r="G341" s="346">
        <v>1506.8</v>
      </c>
      <c r="H341" s="347"/>
      <c r="I341" s="347"/>
      <c r="J341" s="290"/>
      <c r="K341" s="431"/>
      <c r="L341" s="507"/>
      <c r="M341" s="256">
        <v>1327.28</v>
      </c>
      <c r="N341" s="462">
        <v>1340.11</v>
      </c>
      <c r="O341" s="442"/>
      <c r="P341" s="348"/>
      <c r="Q341" s="349"/>
      <c r="R341" s="346">
        <v>1410.55</v>
      </c>
      <c r="S341" s="346"/>
      <c r="T341" s="290"/>
      <c r="U341" s="348"/>
      <c r="V341" s="347"/>
      <c r="W341" s="346">
        <v>1065.26</v>
      </c>
    </row>
    <row r="342" spans="1:23" x14ac:dyDescent="0.2">
      <c r="A342" s="512">
        <v>43380</v>
      </c>
      <c r="B342" s="415" t="s">
        <v>54</v>
      </c>
      <c r="C342" s="409">
        <v>1378</v>
      </c>
      <c r="D342" s="249"/>
      <c r="E342" s="250">
        <f>1495</f>
        <v>1495</v>
      </c>
      <c r="F342" s="250">
        <v>1586</v>
      </c>
      <c r="G342" s="250">
        <f>1807</f>
        <v>1807</v>
      </c>
      <c r="H342" s="249"/>
      <c r="I342" s="249"/>
      <c r="J342" s="330"/>
      <c r="K342" s="432"/>
      <c r="L342" s="508"/>
      <c r="M342" s="463">
        <v>1464</v>
      </c>
      <c r="N342" s="464">
        <v>1464</v>
      </c>
      <c r="O342" s="446"/>
      <c r="P342" s="331"/>
      <c r="Q342" s="332"/>
      <c r="R342" s="250">
        <f>1608</f>
        <v>1608</v>
      </c>
      <c r="S342" s="496"/>
      <c r="T342" s="330"/>
      <c r="U342" s="334"/>
      <c r="V342" s="469"/>
      <c r="W342" s="315"/>
    </row>
    <row r="343" spans="1:23" x14ac:dyDescent="0.2">
      <c r="A343" s="512">
        <v>43380</v>
      </c>
      <c r="B343" s="415" t="s">
        <v>55</v>
      </c>
      <c r="C343" s="409">
        <v>1.27</v>
      </c>
      <c r="D343" s="249"/>
      <c r="E343" s="250">
        <v>1.38</v>
      </c>
      <c r="F343" s="250">
        <v>1.46</v>
      </c>
      <c r="G343" s="250">
        <v>1.67</v>
      </c>
      <c r="H343" s="249"/>
      <c r="I343" s="249"/>
      <c r="J343" s="330"/>
      <c r="K343" s="432"/>
      <c r="L343" s="508"/>
      <c r="M343" s="463">
        <v>1.46</v>
      </c>
      <c r="N343" s="464">
        <v>1.46</v>
      </c>
      <c r="O343" s="443"/>
      <c r="P343" s="334"/>
      <c r="Q343" s="335"/>
      <c r="R343" s="250">
        <v>1.61</v>
      </c>
      <c r="S343" s="469"/>
      <c r="T343" s="333"/>
      <c r="U343" s="334"/>
      <c r="V343" s="497"/>
      <c r="W343" s="315"/>
    </row>
    <row r="344" spans="1:23" x14ac:dyDescent="0.2">
      <c r="A344" s="512">
        <v>43380</v>
      </c>
      <c r="B344" s="415" t="s">
        <v>56</v>
      </c>
      <c r="C344" s="410">
        <f>(C342-C341)/C342</f>
        <v>4.5174165457184327E-2</v>
      </c>
      <c r="D344" s="336"/>
      <c r="E344" s="336">
        <f>(E342-E341)/E342</f>
        <v>8.4642140468227406E-2</v>
      </c>
      <c r="F344" s="336">
        <f>(F342-F341)/F342</f>
        <v>8.5037831021437513E-2</v>
      </c>
      <c r="G344" s="336">
        <f>(G342-G341)/G342</f>
        <v>0.16613171001660212</v>
      </c>
      <c r="H344" s="336"/>
      <c r="I344" s="336"/>
      <c r="J344" s="338"/>
      <c r="K344" s="433"/>
      <c r="L344" s="279"/>
      <c r="M344" s="465">
        <f>(M342-M341)/M342</f>
        <v>9.3387978142076528E-2</v>
      </c>
      <c r="N344" s="466">
        <f>(N342-N341)/N342</f>
        <v>8.4624316939890781E-2</v>
      </c>
      <c r="O344" s="444"/>
      <c r="P344" s="340"/>
      <c r="Q344" s="341"/>
      <c r="R344" s="336">
        <f>(R342-R341)/R342</f>
        <v>0.12279228855721395</v>
      </c>
      <c r="S344" s="470"/>
      <c r="T344" s="339"/>
      <c r="U344" s="340"/>
      <c r="V344" s="470"/>
      <c r="W344" s="315"/>
    </row>
    <row r="345" spans="1:23" x14ac:dyDescent="0.2">
      <c r="A345" s="512">
        <v>43380</v>
      </c>
      <c r="B345" s="415" t="s">
        <v>57</v>
      </c>
      <c r="C345" s="410">
        <f>(C342-C341)/C341</f>
        <v>4.7311419342580277E-2</v>
      </c>
      <c r="D345" s="336"/>
      <c r="E345" s="336">
        <f>(E342-E341)/E341</f>
        <v>9.2468906654195201E-2</v>
      </c>
      <c r="F345" s="336">
        <f>(F342-F341)/F341</f>
        <v>9.2941362937848354E-2</v>
      </c>
      <c r="G345" s="336">
        <f>(G342-G341)/G341</f>
        <v>0.1992301566233077</v>
      </c>
      <c r="H345" s="336"/>
      <c r="I345" s="336"/>
      <c r="J345" s="338"/>
      <c r="K345" s="433"/>
      <c r="L345" s="279"/>
      <c r="M345" s="465">
        <f>(M342-M341)/M341</f>
        <v>0.10300765475257673</v>
      </c>
      <c r="N345" s="466">
        <f>(N342-N341)/N341</f>
        <v>9.2447634895642977E-2</v>
      </c>
      <c r="O345" s="444"/>
      <c r="P345" s="340"/>
      <c r="Q345" s="341"/>
      <c r="R345" s="336">
        <f>(R342-R341)/R341</f>
        <v>0.13998085853036055</v>
      </c>
      <c r="S345" s="470"/>
      <c r="T345" s="339"/>
      <c r="U345" s="340"/>
      <c r="V345" s="470"/>
      <c r="W345" s="315"/>
    </row>
    <row r="346" spans="1:23" ht="13.3" thickBot="1" x14ac:dyDescent="0.25">
      <c r="A346" s="512">
        <v>43380</v>
      </c>
      <c r="B346" s="418" t="s">
        <v>58</v>
      </c>
      <c r="C346" s="411">
        <f>C343/C337-1</f>
        <v>7.9365079365079083E-3</v>
      </c>
      <c r="D346" s="353"/>
      <c r="E346" s="353">
        <f>E343/E337-1</f>
        <v>7.2992700729925808E-3</v>
      </c>
      <c r="F346" s="353">
        <f>F343/F337-1</f>
        <v>6.8965517241379448E-3</v>
      </c>
      <c r="G346" s="353">
        <f>G343/G337-1</f>
        <v>6.0240963855422436E-3</v>
      </c>
      <c r="H346" s="353"/>
      <c r="I346" s="353"/>
      <c r="J346" s="355"/>
      <c r="K346" s="434"/>
      <c r="L346" s="509"/>
      <c r="M346" s="467">
        <f>M343/M337-1</f>
        <v>6.8965517241379448E-3</v>
      </c>
      <c r="N346" s="292">
        <f>N343/N337-1</f>
        <v>6.8965517241379448E-3</v>
      </c>
      <c r="O346" s="445"/>
      <c r="P346" s="357"/>
      <c r="Q346" s="358"/>
      <c r="R346" s="353">
        <f>R343/R337-1</f>
        <v>6.2500000000000888E-3</v>
      </c>
      <c r="S346" s="471"/>
      <c r="T346" s="356"/>
      <c r="U346" s="357"/>
      <c r="V346" s="471"/>
      <c r="W346" s="359"/>
    </row>
    <row r="347" spans="1:23" x14ac:dyDescent="0.2">
      <c r="A347" s="512">
        <v>43387</v>
      </c>
      <c r="B347" s="419" t="s">
        <v>53</v>
      </c>
      <c r="C347" s="408">
        <v>1325.87</v>
      </c>
      <c r="D347" s="347"/>
      <c r="E347" s="346">
        <v>1378.15</v>
      </c>
      <c r="F347" s="346">
        <v>1461.54</v>
      </c>
      <c r="G347" s="346">
        <v>1515.64</v>
      </c>
      <c r="H347" s="347"/>
      <c r="I347" s="347"/>
      <c r="J347" s="290"/>
      <c r="K347" s="431"/>
      <c r="L347" s="507"/>
      <c r="M347" s="256">
        <v>1336.16</v>
      </c>
      <c r="N347" s="462">
        <v>1349.08</v>
      </c>
      <c r="O347" s="442"/>
      <c r="P347" s="348"/>
      <c r="Q347" s="349"/>
      <c r="R347" s="346">
        <v>1419.12</v>
      </c>
      <c r="S347" s="346"/>
      <c r="T347" s="290"/>
      <c r="U347" s="348"/>
      <c r="V347" s="347"/>
      <c r="W347" s="346">
        <v>1065.26</v>
      </c>
    </row>
    <row r="348" spans="1:23" x14ac:dyDescent="0.2">
      <c r="A348" s="512">
        <v>43387</v>
      </c>
      <c r="B348" s="415" t="s">
        <v>54</v>
      </c>
      <c r="C348" s="409">
        <v>1391</v>
      </c>
      <c r="D348" s="249"/>
      <c r="E348" s="250">
        <v>1508</v>
      </c>
      <c r="F348" s="250">
        <v>1586</v>
      </c>
      <c r="G348" s="250">
        <f>1807</f>
        <v>1807</v>
      </c>
      <c r="H348" s="249"/>
      <c r="I348" s="249"/>
      <c r="J348" s="330"/>
      <c r="K348" s="432"/>
      <c r="L348" s="508"/>
      <c r="M348" s="463">
        <v>1464</v>
      </c>
      <c r="N348" s="464">
        <v>1464</v>
      </c>
      <c r="O348" s="446"/>
      <c r="P348" s="331"/>
      <c r="Q348" s="332"/>
      <c r="R348" s="250">
        <f>1620</f>
        <v>1620</v>
      </c>
      <c r="S348" s="496"/>
      <c r="T348" s="330"/>
      <c r="U348" s="334"/>
      <c r="V348" s="469"/>
      <c r="W348" s="315"/>
    </row>
    <row r="349" spans="1:23" x14ac:dyDescent="0.2">
      <c r="A349" s="512">
        <v>43387</v>
      </c>
      <c r="B349" s="415" t="s">
        <v>55</v>
      </c>
      <c r="C349" s="409">
        <v>1.28</v>
      </c>
      <c r="D349" s="249"/>
      <c r="E349" s="250">
        <v>1.39</v>
      </c>
      <c r="F349" s="250">
        <v>1.47</v>
      </c>
      <c r="G349" s="250">
        <v>1.67</v>
      </c>
      <c r="H349" s="249"/>
      <c r="I349" s="249"/>
      <c r="J349" s="330"/>
      <c r="K349" s="432"/>
      <c r="L349" s="508"/>
      <c r="M349" s="463">
        <v>1.47</v>
      </c>
      <c r="N349" s="464">
        <v>1.47</v>
      </c>
      <c r="O349" s="443"/>
      <c r="P349" s="334"/>
      <c r="Q349" s="335"/>
      <c r="R349" s="250">
        <v>1.62</v>
      </c>
      <c r="S349" s="469"/>
      <c r="T349" s="333"/>
      <c r="U349" s="334"/>
      <c r="V349" s="497"/>
      <c r="W349" s="315"/>
    </row>
    <row r="350" spans="1:23" x14ac:dyDescent="0.2">
      <c r="A350" s="512">
        <v>43387</v>
      </c>
      <c r="B350" s="415" t="s">
        <v>56</v>
      </c>
      <c r="C350" s="410">
        <f>(C348-C347)/C348</f>
        <v>4.6822429906542132E-2</v>
      </c>
      <c r="D350" s="336"/>
      <c r="E350" s="336">
        <f>(E348-E347)/E348</f>
        <v>8.6107427055702859E-2</v>
      </c>
      <c r="F350" s="336">
        <f>(F348-F347)/F348</f>
        <v>7.8474148802017682E-2</v>
      </c>
      <c r="G350" s="336">
        <f>(G348-G347)/G348</f>
        <v>0.1612396236856668</v>
      </c>
      <c r="H350" s="336"/>
      <c r="I350" s="336"/>
      <c r="J350" s="338"/>
      <c r="K350" s="433"/>
      <c r="L350" s="279"/>
      <c r="M350" s="465">
        <f>(M348-M347)/M348</f>
        <v>8.7322404371584644E-2</v>
      </c>
      <c r="N350" s="466">
        <f>(N348-N347)/N348</f>
        <v>7.8497267759562894E-2</v>
      </c>
      <c r="O350" s="444"/>
      <c r="P350" s="340"/>
      <c r="Q350" s="341"/>
      <c r="R350" s="336">
        <f>(R348-R347)/R348</f>
        <v>0.12400000000000007</v>
      </c>
      <c r="S350" s="470"/>
      <c r="T350" s="339"/>
      <c r="U350" s="340"/>
      <c r="V350" s="470"/>
      <c r="W350" s="315"/>
    </row>
    <row r="351" spans="1:23" x14ac:dyDescent="0.2">
      <c r="A351" s="512">
        <v>43387</v>
      </c>
      <c r="B351" s="415" t="s">
        <v>57</v>
      </c>
      <c r="C351" s="410">
        <f>(C348-C347)/C347</f>
        <v>4.9122462986567396E-2</v>
      </c>
      <c r="D351" s="336"/>
      <c r="E351" s="336">
        <f>(E348-E347)/E347</f>
        <v>9.4220513006566697E-2</v>
      </c>
      <c r="F351" s="336">
        <f>(F348-F347)/F347</f>
        <v>8.5156752466576377E-2</v>
      </c>
      <c r="G351" s="336">
        <f>(G348-G347)/G347</f>
        <v>0.19223562323506893</v>
      </c>
      <c r="H351" s="336"/>
      <c r="I351" s="336"/>
      <c r="J351" s="338"/>
      <c r="K351" s="433"/>
      <c r="L351" s="279"/>
      <c r="M351" s="465">
        <f>(M348-M347)/M347</f>
        <v>9.5677164411447663E-2</v>
      </c>
      <c r="N351" s="466">
        <f>(N348-N347)/N347</f>
        <v>8.5183977228926441E-2</v>
      </c>
      <c r="O351" s="444"/>
      <c r="P351" s="340"/>
      <c r="Q351" s="341"/>
      <c r="R351" s="336">
        <f>(R348-R347)/R347</f>
        <v>0.14155251141552519</v>
      </c>
      <c r="S351" s="470"/>
      <c r="T351" s="339"/>
      <c r="U351" s="340"/>
      <c r="V351" s="470"/>
      <c r="W351" s="315"/>
    </row>
    <row r="352" spans="1:23" ht="13.3" thickBot="1" x14ac:dyDescent="0.25">
      <c r="A352" s="512">
        <v>43387</v>
      </c>
      <c r="B352" s="418" t="s">
        <v>58</v>
      </c>
      <c r="C352" s="411">
        <f>C349/C343-1</f>
        <v>7.8740157480314821E-3</v>
      </c>
      <c r="D352" s="353"/>
      <c r="E352" s="353">
        <f>E349/E343-1</f>
        <v>7.2463768115942351E-3</v>
      </c>
      <c r="F352" s="353">
        <f>F349/F343-1</f>
        <v>6.8493150684931781E-3</v>
      </c>
      <c r="G352" s="353">
        <f>G349/G343-1</f>
        <v>0</v>
      </c>
      <c r="H352" s="353"/>
      <c r="I352" s="353"/>
      <c r="J352" s="355"/>
      <c r="K352" s="434"/>
      <c r="L352" s="509"/>
      <c r="M352" s="467">
        <f>M349/M343-1</f>
        <v>6.8493150684931781E-3</v>
      </c>
      <c r="N352" s="292">
        <f>N349/N343-1</f>
        <v>6.8493150684931781E-3</v>
      </c>
      <c r="O352" s="445"/>
      <c r="P352" s="357"/>
      <c r="Q352" s="358"/>
      <c r="R352" s="353">
        <f>R349/R343-1</f>
        <v>6.2111801242235032E-3</v>
      </c>
      <c r="S352" s="471"/>
      <c r="T352" s="356"/>
      <c r="U352" s="357"/>
      <c r="V352" s="471"/>
      <c r="W352" s="359"/>
    </row>
    <row r="353" spans="1:23" x14ac:dyDescent="0.2">
      <c r="A353" s="512">
        <v>43394</v>
      </c>
      <c r="B353" s="419" t="s">
        <v>53</v>
      </c>
      <c r="C353" s="408">
        <v>1335.99</v>
      </c>
      <c r="D353" s="347"/>
      <c r="E353" s="346">
        <v>1378.15</v>
      </c>
      <c r="F353" s="346">
        <v>1471.27</v>
      </c>
      <c r="G353" s="346">
        <v>1524.48</v>
      </c>
      <c r="H353" s="347"/>
      <c r="I353" s="347"/>
      <c r="J353" s="290"/>
      <c r="K353" s="431"/>
      <c r="L353" s="507"/>
      <c r="M353" s="256">
        <v>1345.04</v>
      </c>
      <c r="N353" s="462">
        <v>1358.05</v>
      </c>
      <c r="O353" s="442"/>
      <c r="P353" s="348"/>
      <c r="Q353" s="349"/>
      <c r="R353" s="346">
        <v>1427.69</v>
      </c>
      <c r="S353" s="346"/>
      <c r="T353" s="290"/>
      <c r="U353" s="348"/>
      <c r="V353" s="347"/>
      <c r="W353" s="346">
        <v>1065.26</v>
      </c>
    </row>
    <row r="354" spans="1:23" x14ac:dyDescent="0.2">
      <c r="A354" s="512">
        <v>43394</v>
      </c>
      <c r="B354" s="415" t="s">
        <v>54</v>
      </c>
      <c r="C354" s="409">
        <v>1391</v>
      </c>
      <c r="D354" s="249"/>
      <c r="E354" s="250">
        <v>1508</v>
      </c>
      <c r="F354" s="250">
        <v>1599</v>
      </c>
      <c r="G354" s="250">
        <f>1833</f>
        <v>1833</v>
      </c>
      <c r="H354" s="249"/>
      <c r="I354" s="249"/>
      <c r="J354" s="330"/>
      <c r="K354" s="432"/>
      <c r="L354" s="508"/>
      <c r="M354" s="463">
        <v>1476</v>
      </c>
      <c r="N354" s="464">
        <v>1476</v>
      </c>
      <c r="O354" s="446"/>
      <c r="P354" s="331"/>
      <c r="Q354" s="332"/>
      <c r="R354" s="250">
        <v>1632</v>
      </c>
      <c r="S354" s="496"/>
      <c r="T354" s="330"/>
      <c r="U354" s="334"/>
      <c r="V354" s="469"/>
      <c r="W354" s="315"/>
    </row>
    <row r="355" spans="1:23" x14ac:dyDescent="0.2">
      <c r="A355" s="512">
        <v>43394</v>
      </c>
      <c r="B355" s="415" t="s">
        <v>55</v>
      </c>
      <c r="C355" s="409">
        <v>1.29</v>
      </c>
      <c r="D355" s="249"/>
      <c r="E355" s="250">
        <v>1.39</v>
      </c>
      <c r="F355" s="250">
        <v>1.48</v>
      </c>
      <c r="G355" s="250">
        <v>1.69</v>
      </c>
      <c r="H355" s="249"/>
      <c r="I355" s="249"/>
      <c r="J355" s="330"/>
      <c r="K355" s="432"/>
      <c r="L355" s="508"/>
      <c r="M355" s="463">
        <v>1.48</v>
      </c>
      <c r="N355" s="464">
        <v>1.48</v>
      </c>
      <c r="O355" s="443"/>
      <c r="P355" s="334"/>
      <c r="Q355" s="335"/>
      <c r="R355" s="250">
        <v>1.63</v>
      </c>
      <c r="S355" s="469"/>
      <c r="T355" s="333"/>
      <c r="U355" s="334"/>
      <c r="V355" s="497"/>
      <c r="W355" s="315"/>
    </row>
    <row r="356" spans="1:23" x14ac:dyDescent="0.2">
      <c r="A356" s="512">
        <v>43394</v>
      </c>
      <c r="B356" s="415" t="s">
        <v>56</v>
      </c>
      <c r="C356" s="410">
        <f>(C354-C353)/C354</f>
        <v>3.954708842559309E-2</v>
      </c>
      <c r="D356" s="336"/>
      <c r="E356" s="336">
        <f>(E354-E353)/E354</f>
        <v>8.6107427055702859E-2</v>
      </c>
      <c r="F356" s="336">
        <f>(F354-F353)/F354</f>
        <v>7.9881175734834289E-2</v>
      </c>
      <c r="G356" s="336">
        <f>(G354-G353)/G354</f>
        <v>0.1683142389525368</v>
      </c>
      <c r="H356" s="336"/>
      <c r="I356" s="336"/>
      <c r="J356" s="338"/>
      <c r="K356" s="433"/>
      <c r="L356" s="279"/>
      <c r="M356" s="465">
        <f>(M354-M353)/M354</f>
        <v>8.8726287262872655E-2</v>
      </c>
      <c r="N356" s="466">
        <f>(N354-N353)/N354</f>
        <v>7.9911924119241223E-2</v>
      </c>
      <c r="O356" s="444"/>
      <c r="P356" s="340"/>
      <c r="Q356" s="341"/>
      <c r="R356" s="336">
        <f>(R354-R353)/R354</f>
        <v>0.12518995098039212</v>
      </c>
      <c r="S356" s="470"/>
      <c r="T356" s="339"/>
      <c r="U356" s="340"/>
      <c r="V356" s="470"/>
      <c r="W356" s="315"/>
    </row>
    <row r="357" spans="1:23" x14ac:dyDescent="0.2">
      <c r="A357" s="512">
        <v>43394</v>
      </c>
      <c r="B357" s="415" t="s">
        <v>57</v>
      </c>
      <c r="C357" s="410">
        <f>(C354-C353)/C353</f>
        <v>4.1175457900133973E-2</v>
      </c>
      <c r="D357" s="336"/>
      <c r="E357" s="336">
        <f>(E354-E353)/E353</f>
        <v>9.4220513006566697E-2</v>
      </c>
      <c r="F357" s="336">
        <f>(F354-F353)/F353</f>
        <v>8.6816152031918017E-2</v>
      </c>
      <c r="G357" s="336">
        <f>(G354-G353)/G353</f>
        <v>0.20237720403022669</v>
      </c>
      <c r="H357" s="336"/>
      <c r="I357" s="336"/>
      <c r="J357" s="338"/>
      <c r="K357" s="433"/>
      <c r="L357" s="279"/>
      <c r="M357" s="465">
        <f>(M354-M353)/M353</f>
        <v>9.7365134122405314E-2</v>
      </c>
      <c r="N357" s="466">
        <f>(N354-N353)/N353</f>
        <v>8.6852472294834546E-2</v>
      </c>
      <c r="O357" s="444"/>
      <c r="P357" s="340"/>
      <c r="Q357" s="341"/>
      <c r="R357" s="336">
        <f>(R354-R353)/R353</f>
        <v>0.14310529596761198</v>
      </c>
      <c r="S357" s="470"/>
      <c r="T357" s="339"/>
      <c r="U357" s="340"/>
      <c r="V357" s="470"/>
      <c r="W357" s="315"/>
    </row>
    <row r="358" spans="1:23" ht="13.3" thickBot="1" x14ac:dyDescent="0.25">
      <c r="A358" s="512">
        <v>43394</v>
      </c>
      <c r="B358" s="418" t="s">
        <v>58</v>
      </c>
      <c r="C358" s="411">
        <f>C355/C349-1</f>
        <v>7.8125E-3</v>
      </c>
      <c r="D358" s="353"/>
      <c r="E358" s="353">
        <f>E355/E349-1</f>
        <v>0</v>
      </c>
      <c r="F358" s="353">
        <f>F355/F349-1</f>
        <v>6.8027210884353817E-3</v>
      </c>
      <c r="G358" s="353">
        <f>G355/G349-1</f>
        <v>1.1976047904191711E-2</v>
      </c>
      <c r="H358" s="353"/>
      <c r="I358" s="353"/>
      <c r="J358" s="355"/>
      <c r="K358" s="434"/>
      <c r="L358" s="509"/>
      <c r="M358" s="467">
        <f>M355/M349-1</f>
        <v>6.8027210884353817E-3</v>
      </c>
      <c r="N358" s="292">
        <f>N355/N349-1</f>
        <v>6.8027210884353817E-3</v>
      </c>
      <c r="O358" s="445"/>
      <c r="P358" s="357"/>
      <c r="Q358" s="358"/>
      <c r="R358" s="353">
        <f>R355/R349-1</f>
        <v>6.1728395061726449E-3</v>
      </c>
      <c r="S358" s="471"/>
      <c r="T358" s="356"/>
      <c r="U358" s="357"/>
      <c r="V358" s="471"/>
      <c r="W358" s="359"/>
    </row>
    <row r="359" spans="1:23" x14ac:dyDescent="0.2">
      <c r="A359" s="512">
        <v>43401</v>
      </c>
      <c r="B359" s="419" t="s">
        <v>53</v>
      </c>
      <c r="C359" s="408">
        <v>1346.11</v>
      </c>
      <c r="D359" s="347"/>
      <c r="E359" s="346">
        <v>1387.84</v>
      </c>
      <c r="F359" s="346">
        <v>1481</v>
      </c>
      <c r="G359" s="346">
        <v>1533.32</v>
      </c>
      <c r="H359" s="347"/>
      <c r="I359" s="347"/>
      <c r="J359" s="290"/>
      <c r="K359" s="431"/>
      <c r="L359" s="507"/>
      <c r="M359" s="256">
        <v>1353.92</v>
      </c>
      <c r="N359" s="462">
        <v>1367.02</v>
      </c>
      <c r="O359" s="442"/>
      <c r="P359" s="348"/>
      <c r="Q359" s="349"/>
      <c r="R359" s="346">
        <v>1436.26</v>
      </c>
      <c r="S359" s="346"/>
      <c r="T359" s="290"/>
      <c r="U359" s="348"/>
      <c r="V359" s="347"/>
      <c r="W359" s="346">
        <v>1118.02</v>
      </c>
    </row>
    <row r="360" spans="1:23" x14ac:dyDescent="0.2">
      <c r="A360" s="512">
        <v>43401</v>
      </c>
      <c r="B360" s="415" t="s">
        <v>54</v>
      </c>
      <c r="C360" s="409">
        <v>1404</v>
      </c>
      <c r="D360" s="249"/>
      <c r="E360" s="250">
        <v>1521</v>
      </c>
      <c r="F360" s="250">
        <v>1612</v>
      </c>
      <c r="G360" s="250">
        <f>1846</f>
        <v>1846</v>
      </c>
      <c r="H360" s="249"/>
      <c r="I360" s="249"/>
      <c r="J360" s="330"/>
      <c r="K360" s="432"/>
      <c r="L360" s="508"/>
      <c r="M360" s="463">
        <v>1488</v>
      </c>
      <c r="N360" s="464">
        <v>1488</v>
      </c>
      <c r="O360" s="446"/>
      <c r="P360" s="331"/>
      <c r="Q360" s="332"/>
      <c r="R360" s="250">
        <v>1644</v>
      </c>
      <c r="S360" s="496"/>
      <c r="T360" s="330"/>
      <c r="U360" s="334"/>
      <c r="V360" s="469"/>
      <c r="W360" s="315"/>
    </row>
    <row r="361" spans="1:23" x14ac:dyDescent="0.2">
      <c r="A361" s="512">
        <v>43401</v>
      </c>
      <c r="B361" s="415" t="s">
        <v>55</v>
      </c>
      <c r="C361" s="409">
        <v>1.3</v>
      </c>
      <c r="D361" s="249"/>
      <c r="E361" s="250">
        <v>1.4</v>
      </c>
      <c r="F361" s="250">
        <v>1.49</v>
      </c>
      <c r="G361" s="250">
        <v>1.7</v>
      </c>
      <c r="H361" s="249"/>
      <c r="I361" s="249"/>
      <c r="J361" s="330"/>
      <c r="K361" s="432"/>
      <c r="L361" s="508"/>
      <c r="M361" s="463">
        <v>1.49</v>
      </c>
      <c r="N361" s="464">
        <v>1.49</v>
      </c>
      <c r="O361" s="443"/>
      <c r="P361" s="334"/>
      <c r="Q361" s="335"/>
      <c r="R361" s="250">
        <v>1.64</v>
      </c>
      <c r="S361" s="469"/>
      <c r="T361" s="333"/>
      <c r="U361" s="334"/>
      <c r="V361" s="497"/>
      <c r="W361" s="315"/>
    </row>
    <row r="362" spans="1:23" x14ac:dyDescent="0.2">
      <c r="A362" s="512">
        <v>43401</v>
      </c>
      <c r="B362" s="415" t="s">
        <v>56</v>
      </c>
      <c r="C362" s="410">
        <f>(C360-C359)/C360</f>
        <v>4.1232193732193806E-2</v>
      </c>
      <c r="D362" s="336"/>
      <c r="E362" s="336">
        <f>(E360-E359)/E360</f>
        <v>8.7547666009204522E-2</v>
      </c>
      <c r="F362" s="336">
        <f>(F360-F359)/F360</f>
        <v>8.1265508684863527E-2</v>
      </c>
      <c r="G362" s="336">
        <f>(G360-G359)/G360</f>
        <v>0.16938244853737816</v>
      </c>
      <c r="H362" s="336"/>
      <c r="I362" s="336"/>
      <c r="J362" s="338"/>
      <c r="K362" s="433"/>
      <c r="L362" s="279"/>
      <c r="M362" s="465">
        <f>(M360-M359)/M360</f>
        <v>9.0107526881720384E-2</v>
      </c>
      <c r="N362" s="466">
        <f>(N360-N359)/N360</f>
        <v>8.1303763440860224E-2</v>
      </c>
      <c r="O362" s="444"/>
      <c r="P362" s="340"/>
      <c r="Q362" s="341"/>
      <c r="R362" s="336">
        <f>(R360-R359)/R360</f>
        <v>0.1263625304136253</v>
      </c>
      <c r="S362" s="470"/>
      <c r="T362" s="339"/>
      <c r="U362" s="340"/>
      <c r="V362" s="470"/>
      <c r="W362" s="315"/>
    </row>
    <row r="363" spans="1:23" x14ac:dyDescent="0.2">
      <c r="A363" s="512">
        <v>43401</v>
      </c>
      <c r="B363" s="415" t="s">
        <v>57</v>
      </c>
      <c r="C363" s="410">
        <f>(C360-C359)/C359</f>
        <v>4.3005400747338704E-2</v>
      </c>
      <c r="D363" s="336"/>
      <c r="E363" s="336">
        <f>(E360-E359)/E359</f>
        <v>9.5947659672584798E-2</v>
      </c>
      <c r="F363" s="336">
        <f>(F360-F359)/F359</f>
        <v>8.8453747467927071E-2</v>
      </c>
      <c r="G363" s="336">
        <f>(G360-G359)/G359</f>
        <v>0.20392351237836856</v>
      </c>
      <c r="H363" s="336"/>
      <c r="I363" s="336"/>
      <c r="J363" s="338"/>
      <c r="K363" s="433"/>
      <c r="L363" s="279"/>
      <c r="M363" s="465">
        <f>(M360-M359)/M359</f>
        <v>9.9030961947530069E-2</v>
      </c>
      <c r="N363" s="466">
        <f>(N360-N359)/N359</f>
        <v>8.8499070971895091E-2</v>
      </c>
      <c r="O363" s="444"/>
      <c r="P363" s="340"/>
      <c r="Q363" s="341"/>
      <c r="R363" s="336">
        <f>(R360-R359)/R359</f>
        <v>0.14463954994221104</v>
      </c>
      <c r="S363" s="470"/>
      <c r="T363" s="339"/>
      <c r="U363" s="340"/>
      <c r="V363" s="470"/>
      <c r="W363" s="315"/>
    </row>
    <row r="364" spans="1:23" ht="13.3" thickBot="1" x14ac:dyDescent="0.25">
      <c r="A364" s="512">
        <v>43401</v>
      </c>
      <c r="B364" s="418" t="s">
        <v>58</v>
      </c>
      <c r="C364" s="411">
        <f>C361/C355-1</f>
        <v>7.7519379844961378E-3</v>
      </c>
      <c r="D364" s="353"/>
      <c r="E364" s="353">
        <f>E361/E355-1</f>
        <v>7.194244604316502E-3</v>
      </c>
      <c r="F364" s="353">
        <f>F361/F355-1</f>
        <v>6.7567567567567988E-3</v>
      </c>
      <c r="G364" s="353">
        <f>G361/G355-1</f>
        <v>5.9171597633136397E-3</v>
      </c>
      <c r="H364" s="353"/>
      <c r="I364" s="353"/>
      <c r="J364" s="355"/>
      <c r="K364" s="434"/>
      <c r="L364" s="509"/>
      <c r="M364" s="467">
        <f>M361/M355-1</f>
        <v>6.7567567567567988E-3</v>
      </c>
      <c r="N364" s="292">
        <f>N361/N355-1</f>
        <v>6.7567567567567988E-3</v>
      </c>
      <c r="O364" s="445"/>
      <c r="P364" s="357"/>
      <c r="Q364" s="358"/>
      <c r="R364" s="353">
        <f>R361/R355-1</f>
        <v>6.1349693251533388E-3</v>
      </c>
      <c r="S364" s="471"/>
      <c r="T364" s="356"/>
      <c r="U364" s="357"/>
      <c r="V364" s="471"/>
      <c r="W364" s="359"/>
    </row>
    <row r="365" spans="1:23" x14ac:dyDescent="0.2">
      <c r="A365" s="512">
        <v>43415</v>
      </c>
      <c r="B365" s="419" t="s">
        <v>53</v>
      </c>
      <c r="C365" s="408">
        <v>1356.23</v>
      </c>
      <c r="D365" s="347"/>
      <c r="E365" s="346">
        <v>1397.53</v>
      </c>
      <c r="F365" s="346">
        <v>1490.73</v>
      </c>
      <c r="G365" s="346">
        <v>1542.16</v>
      </c>
      <c r="H365" s="347"/>
      <c r="I365" s="347"/>
      <c r="J365" s="290"/>
      <c r="K365" s="431"/>
      <c r="L365" s="507"/>
      <c r="M365" s="256">
        <v>1362.8</v>
      </c>
      <c r="N365" s="462">
        <v>1375.99</v>
      </c>
      <c r="O365" s="442"/>
      <c r="P365" s="348"/>
      <c r="Q365" s="349"/>
      <c r="R365" s="346">
        <v>1444.83</v>
      </c>
      <c r="S365" s="346"/>
      <c r="T365" s="290"/>
      <c r="U365" s="348"/>
      <c r="V365" s="347"/>
      <c r="W365" s="346">
        <v>1128.8900000000001</v>
      </c>
    </row>
    <row r="366" spans="1:23" x14ac:dyDescent="0.2">
      <c r="A366" s="512">
        <v>43415</v>
      </c>
      <c r="B366" s="415" t="s">
        <v>54</v>
      </c>
      <c r="C366" s="409">
        <v>1417</v>
      </c>
      <c r="D366" s="249"/>
      <c r="E366" s="250">
        <v>1521</v>
      </c>
      <c r="F366" s="250">
        <v>1625</v>
      </c>
      <c r="G366" s="250">
        <v>1846</v>
      </c>
      <c r="H366" s="249"/>
      <c r="I366" s="249"/>
      <c r="J366" s="330"/>
      <c r="K366" s="432"/>
      <c r="L366" s="508"/>
      <c r="M366" s="463">
        <v>1488</v>
      </c>
      <c r="N366" s="464">
        <v>1488</v>
      </c>
      <c r="O366" s="446"/>
      <c r="P366" s="331"/>
      <c r="Q366" s="332"/>
      <c r="R366" s="250">
        <v>1644</v>
      </c>
      <c r="S366" s="496"/>
      <c r="T366" s="330"/>
      <c r="U366" s="334"/>
      <c r="V366" s="469"/>
      <c r="W366" s="315"/>
    </row>
    <row r="367" spans="1:23" x14ac:dyDescent="0.2">
      <c r="A367" s="512">
        <v>43415</v>
      </c>
      <c r="B367" s="415" t="s">
        <v>55</v>
      </c>
      <c r="C367" s="409">
        <v>1.31</v>
      </c>
      <c r="D367" s="249"/>
      <c r="E367" s="250">
        <v>1.41</v>
      </c>
      <c r="F367" s="250">
        <v>1.5</v>
      </c>
      <c r="G367" s="250">
        <v>1.71</v>
      </c>
      <c r="H367" s="249"/>
      <c r="I367" s="249"/>
      <c r="J367" s="330"/>
      <c r="K367" s="432"/>
      <c r="L367" s="508"/>
      <c r="M367" s="463">
        <v>1.49</v>
      </c>
      <c r="N367" s="464">
        <v>1.49</v>
      </c>
      <c r="O367" s="443"/>
      <c r="P367" s="334"/>
      <c r="Q367" s="335"/>
      <c r="R367" s="250">
        <v>1.64</v>
      </c>
      <c r="S367" s="469"/>
      <c r="T367" s="333"/>
      <c r="U367" s="334"/>
      <c r="V367" s="497"/>
      <c r="W367" s="315"/>
    </row>
    <row r="368" spans="1:23" x14ac:dyDescent="0.2">
      <c r="A368" s="512">
        <v>43415</v>
      </c>
      <c r="B368" s="415" t="s">
        <v>56</v>
      </c>
      <c r="C368" s="410">
        <f>(C366-C365)/C366</f>
        <v>4.2886379675370491E-2</v>
      </c>
      <c r="D368" s="336"/>
      <c r="E368" s="336">
        <f>(E366-E365)/E366</f>
        <v>8.1176857330703497E-2</v>
      </c>
      <c r="F368" s="336">
        <f>(F366-F365)/F366</f>
        <v>8.2627692307692291E-2</v>
      </c>
      <c r="G368" s="336">
        <f>(G366-G365)/G366</f>
        <v>0.16459371614301188</v>
      </c>
      <c r="H368" s="336"/>
      <c r="I368" s="336"/>
      <c r="J368" s="338"/>
      <c r="K368" s="433"/>
      <c r="L368" s="279"/>
      <c r="M368" s="465">
        <f>(M366-M365)/M366</f>
        <v>8.4139784946236584E-2</v>
      </c>
      <c r="N368" s="466">
        <f>(N366-N365)/N366</f>
        <v>7.5275537634408599E-2</v>
      </c>
      <c r="O368" s="444"/>
      <c r="P368" s="340"/>
      <c r="Q368" s="341"/>
      <c r="R368" s="336">
        <f>(R366-R365)/R366</f>
        <v>0.12114963503649639</v>
      </c>
      <c r="S368" s="470"/>
      <c r="T368" s="339"/>
      <c r="U368" s="340"/>
      <c r="V368" s="470"/>
      <c r="W368" s="315"/>
    </row>
    <row r="369" spans="1:23" x14ac:dyDescent="0.2">
      <c r="A369" s="512">
        <v>43415</v>
      </c>
      <c r="B369" s="415" t="s">
        <v>57</v>
      </c>
      <c r="C369" s="410">
        <f>(C366-C365)/C365</f>
        <v>4.4808034035524934E-2</v>
      </c>
      <c r="D369" s="336"/>
      <c r="E369" s="336">
        <f>(E366-E365)/E365</f>
        <v>8.834872954426741E-2</v>
      </c>
      <c r="F369" s="336">
        <f>(F366-F365)/F365</f>
        <v>9.0069965721492146E-2</v>
      </c>
      <c r="G369" s="336">
        <f>(G366-G365)/G365</f>
        <v>0.19702235825076508</v>
      </c>
      <c r="H369" s="336"/>
      <c r="I369" s="336"/>
      <c r="J369" s="338"/>
      <c r="K369" s="433"/>
      <c r="L369" s="279"/>
      <c r="M369" s="465">
        <f>(M366-M365)/M365</f>
        <v>9.1869680070443244E-2</v>
      </c>
      <c r="N369" s="466">
        <f>(N366-N365)/N365</f>
        <v>8.1403207872150232E-2</v>
      </c>
      <c r="O369" s="444"/>
      <c r="P369" s="340"/>
      <c r="Q369" s="341"/>
      <c r="R369" s="336">
        <f>(R366-R365)/R365</f>
        <v>0.13785012769668409</v>
      </c>
      <c r="S369" s="470"/>
      <c r="T369" s="339"/>
      <c r="U369" s="340"/>
      <c r="V369" s="470"/>
      <c r="W369" s="315"/>
    </row>
    <row r="370" spans="1:23" ht="13.3" thickBot="1" x14ac:dyDescent="0.25">
      <c r="A370" s="512">
        <v>43415</v>
      </c>
      <c r="B370" s="418" t="s">
        <v>58</v>
      </c>
      <c r="C370" s="411">
        <f>C367/C361-1</f>
        <v>7.692307692307665E-3</v>
      </c>
      <c r="D370" s="353"/>
      <c r="E370" s="353">
        <f>E367/E361-1</f>
        <v>7.1428571428571175E-3</v>
      </c>
      <c r="F370" s="353">
        <f>F367/F361-1</f>
        <v>6.7114093959732557E-3</v>
      </c>
      <c r="G370" s="353">
        <f>G367/G361-1</f>
        <v>5.8823529411764497E-3</v>
      </c>
      <c r="H370" s="353"/>
      <c r="I370" s="353"/>
      <c r="J370" s="355"/>
      <c r="K370" s="434"/>
      <c r="L370" s="509"/>
      <c r="M370" s="467">
        <f>M367/M361-1</f>
        <v>0</v>
      </c>
      <c r="N370" s="292">
        <f>N367/N361-1</f>
        <v>0</v>
      </c>
      <c r="O370" s="445"/>
      <c r="P370" s="357"/>
      <c r="Q370" s="358"/>
      <c r="R370" s="353">
        <f>R367/R361-1</f>
        <v>0</v>
      </c>
      <c r="S370" s="471"/>
      <c r="T370" s="356"/>
      <c r="U370" s="357"/>
      <c r="V370" s="471"/>
      <c r="W370" s="359"/>
    </row>
    <row r="371" spans="1:23" x14ac:dyDescent="0.2">
      <c r="A371" s="512">
        <v>43422</v>
      </c>
      <c r="B371" s="419" t="s">
        <v>53</v>
      </c>
      <c r="C371" s="408">
        <v>1366.35</v>
      </c>
      <c r="D371" s="347"/>
      <c r="E371" s="346">
        <v>1407.22</v>
      </c>
      <c r="F371" s="346">
        <v>1500.46</v>
      </c>
      <c r="G371" s="346">
        <v>1551</v>
      </c>
      <c r="H371" s="347"/>
      <c r="I371" s="347"/>
      <c r="J371" s="290"/>
      <c r="K371" s="431"/>
      <c r="L371" s="507"/>
      <c r="M371" s="256">
        <v>1371.68</v>
      </c>
      <c r="N371" s="462">
        <v>1384.96</v>
      </c>
      <c r="O371" s="442"/>
      <c r="P371" s="348"/>
      <c r="Q371" s="349"/>
      <c r="R371" s="346">
        <v>1453.4</v>
      </c>
      <c r="S371" s="346"/>
      <c r="T371" s="290"/>
      <c r="U371" s="348"/>
      <c r="V371" s="347"/>
      <c r="W371" s="346">
        <v>1139.8699999999999</v>
      </c>
    </row>
    <row r="372" spans="1:23" x14ac:dyDescent="0.2">
      <c r="A372" s="512">
        <v>43422</v>
      </c>
      <c r="B372" s="415" t="s">
        <v>54</v>
      </c>
      <c r="C372" s="409">
        <v>1430</v>
      </c>
      <c r="D372" s="249"/>
      <c r="E372" s="250">
        <v>1534</v>
      </c>
      <c r="F372" s="250">
        <v>1638</v>
      </c>
      <c r="G372" s="250">
        <v>1859</v>
      </c>
      <c r="H372" s="249"/>
      <c r="I372" s="249"/>
      <c r="J372" s="330"/>
      <c r="K372" s="432"/>
      <c r="L372" s="508"/>
      <c r="M372" s="463">
        <v>1512</v>
      </c>
      <c r="N372" s="464">
        <v>1512</v>
      </c>
      <c r="O372" s="446"/>
      <c r="P372" s="331"/>
      <c r="Q372" s="332"/>
      <c r="R372" s="250">
        <v>1656</v>
      </c>
      <c r="S372" s="496"/>
      <c r="T372" s="330"/>
      <c r="U372" s="334"/>
      <c r="V372" s="469"/>
      <c r="W372" s="315"/>
    </row>
    <row r="373" spans="1:23" x14ac:dyDescent="0.2">
      <c r="A373" s="512">
        <v>43422</v>
      </c>
      <c r="B373" s="415" t="s">
        <v>55</v>
      </c>
      <c r="C373" s="409">
        <v>1.32</v>
      </c>
      <c r="D373" s="249"/>
      <c r="E373" s="250">
        <v>1.42</v>
      </c>
      <c r="F373" s="250">
        <v>1.51</v>
      </c>
      <c r="G373" s="250">
        <v>1.72</v>
      </c>
      <c r="H373" s="249"/>
      <c r="I373" s="249"/>
      <c r="J373" s="330"/>
      <c r="K373" s="432"/>
      <c r="L373" s="508"/>
      <c r="M373" s="463">
        <v>1.51</v>
      </c>
      <c r="N373" s="464">
        <v>1.51</v>
      </c>
      <c r="O373" s="443"/>
      <c r="P373" s="334"/>
      <c r="Q373" s="335"/>
      <c r="R373" s="250">
        <v>1.66</v>
      </c>
      <c r="S373" s="469"/>
      <c r="T373" s="333"/>
      <c r="U373" s="334"/>
      <c r="V373" s="497"/>
      <c r="W373" s="315"/>
    </row>
    <row r="374" spans="1:23" x14ac:dyDescent="0.2">
      <c r="A374" s="512">
        <v>43422</v>
      </c>
      <c r="B374" s="415" t="s">
        <v>56</v>
      </c>
      <c r="C374" s="410">
        <f>(C372-C371)/C372</f>
        <v>4.4510489510489575E-2</v>
      </c>
      <c r="D374" s="336"/>
      <c r="E374" s="336">
        <f>(E372-E371)/E372</f>
        <v>8.2646675358539742E-2</v>
      </c>
      <c r="F374" s="336">
        <f>(F372-F371)/F372</f>
        <v>8.3968253968253942E-2</v>
      </c>
      <c r="G374" s="336">
        <f>(G372-G371)/G372</f>
        <v>0.16568047337278108</v>
      </c>
      <c r="H374" s="336"/>
      <c r="I374" s="336"/>
      <c r="J374" s="338"/>
      <c r="K374" s="433"/>
      <c r="L374" s="279"/>
      <c r="M374" s="465">
        <f>(M372-M371)/M372</f>
        <v>9.2804232804232764E-2</v>
      </c>
      <c r="N374" s="466">
        <f>(N372-N371)/N372</f>
        <v>8.4021164021163997E-2</v>
      </c>
      <c r="O374" s="444"/>
      <c r="P374" s="340"/>
      <c r="Q374" s="341"/>
      <c r="R374" s="336">
        <f>(R372-R371)/R372</f>
        <v>0.12234299516908206</v>
      </c>
      <c r="S374" s="470"/>
      <c r="T374" s="339"/>
      <c r="U374" s="340"/>
      <c r="V374" s="470"/>
      <c r="W374" s="315"/>
    </row>
    <row r="375" spans="1:23" x14ac:dyDescent="0.2">
      <c r="A375" s="512">
        <v>43422</v>
      </c>
      <c r="B375" s="415" t="s">
        <v>57</v>
      </c>
      <c r="C375" s="410">
        <f>(C372-C371)/C371</f>
        <v>4.6583964577158195E-2</v>
      </c>
      <c r="D375" s="336"/>
      <c r="E375" s="336">
        <f>(E372-E371)/E371</f>
        <v>9.0092522846463213E-2</v>
      </c>
      <c r="F375" s="336">
        <f>(F372-F371)/F371</f>
        <v>9.1665222665049353E-2</v>
      </c>
      <c r="G375" s="336">
        <f>(G372-G371)/G371</f>
        <v>0.19858156028368795</v>
      </c>
      <c r="H375" s="336"/>
      <c r="I375" s="336"/>
      <c r="J375" s="338"/>
      <c r="K375" s="433"/>
      <c r="L375" s="279"/>
      <c r="M375" s="465">
        <f>(M372-M371)/M371</f>
        <v>0.10229791204945755</v>
      </c>
      <c r="N375" s="466">
        <f>(N372-N371)/N371</f>
        <v>9.1728280961182962E-2</v>
      </c>
      <c r="O375" s="444"/>
      <c r="P375" s="340"/>
      <c r="Q375" s="341"/>
      <c r="R375" s="336">
        <f>(R372-R371)/R371</f>
        <v>0.13939727535434146</v>
      </c>
      <c r="S375" s="470"/>
      <c r="T375" s="339"/>
      <c r="U375" s="340"/>
      <c r="V375" s="470"/>
      <c r="W375" s="315"/>
    </row>
    <row r="376" spans="1:23" ht="13.3" thickBot="1" x14ac:dyDescent="0.25">
      <c r="A376" s="512">
        <v>43422</v>
      </c>
      <c r="B376" s="418" t="s">
        <v>58</v>
      </c>
      <c r="C376" s="411">
        <f>C373/C367-1</f>
        <v>7.6335877862594437E-3</v>
      </c>
      <c r="D376" s="353"/>
      <c r="E376" s="353">
        <f>E373/E367-1</f>
        <v>7.0921985815601829E-3</v>
      </c>
      <c r="F376" s="353">
        <f>F373/F367-1</f>
        <v>6.6666666666665986E-3</v>
      </c>
      <c r="G376" s="353">
        <f>G373/G367-1</f>
        <v>5.8479532163742132E-3</v>
      </c>
      <c r="H376" s="353"/>
      <c r="I376" s="353"/>
      <c r="J376" s="355"/>
      <c r="K376" s="434"/>
      <c r="L376" s="509"/>
      <c r="M376" s="467">
        <f>M373/M367-1</f>
        <v>1.3422818791946289E-2</v>
      </c>
      <c r="N376" s="292">
        <f>N373/N367-1</f>
        <v>1.3422818791946289E-2</v>
      </c>
      <c r="O376" s="445"/>
      <c r="P376" s="357"/>
      <c r="Q376" s="358"/>
      <c r="R376" s="353">
        <f>R373/R367-1</f>
        <v>1.2195121951219523E-2</v>
      </c>
      <c r="S376" s="471"/>
      <c r="T376" s="356"/>
      <c r="U376" s="357"/>
      <c r="V376" s="471"/>
      <c r="W376" s="359"/>
    </row>
    <row r="377" spans="1:23" x14ac:dyDescent="0.2">
      <c r="A377" s="512">
        <v>43429</v>
      </c>
      <c r="B377" s="419" t="s">
        <v>53</v>
      </c>
      <c r="C377" s="408">
        <v>1376.47</v>
      </c>
      <c r="D377" s="347"/>
      <c r="E377" s="346">
        <v>1407.22</v>
      </c>
      <c r="F377" s="346">
        <v>1510.19</v>
      </c>
      <c r="G377" s="346">
        <v>1559.84</v>
      </c>
      <c r="H377" s="347"/>
      <c r="I377" s="347"/>
      <c r="J377" s="290"/>
      <c r="K377" s="431"/>
      <c r="L377" s="507"/>
      <c r="M377" s="256">
        <v>1380.56</v>
      </c>
      <c r="N377" s="462">
        <v>1393.93</v>
      </c>
      <c r="O377" s="442"/>
      <c r="P377" s="348"/>
      <c r="Q377" s="349"/>
      <c r="R377" s="346">
        <v>1461.97</v>
      </c>
      <c r="S377" s="346"/>
      <c r="T377" s="290"/>
      <c r="U377" s="348"/>
      <c r="V377" s="347"/>
      <c r="W377" s="346">
        <v>1150.96</v>
      </c>
    </row>
    <row r="378" spans="1:23" x14ac:dyDescent="0.2">
      <c r="A378" s="512">
        <v>43429</v>
      </c>
      <c r="B378" s="415" t="s">
        <v>54</v>
      </c>
      <c r="C378" s="409">
        <v>1443</v>
      </c>
      <c r="D378" s="249"/>
      <c r="E378" s="250">
        <v>1534</v>
      </c>
      <c r="F378" s="250">
        <v>1651</v>
      </c>
      <c r="G378" s="250">
        <v>1872</v>
      </c>
      <c r="H378" s="249"/>
      <c r="I378" s="249"/>
      <c r="J378" s="330"/>
      <c r="K378" s="432"/>
      <c r="L378" s="508"/>
      <c r="M378" s="463">
        <v>1524</v>
      </c>
      <c r="N378" s="464">
        <v>1524</v>
      </c>
      <c r="O378" s="446"/>
      <c r="P378" s="331"/>
      <c r="Q378" s="332"/>
      <c r="R378" s="250">
        <v>1668</v>
      </c>
      <c r="S378" s="496"/>
      <c r="T378" s="330"/>
      <c r="U378" s="334"/>
      <c r="V378" s="469"/>
      <c r="W378" s="315"/>
    </row>
    <row r="379" spans="1:23" x14ac:dyDescent="0.2">
      <c r="A379" s="512">
        <v>43429</v>
      </c>
      <c r="B379" s="415" t="s">
        <v>55</v>
      </c>
      <c r="C379" s="409">
        <v>1.33</v>
      </c>
      <c r="D379" s="249"/>
      <c r="E379" s="250">
        <v>1.42</v>
      </c>
      <c r="F379" s="250">
        <v>1.52</v>
      </c>
      <c r="G379" s="250">
        <v>1.73</v>
      </c>
      <c r="H379" s="249"/>
      <c r="I379" s="249"/>
      <c r="J379" s="330"/>
      <c r="K379" s="432"/>
      <c r="L379" s="508"/>
      <c r="M379" s="463">
        <v>1.52</v>
      </c>
      <c r="N379" s="464">
        <v>1.52</v>
      </c>
      <c r="O379" s="443"/>
      <c r="P379" s="334"/>
      <c r="Q379" s="335"/>
      <c r="R379" s="250">
        <v>1.67</v>
      </c>
      <c r="S379" s="469"/>
      <c r="T379" s="333"/>
      <c r="U379" s="334"/>
      <c r="V379" s="497"/>
      <c r="W379" s="315"/>
    </row>
    <row r="380" spans="1:23" x14ac:dyDescent="0.2">
      <c r="A380" s="512">
        <v>43429</v>
      </c>
      <c r="B380" s="415" t="s">
        <v>56</v>
      </c>
      <c r="C380" s="410">
        <f>(C378-C377)/C378</f>
        <v>4.6105336105336084E-2</v>
      </c>
      <c r="D380" s="336"/>
      <c r="E380" s="336">
        <f>(E378-E377)/E378</f>
        <v>8.2646675358539742E-2</v>
      </c>
      <c r="F380" s="336">
        <f>(F378-F377)/F378</f>
        <v>8.5287704421562652E-2</v>
      </c>
      <c r="G380" s="336">
        <f>(G378-G377)/G378</f>
        <v>0.16675213675213679</v>
      </c>
      <c r="H380" s="336"/>
      <c r="I380" s="336"/>
      <c r="J380" s="338"/>
      <c r="K380" s="433"/>
      <c r="L380" s="279"/>
      <c r="M380" s="465">
        <f>(M378-M377)/M378</f>
        <v>9.4120734908136522E-2</v>
      </c>
      <c r="N380" s="466">
        <f>(N378-N377)/N378</f>
        <v>8.5347769028871354E-2</v>
      </c>
      <c r="O380" s="444"/>
      <c r="P380" s="340"/>
      <c r="Q380" s="341"/>
      <c r="R380" s="336">
        <f>(R378-R377)/R378</f>
        <v>0.12351918465227817</v>
      </c>
      <c r="S380" s="470"/>
      <c r="T380" s="339"/>
      <c r="U380" s="340"/>
      <c r="V380" s="470"/>
      <c r="W380" s="315"/>
    </row>
    <row r="381" spans="1:23" x14ac:dyDescent="0.2">
      <c r="A381" s="512">
        <v>43429</v>
      </c>
      <c r="B381" s="415" t="s">
        <v>57</v>
      </c>
      <c r="C381" s="410">
        <f>(C378-C377)/C377</f>
        <v>4.8333781339222774E-2</v>
      </c>
      <c r="D381" s="336"/>
      <c r="E381" s="336">
        <f>(E378-E377)/E377</f>
        <v>9.0092522846463213E-2</v>
      </c>
      <c r="F381" s="336">
        <f>(F378-F377)/F377</f>
        <v>9.323992345334027E-2</v>
      </c>
      <c r="G381" s="336">
        <f>(G378-G377)/G377</f>
        <v>0.20012308954764599</v>
      </c>
      <c r="H381" s="336"/>
      <c r="I381" s="336"/>
      <c r="J381" s="338"/>
      <c r="K381" s="433"/>
      <c r="L381" s="279"/>
      <c r="M381" s="465">
        <f>(M378-M377)/M377</f>
        <v>0.10389986672075105</v>
      </c>
      <c r="N381" s="466">
        <f>(N378-N377)/N377</f>
        <v>9.3311715796345535E-2</v>
      </c>
      <c r="O381" s="444"/>
      <c r="P381" s="340"/>
      <c r="Q381" s="341"/>
      <c r="R381" s="336">
        <f>(R378-R377)/R377</f>
        <v>0.14092628439708063</v>
      </c>
      <c r="S381" s="470"/>
      <c r="T381" s="339"/>
      <c r="U381" s="340"/>
      <c r="V381" s="470"/>
      <c r="W381" s="315"/>
    </row>
    <row r="382" spans="1:23" ht="13.3" thickBot="1" x14ac:dyDescent="0.25">
      <c r="A382" s="512">
        <v>43429</v>
      </c>
      <c r="B382" s="418" t="s">
        <v>58</v>
      </c>
      <c r="C382" s="411">
        <f>C379/C373-1</f>
        <v>7.575757575757569E-3</v>
      </c>
      <c r="D382" s="353"/>
      <c r="E382" s="353">
        <f>E379/E373-1</f>
        <v>0</v>
      </c>
      <c r="F382" s="353">
        <f>F379/F373-1</f>
        <v>6.6225165562914245E-3</v>
      </c>
      <c r="G382" s="353">
        <f>G379/G373-1</f>
        <v>5.8139534883721034E-3</v>
      </c>
      <c r="H382" s="353"/>
      <c r="I382" s="353"/>
      <c r="J382" s="355"/>
      <c r="K382" s="434"/>
      <c r="L382" s="509"/>
      <c r="M382" s="467">
        <f>M379/M373-1</f>
        <v>6.6225165562914245E-3</v>
      </c>
      <c r="N382" s="292">
        <f>N379/N373-1</f>
        <v>6.6225165562914245E-3</v>
      </c>
      <c r="O382" s="445"/>
      <c r="P382" s="357"/>
      <c r="Q382" s="358"/>
      <c r="R382" s="353">
        <f>R379/R373-1</f>
        <v>6.0240963855422436E-3</v>
      </c>
      <c r="S382" s="471"/>
      <c r="T382" s="356"/>
      <c r="U382" s="357"/>
      <c r="V382" s="471"/>
      <c r="W382" s="359"/>
    </row>
    <row r="383" spans="1:23" x14ac:dyDescent="0.2">
      <c r="A383" s="512">
        <v>43443</v>
      </c>
      <c r="B383" s="419" t="s">
        <v>53</v>
      </c>
      <c r="C383" s="408">
        <v>1386.59</v>
      </c>
      <c r="D383" s="347"/>
      <c r="E383" s="346">
        <v>1416.91</v>
      </c>
      <c r="F383" s="346">
        <v>1519.92</v>
      </c>
      <c r="G383" s="346">
        <v>1568.68</v>
      </c>
      <c r="H383" s="347"/>
      <c r="I383" s="347"/>
      <c r="J383" s="290"/>
      <c r="K383" s="431"/>
      <c r="L383" s="507"/>
      <c r="M383" s="256">
        <v>1389.44</v>
      </c>
      <c r="N383" s="462">
        <v>1402.9</v>
      </c>
      <c r="O383" s="442"/>
      <c r="P383" s="348"/>
      <c r="Q383" s="349"/>
      <c r="R383" s="346">
        <v>1470.54</v>
      </c>
      <c r="S383" s="346"/>
      <c r="T383" s="290"/>
      <c r="U383" s="348"/>
      <c r="V383" s="347"/>
      <c r="W383" s="346">
        <v>1162.1600000000001</v>
      </c>
    </row>
    <row r="384" spans="1:23" x14ac:dyDescent="0.2">
      <c r="A384" s="512">
        <v>43443</v>
      </c>
      <c r="B384" s="415" t="s">
        <v>54</v>
      </c>
      <c r="C384" s="409">
        <v>1456</v>
      </c>
      <c r="D384" s="249"/>
      <c r="E384" s="250">
        <v>1547</v>
      </c>
      <c r="F384" s="250">
        <v>1651</v>
      </c>
      <c r="G384" s="250">
        <v>1885</v>
      </c>
      <c r="H384" s="249"/>
      <c r="I384" s="249"/>
      <c r="J384" s="330"/>
      <c r="K384" s="432"/>
      <c r="L384" s="508"/>
      <c r="M384" s="463">
        <v>1524</v>
      </c>
      <c r="N384" s="464">
        <v>1524</v>
      </c>
      <c r="O384" s="446"/>
      <c r="P384" s="331"/>
      <c r="Q384" s="332"/>
      <c r="R384" s="250">
        <v>1680</v>
      </c>
      <c r="S384" s="496"/>
      <c r="T384" s="330"/>
      <c r="U384" s="334"/>
      <c r="V384" s="469"/>
      <c r="W384" s="315"/>
    </row>
    <row r="385" spans="1:23" x14ac:dyDescent="0.2">
      <c r="A385" s="512">
        <v>43443</v>
      </c>
      <c r="B385" s="415" t="s">
        <v>55</v>
      </c>
      <c r="C385" s="409">
        <v>1.34</v>
      </c>
      <c r="D385" s="249"/>
      <c r="E385" s="250">
        <v>1.43</v>
      </c>
      <c r="F385" s="250">
        <v>1.53</v>
      </c>
      <c r="G385" s="250">
        <v>1.74</v>
      </c>
      <c r="H385" s="249"/>
      <c r="I385" s="249"/>
      <c r="J385" s="330"/>
      <c r="K385" s="432"/>
      <c r="L385" s="508"/>
      <c r="M385" s="463">
        <v>1.53</v>
      </c>
      <c r="N385" s="464">
        <v>1.53</v>
      </c>
      <c r="O385" s="443"/>
      <c r="P385" s="334"/>
      <c r="Q385" s="335"/>
      <c r="R385" s="250">
        <v>1.68</v>
      </c>
      <c r="S385" s="469"/>
      <c r="T385" s="333"/>
      <c r="U385" s="334"/>
      <c r="V385" s="497"/>
      <c r="W385" s="315"/>
    </row>
    <row r="386" spans="1:23" x14ac:dyDescent="0.2">
      <c r="A386" s="512">
        <v>43443</v>
      </c>
      <c r="B386" s="415" t="s">
        <v>56</v>
      </c>
      <c r="C386" s="410">
        <f>(C384-C383)/C384</f>
        <v>4.7671703296703352E-2</v>
      </c>
      <c r="D386" s="336"/>
      <c r="E386" s="336">
        <f>(E384-E383)/E384</f>
        <v>8.409179056237874E-2</v>
      </c>
      <c r="F386" s="336">
        <f>(F384-F383)/F384</f>
        <v>7.9394306480920607E-2</v>
      </c>
      <c r="G386" s="336">
        <f>(G384-G383)/G384</f>
        <v>0.16780901856763922</v>
      </c>
      <c r="H386" s="336"/>
      <c r="I386" s="336"/>
      <c r="J386" s="338"/>
      <c r="K386" s="433"/>
      <c r="L386" s="279"/>
      <c r="M386" s="465">
        <f>(M384-M383)/M384</f>
        <v>8.8293963254593141E-2</v>
      </c>
      <c r="N386" s="466">
        <f>(N384-N383)/N384</f>
        <v>7.9461942257217782E-2</v>
      </c>
      <c r="O386" s="444"/>
      <c r="P386" s="340"/>
      <c r="Q386" s="341"/>
      <c r="R386" s="336">
        <f>(R384-R383)/R384</f>
        <v>0.12467857142857144</v>
      </c>
      <c r="S386" s="470"/>
      <c r="T386" s="339"/>
      <c r="U386" s="340"/>
      <c r="V386" s="470"/>
      <c r="W386" s="315"/>
    </row>
    <row r="387" spans="1:23" x14ac:dyDescent="0.2">
      <c r="A387" s="512">
        <v>43443</v>
      </c>
      <c r="B387" s="415" t="s">
        <v>57</v>
      </c>
      <c r="C387" s="410">
        <f>(C384-C383)/C383</f>
        <v>5.0058056094447592E-2</v>
      </c>
      <c r="D387" s="336"/>
      <c r="E387" s="336">
        <f>(E384-E383)/E383</f>
        <v>9.181246515304424E-2</v>
      </c>
      <c r="F387" s="336">
        <f>(F384-F383)/F383</f>
        <v>8.6241381125322328E-2</v>
      </c>
      <c r="G387" s="336">
        <f>(G384-G383)/G383</f>
        <v>0.20164724481729857</v>
      </c>
      <c r="H387" s="336"/>
      <c r="I387" s="336"/>
      <c r="J387" s="338"/>
      <c r="K387" s="433"/>
      <c r="L387" s="279"/>
      <c r="M387" s="465">
        <f>(M384-M383)/M383</f>
        <v>9.6844771994472556E-2</v>
      </c>
      <c r="N387" s="466">
        <f>(N384-N383)/N383</f>
        <v>8.6321191816950527E-2</v>
      </c>
      <c r="O387" s="444"/>
      <c r="P387" s="340"/>
      <c r="Q387" s="341"/>
      <c r="R387" s="336">
        <f>(R384-R383)/R383</f>
        <v>0.14243747194907996</v>
      </c>
      <c r="S387" s="470"/>
      <c r="T387" s="339"/>
      <c r="U387" s="340"/>
      <c r="V387" s="470"/>
      <c r="W387" s="315"/>
    </row>
    <row r="388" spans="1:23" ht="13.3" thickBot="1" x14ac:dyDescent="0.25">
      <c r="A388" s="512">
        <v>43443</v>
      </c>
      <c r="B388" s="418" t="s">
        <v>58</v>
      </c>
      <c r="C388" s="411">
        <f>C385/C379-1</f>
        <v>7.5187969924812581E-3</v>
      </c>
      <c r="D388" s="353"/>
      <c r="E388" s="353">
        <f>E385/E379-1</f>
        <v>7.0422535211267512E-3</v>
      </c>
      <c r="F388" s="353">
        <f>F385/F379-1</f>
        <v>6.5789473684210176E-3</v>
      </c>
      <c r="G388" s="353">
        <f>G385/G379-1</f>
        <v>5.7803468208093012E-3</v>
      </c>
      <c r="H388" s="353"/>
      <c r="I388" s="353"/>
      <c r="J388" s="355"/>
      <c r="K388" s="434"/>
      <c r="L388" s="509"/>
      <c r="M388" s="467">
        <f>M385/M379-1</f>
        <v>6.5789473684210176E-3</v>
      </c>
      <c r="N388" s="292">
        <f>N385/N379-1</f>
        <v>6.5789473684210176E-3</v>
      </c>
      <c r="O388" s="445"/>
      <c r="P388" s="357"/>
      <c r="Q388" s="358"/>
      <c r="R388" s="353">
        <f>R385/R379-1</f>
        <v>5.9880239520957446E-3</v>
      </c>
      <c r="S388" s="471"/>
      <c r="T388" s="356"/>
      <c r="U388" s="357"/>
      <c r="V388" s="471"/>
      <c r="W388" s="359"/>
    </row>
    <row r="389" spans="1:23" x14ac:dyDescent="0.2">
      <c r="A389" s="512">
        <v>43450</v>
      </c>
      <c r="B389" s="419" t="s">
        <v>53</v>
      </c>
      <c r="C389" s="408">
        <v>1396.71</v>
      </c>
      <c r="D389" s="347"/>
      <c r="E389" s="346">
        <v>1416.91</v>
      </c>
      <c r="F389" s="346">
        <v>1529.65</v>
      </c>
      <c r="G389" s="346">
        <v>1577.52</v>
      </c>
      <c r="H389" s="347"/>
      <c r="I389" s="347"/>
      <c r="J389" s="290"/>
      <c r="K389" s="431"/>
      <c r="L389" s="507"/>
      <c r="M389" s="256">
        <v>1398.32</v>
      </c>
      <c r="N389" s="462">
        <v>1411.87</v>
      </c>
      <c r="O389" s="442"/>
      <c r="P389" s="348"/>
      <c r="Q389" s="349"/>
      <c r="R389" s="346">
        <v>1479.11</v>
      </c>
      <c r="S389" s="346"/>
      <c r="T389" s="290"/>
      <c r="U389" s="348"/>
      <c r="V389" s="347"/>
      <c r="W389" s="346">
        <v>1173.47</v>
      </c>
    </row>
    <row r="390" spans="1:23" x14ac:dyDescent="0.2">
      <c r="A390" s="512">
        <v>43450</v>
      </c>
      <c r="B390" s="415" t="s">
        <v>54</v>
      </c>
      <c r="C390" s="409">
        <v>1456</v>
      </c>
      <c r="D390" s="249"/>
      <c r="E390" s="250">
        <v>1547</v>
      </c>
      <c r="F390" s="250">
        <v>1664</v>
      </c>
      <c r="G390" s="250">
        <v>1898</v>
      </c>
      <c r="H390" s="249"/>
      <c r="I390" s="249"/>
      <c r="J390" s="330"/>
      <c r="K390" s="432"/>
      <c r="L390" s="508"/>
      <c r="M390" s="463">
        <v>1536</v>
      </c>
      <c r="N390" s="464">
        <v>1536</v>
      </c>
      <c r="O390" s="446"/>
      <c r="P390" s="331"/>
      <c r="Q390" s="332"/>
      <c r="R390" s="250">
        <v>1692</v>
      </c>
      <c r="S390" s="496"/>
      <c r="T390" s="330"/>
      <c r="U390" s="334"/>
      <c r="V390" s="469"/>
      <c r="W390" s="315"/>
    </row>
    <row r="391" spans="1:23" x14ac:dyDescent="0.2">
      <c r="A391" s="512">
        <v>43450</v>
      </c>
      <c r="B391" s="415" t="s">
        <v>55</v>
      </c>
      <c r="C391" s="409">
        <v>1.35</v>
      </c>
      <c r="D391" s="249"/>
      <c r="E391" s="250">
        <v>1.43</v>
      </c>
      <c r="F391" s="250">
        <v>1.54</v>
      </c>
      <c r="G391" s="250">
        <v>1.75</v>
      </c>
      <c r="H391" s="249"/>
      <c r="I391" s="249"/>
      <c r="J391" s="330"/>
      <c r="K391" s="432"/>
      <c r="L391" s="508"/>
      <c r="M391" s="463">
        <v>1.54</v>
      </c>
      <c r="N391" s="464">
        <v>1.54</v>
      </c>
      <c r="O391" s="443"/>
      <c r="P391" s="334"/>
      <c r="Q391" s="335"/>
      <c r="R391" s="250">
        <v>1.69</v>
      </c>
      <c r="S391" s="469"/>
      <c r="T391" s="333"/>
      <c r="U391" s="334"/>
      <c r="V391" s="497"/>
      <c r="W391" s="315"/>
    </row>
    <row r="392" spans="1:23" x14ac:dyDescent="0.2">
      <c r="A392" s="512">
        <v>43450</v>
      </c>
      <c r="B392" s="415" t="s">
        <v>56</v>
      </c>
      <c r="C392" s="410">
        <f>(C390-C389)/C390</f>
        <v>4.0721153846153824E-2</v>
      </c>
      <c r="D392" s="336"/>
      <c r="E392" s="336">
        <f>(E390-E389)/E390</f>
        <v>8.409179056237874E-2</v>
      </c>
      <c r="F392" s="336">
        <f>(F390-F389)/F390</f>
        <v>8.0739182692307634E-2</v>
      </c>
      <c r="G392" s="336">
        <f>(G390-G389)/G390</f>
        <v>0.1688514225500527</v>
      </c>
      <c r="H392" s="336"/>
      <c r="I392" s="336"/>
      <c r="J392" s="338"/>
      <c r="K392" s="433"/>
      <c r="L392" s="279"/>
      <c r="M392" s="465">
        <f>(M390-M389)/M390</f>
        <v>8.9635416666666703E-2</v>
      </c>
      <c r="N392" s="466">
        <f>(N390-N389)/N390</f>
        <v>8.08138020833334E-2</v>
      </c>
      <c r="O392" s="444"/>
      <c r="P392" s="340"/>
      <c r="Q392" s="341"/>
      <c r="R392" s="336">
        <f>(R390-R389)/R390</f>
        <v>0.12582151300236413</v>
      </c>
      <c r="S392" s="470"/>
      <c r="T392" s="339"/>
      <c r="U392" s="340"/>
      <c r="V392" s="470"/>
      <c r="W392" s="315"/>
    </row>
    <row r="393" spans="1:23" x14ac:dyDescent="0.2">
      <c r="A393" s="512">
        <v>43450</v>
      </c>
      <c r="B393" s="415" t="s">
        <v>57</v>
      </c>
      <c r="C393" s="410">
        <f>(C390-C389)/C389</f>
        <v>4.2449756928782612E-2</v>
      </c>
      <c r="D393" s="336"/>
      <c r="E393" s="336">
        <f>(E390-E389)/E389</f>
        <v>9.181246515304424E-2</v>
      </c>
      <c r="F393" s="336">
        <f>(F390-F389)/F389</f>
        <v>8.7830549472101394E-2</v>
      </c>
      <c r="G393" s="336">
        <f>(G390-G389)/G389</f>
        <v>0.20315431817029261</v>
      </c>
      <c r="H393" s="336"/>
      <c r="I393" s="336"/>
      <c r="J393" s="338"/>
      <c r="K393" s="433"/>
      <c r="L393" s="279"/>
      <c r="M393" s="465">
        <f>(M390-M389)/M389</f>
        <v>9.8461010355283526E-2</v>
      </c>
      <c r="N393" s="466">
        <f>(N390-N389)/N389</f>
        <v>8.7918859385070949E-2</v>
      </c>
      <c r="O393" s="444"/>
      <c r="P393" s="340"/>
      <c r="Q393" s="341"/>
      <c r="R393" s="336">
        <f>(R390-R389)/R389</f>
        <v>0.14393114778481661</v>
      </c>
      <c r="S393" s="470"/>
      <c r="T393" s="339"/>
      <c r="U393" s="340"/>
      <c r="V393" s="470"/>
      <c r="W393" s="315"/>
    </row>
    <row r="394" spans="1:23" ht="13.3" thickBot="1" x14ac:dyDescent="0.25">
      <c r="A394" s="512">
        <v>43450</v>
      </c>
      <c r="B394" s="418" t="s">
        <v>58</v>
      </c>
      <c r="C394" s="411">
        <f>C391/C385-1</f>
        <v>7.4626865671640896E-3</v>
      </c>
      <c r="D394" s="353"/>
      <c r="E394" s="353">
        <f>E391/E385-1</f>
        <v>0</v>
      </c>
      <c r="F394" s="353">
        <f>F391/F385-1</f>
        <v>6.5359477124182774E-3</v>
      </c>
      <c r="G394" s="353">
        <f>G391/G385-1</f>
        <v>5.7471264367816577E-3</v>
      </c>
      <c r="H394" s="353"/>
      <c r="I394" s="353"/>
      <c r="J394" s="355"/>
      <c r="K394" s="434"/>
      <c r="L394" s="509"/>
      <c r="M394" s="467">
        <f>M391/M385-1</f>
        <v>6.5359477124182774E-3</v>
      </c>
      <c r="N394" s="292">
        <f>N391/N385-1</f>
        <v>6.5359477124182774E-3</v>
      </c>
      <c r="O394" s="445"/>
      <c r="P394" s="357"/>
      <c r="Q394" s="358"/>
      <c r="R394" s="353">
        <f>R391/R385-1</f>
        <v>5.9523809523809312E-3</v>
      </c>
      <c r="S394" s="471"/>
      <c r="T394" s="356"/>
      <c r="U394" s="357"/>
      <c r="V394" s="471"/>
      <c r="W394" s="359"/>
    </row>
    <row r="395" spans="1:23" x14ac:dyDescent="0.2">
      <c r="A395" s="512">
        <v>43468</v>
      </c>
      <c r="B395" s="419" t="s">
        <v>53</v>
      </c>
      <c r="C395" s="408">
        <v>1396.71</v>
      </c>
      <c r="D395" s="347"/>
      <c r="E395" s="346">
        <v>1416.91</v>
      </c>
      <c r="F395" s="346">
        <v>1529.65</v>
      </c>
      <c r="G395" s="346">
        <v>1577.52</v>
      </c>
      <c r="H395" s="347"/>
      <c r="I395" s="347"/>
      <c r="J395" s="290"/>
      <c r="K395" s="431"/>
      <c r="L395" s="507"/>
      <c r="M395" s="256">
        <v>1398.32</v>
      </c>
      <c r="N395" s="462">
        <v>1411.87</v>
      </c>
      <c r="O395" s="442"/>
      <c r="P395" s="348"/>
      <c r="Q395" s="349"/>
      <c r="R395" s="346">
        <v>1479.11</v>
      </c>
      <c r="S395" s="346"/>
      <c r="T395" s="290"/>
      <c r="U395" s="348"/>
      <c r="V395" s="347"/>
      <c r="W395" s="346">
        <v>1173.47</v>
      </c>
    </row>
    <row r="396" spans="1:23" x14ac:dyDescent="0.2">
      <c r="A396" s="512">
        <v>43468</v>
      </c>
      <c r="B396" s="415" t="s">
        <v>54</v>
      </c>
      <c r="C396" s="409">
        <v>1456</v>
      </c>
      <c r="D396" s="249"/>
      <c r="E396" s="250">
        <v>1547</v>
      </c>
      <c r="F396" s="250">
        <v>1664</v>
      </c>
      <c r="G396" s="250">
        <v>1898</v>
      </c>
      <c r="H396" s="249"/>
      <c r="I396" s="249"/>
      <c r="J396" s="330"/>
      <c r="K396" s="432"/>
      <c r="L396" s="508"/>
      <c r="M396" s="463">
        <v>1536</v>
      </c>
      <c r="N396" s="464">
        <v>1536</v>
      </c>
      <c r="O396" s="446"/>
      <c r="P396" s="331"/>
      <c r="Q396" s="332"/>
      <c r="R396" s="250">
        <v>1692</v>
      </c>
      <c r="S396" s="496"/>
      <c r="T396" s="330"/>
      <c r="U396" s="334"/>
      <c r="V396" s="469"/>
      <c r="W396" s="315"/>
    </row>
    <row r="397" spans="1:23" x14ac:dyDescent="0.2">
      <c r="A397" s="512">
        <v>43468</v>
      </c>
      <c r="B397" s="415" t="s">
        <v>55</v>
      </c>
      <c r="C397" s="409">
        <v>1.35</v>
      </c>
      <c r="D397" s="249"/>
      <c r="E397" s="250">
        <v>1.41</v>
      </c>
      <c r="F397" s="250">
        <v>1.52</v>
      </c>
      <c r="G397" s="250">
        <v>1.75</v>
      </c>
      <c r="H397" s="249"/>
      <c r="I397" s="249"/>
      <c r="J397" s="330"/>
      <c r="K397" s="432"/>
      <c r="L397" s="508"/>
      <c r="M397" s="463">
        <v>1.53</v>
      </c>
      <c r="N397" s="464">
        <v>1.53</v>
      </c>
      <c r="O397" s="443"/>
      <c r="P397" s="334"/>
      <c r="Q397" s="335"/>
      <c r="R397" s="250">
        <v>1.69</v>
      </c>
      <c r="S397" s="469"/>
      <c r="T397" s="333"/>
      <c r="U397" s="334"/>
      <c r="V397" s="497"/>
      <c r="W397" s="315"/>
    </row>
    <row r="398" spans="1:23" x14ac:dyDescent="0.2">
      <c r="A398" s="512">
        <v>43468</v>
      </c>
      <c r="B398" s="415" t="s">
        <v>56</v>
      </c>
      <c r="C398" s="410">
        <f>(C396-C395)/C396</f>
        <v>4.0721153846153824E-2</v>
      </c>
      <c r="D398" s="336"/>
      <c r="E398" s="336">
        <f>(E396-E395)/E396</f>
        <v>8.409179056237874E-2</v>
      </c>
      <c r="F398" s="336">
        <f>(F396-F395)/F396</f>
        <v>8.0739182692307634E-2</v>
      </c>
      <c r="G398" s="336">
        <f>(G396-G395)/G396</f>
        <v>0.1688514225500527</v>
      </c>
      <c r="H398" s="336"/>
      <c r="I398" s="336"/>
      <c r="J398" s="338"/>
      <c r="K398" s="433"/>
      <c r="L398" s="279"/>
      <c r="M398" s="465">
        <f>(M396-M395)/M396</f>
        <v>8.9635416666666703E-2</v>
      </c>
      <c r="N398" s="466">
        <f>(N396-N395)/N396</f>
        <v>8.08138020833334E-2</v>
      </c>
      <c r="O398" s="444"/>
      <c r="P398" s="340"/>
      <c r="Q398" s="341"/>
      <c r="R398" s="336">
        <f>(R396-R395)/R396</f>
        <v>0.12582151300236413</v>
      </c>
      <c r="S398" s="470"/>
      <c r="T398" s="339"/>
      <c r="U398" s="340"/>
      <c r="V398" s="470"/>
      <c r="W398" s="315"/>
    </row>
    <row r="399" spans="1:23" x14ac:dyDescent="0.2">
      <c r="A399" s="512">
        <v>43468</v>
      </c>
      <c r="B399" s="415" t="s">
        <v>57</v>
      </c>
      <c r="C399" s="410">
        <f>(C396-C395)/C395</f>
        <v>4.2449756928782612E-2</v>
      </c>
      <c r="D399" s="336"/>
      <c r="E399" s="336">
        <f>(E396-E395)/E395</f>
        <v>9.181246515304424E-2</v>
      </c>
      <c r="F399" s="336">
        <f>(F396-F395)/F395</f>
        <v>8.7830549472101394E-2</v>
      </c>
      <c r="G399" s="336">
        <f>(G396-G395)/G395</f>
        <v>0.20315431817029261</v>
      </c>
      <c r="H399" s="336"/>
      <c r="I399" s="336"/>
      <c r="J399" s="338"/>
      <c r="K399" s="433"/>
      <c r="L399" s="279"/>
      <c r="M399" s="465">
        <f>(M396-M395)/M395</f>
        <v>9.8461010355283526E-2</v>
      </c>
      <c r="N399" s="466">
        <f>(N396-N395)/N395</f>
        <v>8.7918859385070949E-2</v>
      </c>
      <c r="O399" s="444"/>
      <c r="P399" s="340"/>
      <c r="Q399" s="341"/>
      <c r="R399" s="336">
        <f>(R396-R395)/R395</f>
        <v>0.14393114778481661</v>
      </c>
      <c r="S399" s="470"/>
      <c r="T399" s="339"/>
      <c r="U399" s="340"/>
      <c r="V399" s="470"/>
      <c r="W399" s="315"/>
    </row>
    <row r="400" spans="1:23" ht="13.3" thickBot="1" x14ac:dyDescent="0.25">
      <c r="A400" s="512">
        <v>43468</v>
      </c>
      <c r="B400" s="418" t="s">
        <v>58</v>
      </c>
      <c r="C400" s="411">
        <f>C397/C391-1</f>
        <v>0</v>
      </c>
      <c r="D400" s="353"/>
      <c r="E400" s="353">
        <f>E397/E391-1</f>
        <v>-1.3986013986013957E-2</v>
      </c>
      <c r="F400" s="353">
        <f>F397/F391-1</f>
        <v>-1.2987012987012991E-2</v>
      </c>
      <c r="G400" s="353">
        <f>G397/G391-1</f>
        <v>0</v>
      </c>
      <c r="H400" s="353"/>
      <c r="I400" s="353"/>
      <c r="J400" s="355"/>
      <c r="K400" s="434"/>
      <c r="L400" s="509"/>
      <c r="M400" s="467">
        <f>M397/M391-1</f>
        <v>-6.4935064935065512E-3</v>
      </c>
      <c r="N400" s="292">
        <f>N397/N391-1</f>
        <v>-6.4935064935065512E-3</v>
      </c>
      <c r="O400" s="445"/>
      <c r="P400" s="357"/>
      <c r="Q400" s="358"/>
      <c r="R400" s="353">
        <f>R397/R391-1</f>
        <v>0</v>
      </c>
      <c r="S400" s="471"/>
      <c r="T400" s="356"/>
      <c r="U400" s="357"/>
      <c r="V400" s="471"/>
      <c r="W400" s="359"/>
    </row>
    <row r="401" spans="1:23" x14ac:dyDescent="0.2">
      <c r="A401" s="512">
        <v>43492</v>
      </c>
      <c r="B401" s="419" t="s">
        <v>53</v>
      </c>
      <c r="C401" s="408">
        <v>1396.71</v>
      </c>
      <c r="D401" s="347"/>
      <c r="E401" s="346">
        <v>1416.91</v>
      </c>
      <c r="F401" s="346">
        <v>1529.65</v>
      </c>
      <c r="G401" s="346">
        <v>1577.52</v>
      </c>
      <c r="H401" s="347"/>
      <c r="I401" s="347"/>
      <c r="J401" s="290"/>
      <c r="K401" s="431"/>
      <c r="L401" s="507"/>
      <c r="M401" s="256">
        <v>1398.32</v>
      </c>
      <c r="N401" s="462">
        <v>1411.87</v>
      </c>
      <c r="O401" s="442"/>
      <c r="P401" s="348"/>
      <c r="Q401" s="349"/>
      <c r="R401" s="346">
        <v>1479.11</v>
      </c>
      <c r="S401" s="346"/>
      <c r="T401" s="290"/>
      <c r="U401" s="348"/>
      <c r="V401" s="347"/>
      <c r="W401" s="346">
        <v>1173.47</v>
      </c>
    </row>
    <row r="402" spans="1:23" x14ac:dyDescent="0.2">
      <c r="A402" s="512">
        <v>43492</v>
      </c>
      <c r="B402" s="415" t="s">
        <v>54</v>
      </c>
      <c r="C402" s="409">
        <v>1456</v>
      </c>
      <c r="D402" s="249"/>
      <c r="E402" s="250">
        <v>1547</v>
      </c>
      <c r="F402" s="250">
        <v>1664</v>
      </c>
      <c r="G402" s="250">
        <v>1898</v>
      </c>
      <c r="H402" s="249"/>
      <c r="I402" s="249"/>
      <c r="J402" s="330"/>
      <c r="K402" s="432"/>
      <c r="L402" s="508"/>
      <c r="M402" s="463">
        <v>1536</v>
      </c>
      <c r="N402" s="464">
        <v>1536</v>
      </c>
      <c r="O402" s="446"/>
      <c r="P402" s="331"/>
      <c r="Q402" s="332"/>
      <c r="R402" s="250">
        <v>1692</v>
      </c>
      <c r="S402" s="496"/>
      <c r="T402" s="330"/>
      <c r="U402" s="334"/>
      <c r="V402" s="469"/>
      <c r="W402" s="315"/>
    </row>
    <row r="403" spans="1:23" x14ac:dyDescent="0.2">
      <c r="A403" s="512">
        <v>43492</v>
      </c>
      <c r="B403" s="415" t="s">
        <v>55</v>
      </c>
      <c r="C403" s="409">
        <v>1.35</v>
      </c>
      <c r="D403" s="249"/>
      <c r="E403" s="250">
        <v>1.43</v>
      </c>
      <c r="F403" s="250">
        <v>1.54</v>
      </c>
      <c r="G403" s="250">
        <v>1.75</v>
      </c>
      <c r="H403" s="249"/>
      <c r="I403" s="249"/>
      <c r="J403" s="330"/>
      <c r="K403" s="432"/>
      <c r="L403" s="508"/>
      <c r="M403" s="463">
        <v>1.54</v>
      </c>
      <c r="N403" s="464">
        <v>1.54</v>
      </c>
      <c r="O403" s="443"/>
      <c r="P403" s="334"/>
      <c r="Q403" s="335"/>
      <c r="R403" s="250">
        <v>1.69</v>
      </c>
      <c r="S403" s="469"/>
      <c r="T403" s="333"/>
      <c r="U403" s="334"/>
      <c r="V403" s="497"/>
      <c r="W403" s="315"/>
    </row>
    <row r="404" spans="1:23" x14ac:dyDescent="0.2">
      <c r="A404" s="512">
        <v>43492</v>
      </c>
      <c r="B404" s="415" t="s">
        <v>56</v>
      </c>
      <c r="C404" s="410">
        <f>(C402-C401)/C402</f>
        <v>4.0721153846153824E-2</v>
      </c>
      <c r="D404" s="336"/>
      <c r="E404" s="336">
        <f>(E402-E401)/E402</f>
        <v>8.409179056237874E-2</v>
      </c>
      <c r="F404" s="336">
        <f>(F402-F401)/F402</f>
        <v>8.0739182692307634E-2</v>
      </c>
      <c r="G404" s="336">
        <f>(G402-G401)/G402</f>
        <v>0.1688514225500527</v>
      </c>
      <c r="H404" s="336"/>
      <c r="I404" s="336"/>
      <c r="J404" s="338"/>
      <c r="K404" s="433"/>
      <c r="L404" s="279"/>
      <c r="M404" s="465">
        <f>(M402-M401)/M402</f>
        <v>8.9635416666666703E-2</v>
      </c>
      <c r="N404" s="466">
        <f>(N402-N401)/N402</f>
        <v>8.08138020833334E-2</v>
      </c>
      <c r="O404" s="444"/>
      <c r="P404" s="340"/>
      <c r="Q404" s="341"/>
      <c r="R404" s="336">
        <f>(R402-R401)/R402</f>
        <v>0.12582151300236413</v>
      </c>
      <c r="S404" s="470"/>
      <c r="T404" s="339"/>
      <c r="U404" s="340"/>
      <c r="V404" s="470"/>
      <c r="W404" s="315"/>
    </row>
    <row r="405" spans="1:23" x14ac:dyDescent="0.2">
      <c r="A405" s="512">
        <v>43492</v>
      </c>
      <c r="B405" s="415" t="s">
        <v>57</v>
      </c>
      <c r="C405" s="410">
        <f>(C402-C401)/C401</f>
        <v>4.2449756928782612E-2</v>
      </c>
      <c r="D405" s="336"/>
      <c r="E405" s="336">
        <f>(E402-E401)/E401</f>
        <v>9.181246515304424E-2</v>
      </c>
      <c r="F405" s="336">
        <f>(F402-F401)/F401</f>
        <v>8.7830549472101394E-2</v>
      </c>
      <c r="G405" s="336">
        <f>(G402-G401)/G401</f>
        <v>0.20315431817029261</v>
      </c>
      <c r="H405" s="336"/>
      <c r="I405" s="336"/>
      <c r="J405" s="338"/>
      <c r="K405" s="433"/>
      <c r="L405" s="279"/>
      <c r="M405" s="465">
        <f>(M402-M401)/M401</f>
        <v>9.8461010355283526E-2</v>
      </c>
      <c r="N405" s="466">
        <f>(N402-N401)/N401</f>
        <v>8.7918859385070949E-2</v>
      </c>
      <c r="O405" s="444"/>
      <c r="P405" s="340"/>
      <c r="Q405" s="341"/>
      <c r="R405" s="336">
        <f>(R402-R401)/R401</f>
        <v>0.14393114778481661</v>
      </c>
      <c r="S405" s="470"/>
      <c r="T405" s="339"/>
      <c r="U405" s="340"/>
      <c r="V405" s="470"/>
      <c r="W405" s="315"/>
    </row>
    <row r="406" spans="1:23" ht="13.3" thickBot="1" x14ac:dyDescent="0.25">
      <c r="A406" s="512">
        <v>43492</v>
      </c>
      <c r="B406" s="418" t="s">
        <v>58</v>
      </c>
      <c r="C406" s="411">
        <f>C403/C397-1</f>
        <v>0</v>
      </c>
      <c r="D406" s="353"/>
      <c r="E406" s="353">
        <f>E403/E397-1</f>
        <v>1.4184397163120588E-2</v>
      </c>
      <c r="F406" s="353">
        <f>F403/F397-1</f>
        <v>1.3157894736842035E-2</v>
      </c>
      <c r="G406" s="353">
        <f>G403/G397-1</f>
        <v>0</v>
      </c>
      <c r="H406" s="353"/>
      <c r="I406" s="353"/>
      <c r="J406" s="355"/>
      <c r="K406" s="434"/>
      <c r="L406" s="509"/>
      <c r="M406" s="467">
        <f>M403/M397-1</f>
        <v>6.5359477124182774E-3</v>
      </c>
      <c r="N406" s="292">
        <f>N403/N397-1</f>
        <v>6.5359477124182774E-3</v>
      </c>
      <c r="O406" s="445"/>
      <c r="P406" s="357"/>
      <c r="Q406" s="358"/>
      <c r="R406" s="353">
        <f>R403/R397-1</f>
        <v>0</v>
      </c>
      <c r="S406" s="471"/>
      <c r="T406" s="356"/>
      <c r="U406" s="357"/>
      <c r="V406" s="471"/>
      <c r="W406" s="359"/>
    </row>
    <row r="407" spans="1:23" x14ac:dyDescent="0.2">
      <c r="A407" s="512">
        <v>43517</v>
      </c>
      <c r="B407" s="419" t="s">
        <v>53</v>
      </c>
      <c r="C407" s="408">
        <v>1406.83</v>
      </c>
      <c r="D407" s="347"/>
      <c r="E407" s="346">
        <v>1426.6</v>
      </c>
      <c r="F407" s="346">
        <v>1539.38</v>
      </c>
      <c r="G407" s="346">
        <v>1586.36</v>
      </c>
      <c r="H407" s="347"/>
      <c r="I407" s="347"/>
      <c r="J407" s="290"/>
      <c r="K407" s="431"/>
      <c r="L407" s="507"/>
      <c r="M407" s="256">
        <v>1407.2</v>
      </c>
      <c r="N407" s="462">
        <v>1420.84</v>
      </c>
      <c r="O407" s="442"/>
      <c r="P407" s="348"/>
      <c r="Q407" s="349"/>
      <c r="R407" s="346">
        <v>1487.68</v>
      </c>
      <c r="S407" s="346"/>
      <c r="T407" s="290"/>
      <c r="U407" s="348"/>
      <c r="V407" s="347"/>
      <c r="W407" s="346">
        <v>1180.78</v>
      </c>
    </row>
    <row r="408" spans="1:23" x14ac:dyDescent="0.2">
      <c r="A408" s="512">
        <v>43517</v>
      </c>
      <c r="B408" s="415" t="s">
        <v>54</v>
      </c>
      <c r="C408" s="409">
        <v>1469</v>
      </c>
      <c r="D408" s="249"/>
      <c r="E408" s="250">
        <v>1560</v>
      </c>
      <c r="F408" s="250">
        <v>1677</v>
      </c>
      <c r="G408" s="250">
        <v>1911</v>
      </c>
      <c r="H408" s="249"/>
      <c r="I408" s="249"/>
      <c r="J408" s="330"/>
      <c r="K408" s="432"/>
      <c r="L408" s="508"/>
      <c r="M408" s="463">
        <v>1548</v>
      </c>
      <c r="N408" s="464">
        <v>1548</v>
      </c>
      <c r="O408" s="446"/>
      <c r="P408" s="331"/>
      <c r="Q408" s="332"/>
      <c r="R408" s="250">
        <v>1704</v>
      </c>
      <c r="S408" s="496"/>
      <c r="T408" s="330"/>
      <c r="U408" s="334"/>
      <c r="V408" s="469"/>
      <c r="W408" s="315"/>
    </row>
    <row r="409" spans="1:23" x14ac:dyDescent="0.2">
      <c r="A409" s="512">
        <v>43517</v>
      </c>
      <c r="B409" s="415" t="s">
        <v>55</v>
      </c>
      <c r="C409" s="409">
        <v>1.36</v>
      </c>
      <c r="D409" s="249"/>
      <c r="E409" s="250">
        <v>1.44</v>
      </c>
      <c r="F409" s="250">
        <v>1.55</v>
      </c>
      <c r="G409" s="250">
        <v>1.76</v>
      </c>
      <c r="H409" s="249"/>
      <c r="I409" s="249"/>
      <c r="J409" s="330"/>
      <c r="K409" s="432"/>
      <c r="L409" s="508"/>
      <c r="M409" s="463">
        <v>1.55</v>
      </c>
      <c r="N409" s="464">
        <v>1.55</v>
      </c>
      <c r="O409" s="443"/>
      <c r="P409" s="334"/>
      <c r="Q409" s="335"/>
      <c r="R409" s="250">
        <v>1.7</v>
      </c>
      <c r="S409" s="469"/>
      <c r="T409" s="333"/>
      <c r="U409" s="334"/>
      <c r="V409" s="497"/>
      <c r="W409" s="315"/>
    </row>
    <row r="410" spans="1:23" x14ac:dyDescent="0.2">
      <c r="A410" s="512">
        <v>43517</v>
      </c>
      <c r="B410" s="415" t="s">
        <v>56</v>
      </c>
      <c r="C410" s="410">
        <f>(C408-C407)/C408</f>
        <v>4.2321307011572551E-2</v>
      </c>
      <c r="D410" s="336"/>
      <c r="E410" s="336">
        <f>(E408-E407)/E408</f>
        <v>8.5512820512820567E-2</v>
      </c>
      <c r="F410" s="336">
        <f>(F408-F407)/F408</f>
        <v>8.2063208109719676E-2</v>
      </c>
      <c r="G410" s="336">
        <f>(G408-G407)/G408</f>
        <v>0.1698796441653585</v>
      </c>
      <c r="H410" s="336"/>
      <c r="I410" s="336"/>
      <c r="J410" s="338"/>
      <c r="K410" s="433"/>
      <c r="L410" s="279"/>
      <c r="M410" s="465">
        <f>(M408-M407)/M408</f>
        <v>9.0956072351421155E-2</v>
      </c>
      <c r="N410" s="466">
        <f>(N408-N407)/N408</f>
        <v>8.2144702842377321E-2</v>
      </c>
      <c r="O410" s="444"/>
      <c r="P410" s="340"/>
      <c r="Q410" s="341"/>
      <c r="R410" s="336">
        <f>(R408-R407)/R408</f>
        <v>0.12694835680751171</v>
      </c>
      <c r="S410" s="470"/>
      <c r="T410" s="339"/>
      <c r="U410" s="340"/>
      <c r="V410" s="470"/>
      <c r="W410" s="315"/>
    </row>
    <row r="411" spans="1:23" x14ac:dyDescent="0.2">
      <c r="A411" s="512">
        <v>43517</v>
      </c>
      <c r="B411" s="415" t="s">
        <v>57</v>
      </c>
      <c r="C411" s="410">
        <f>(C408-C407)/C407</f>
        <v>4.419155121798659E-2</v>
      </c>
      <c r="D411" s="336"/>
      <c r="E411" s="336">
        <f>(E408-E407)/E407</f>
        <v>9.350904247862056E-2</v>
      </c>
      <c r="F411" s="336">
        <f>(F408-F407)/F407</f>
        <v>8.9399628421832092E-2</v>
      </c>
      <c r="G411" s="336">
        <f>(G408-G407)/G407</f>
        <v>0.20464459517385722</v>
      </c>
      <c r="H411" s="336"/>
      <c r="I411" s="336"/>
      <c r="J411" s="338"/>
      <c r="K411" s="433"/>
      <c r="L411" s="279"/>
      <c r="M411" s="465">
        <f>(M408-M407)/M407</f>
        <v>0.10005685048322907</v>
      </c>
      <c r="N411" s="466">
        <f>(N408-N407)/N407</f>
        <v>8.949635426930555E-2</v>
      </c>
      <c r="O411" s="444"/>
      <c r="P411" s="340"/>
      <c r="Q411" s="341"/>
      <c r="R411" s="336">
        <f>(R408-R407)/R407</f>
        <v>0.1454076145407614</v>
      </c>
      <c r="S411" s="470"/>
      <c r="T411" s="339"/>
      <c r="U411" s="340"/>
      <c r="V411" s="470"/>
      <c r="W411" s="315"/>
    </row>
    <row r="412" spans="1:23" ht="13.3" thickBot="1" x14ac:dyDescent="0.25">
      <c r="A412" s="512">
        <v>43517</v>
      </c>
      <c r="B412" s="418" t="s">
        <v>58</v>
      </c>
      <c r="C412" s="411">
        <f>C409/C403-1</f>
        <v>7.4074074074073071E-3</v>
      </c>
      <c r="D412" s="353"/>
      <c r="E412" s="353">
        <f>E409/E403-1</f>
        <v>6.9930069930070893E-3</v>
      </c>
      <c r="F412" s="353">
        <f>F409/F403-1</f>
        <v>6.4935064935065512E-3</v>
      </c>
      <c r="G412" s="353">
        <f>G409/G403-1</f>
        <v>5.7142857142857828E-3</v>
      </c>
      <c r="H412" s="353"/>
      <c r="I412" s="353"/>
      <c r="J412" s="355"/>
      <c r="K412" s="434"/>
      <c r="L412" s="509"/>
      <c r="M412" s="467">
        <f>M409/M403-1</f>
        <v>6.4935064935065512E-3</v>
      </c>
      <c r="N412" s="292">
        <f>N409/N403-1</f>
        <v>6.4935064935065512E-3</v>
      </c>
      <c r="O412" s="445"/>
      <c r="P412" s="357"/>
      <c r="Q412" s="358"/>
      <c r="R412" s="353">
        <f>R409/R403-1</f>
        <v>5.9171597633136397E-3</v>
      </c>
      <c r="S412" s="471"/>
      <c r="T412" s="356"/>
      <c r="U412" s="357"/>
      <c r="V412" s="471"/>
      <c r="W412" s="359"/>
    </row>
    <row r="413" spans="1:23" x14ac:dyDescent="0.2">
      <c r="A413" s="512">
        <v>43527</v>
      </c>
      <c r="B413" s="419" t="s">
        <v>53</v>
      </c>
      <c r="C413" s="408">
        <v>1416.95</v>
      </c>
      <c r="D413" s="347"/>
      <c r="E413" s="346">
        <v>1436.29</v>
      </c>
      <c r="F413" s="346">
        <v>1549.11</v>
      </c>
      <c r="G413" s="346">
        <v>1595.2</v>
      </c>
      <c r="H413" s="347"/>
      <c r="I413" s="347"/>
      <c r="J413" s="290"/>
      <c r="K413" s="431"/>
      <c r="L413" s="507"/>
      <c r="M413" s="256">
        <v>1416.08</v>
      </c>
      <c r="N413" s="462">
        <v>1429.81</v>
      </c>
      <c r="O413" s="442"/>
      <c r="P413" s="348"/>
      <c r="Q413" s="349"/>
      <c r="R413" s="346">
        <v>1496.25</v>
      </c>
      <c r="S413" s="346"/>
      <c r="T413" s="290"/>
      <c r="U413" s="348"/>
      <c r="V413" s="347"/>
      <c r="W413" s="346">
        <v>1188.1400000000001</v>
      </c>
    </row>
    <row r="414" spans="1:23" x14ac:dyDescent="0.2">
      <c r="A414" s="512">
        <v>43527</v>
      </c>
      <c r="B414" s="415" t="s">
        <v>54</v>
      </c>
      <c r="C414" s="409">
        <v>1482</v>
      </c>
      <c r="D414" s="249"/>
      <c r="E414" s="250">
        <v>1573</v>
      </c>
      <c r="F414" s="250">
        <v>1690</v>
      </c>
      <c r="G414" s="250">
        <v>1911</v>
      </c>
      <c r="H414" s="249"/>
      <c r="I414" s="249"/>
      <c r="J414" s="330"/>
      <c r="K414" s="432"/>
      <c r="L414" s="508"/>
      <c r="M414" s="463">
        <v>1560</v>
      </c>
      <c r="N414" s="464">
        <v>1560</v>
      </c>
      <c r="O414" s="446"/>
      <c r="P414" s="331"/>
      <c r="Q414" s="332"/>
      <c r="R414" s="250">
        <v>1704</v>
      </c>
      <c r="S414" s="496"/>
      <c r="T414" s="330"/>
      <c r="U414" s="334"/>
      <c r="V414" s="469"/>
      <c r="W414" s="315"/>
    </row>
    <row r="415" spans="1:23" x14ac:dyDescent="0.2">
      <c r="A415" s="512">
        <v>43527</v>
      </c>
      <c r="B415" s="415" t="s">
        <v>55</v>
      </c>
      <c r="C415" s="409">
        <v>1.37</v>
      </c>
      <c r="D415" s="249"/>
      <c r="E415" s="250">
        <v>1.45</v>
      </c>
      <c r="F415" s="250">
        <v>1.56</v>
      </c>
      <c r="G415" s="250">
        <v>1.77</v>
      </c>
      <c r="H415" s="249"/>
      <c r="I415" s="249"/>
      <c r="J415" s="330"/>
      <c r="K415" s="432"/>
      <c r="L415" s="508"/>
      <c r="M415" s="463">
        <v>1.56</v>
      </c>
      <c r="N415" s="464">
        <v>1.56</v>
      </c>
      <c r="O415" s="443"/>
      <c r="P415" s="334"/>
      <c r="Q415" s="335"/>
      <c r="R415" s="250">
        <v>1.71</v>
      </c>
      <c r="S415" s="469"/>
      <c r="T415" s="333"/>
      <c r="U415" s="334"/>
      <c r="V415" s="497"/>
      <c r="W415" s="315"/>
    </row>
    <row r="416" spans="1:23" x14ac:dyDescent="0.2">
      <c r="A416" s="512">
        <v>43527</v>
      </c>
      <c r="B416" s="415" t="s">
        <v>56</v>
      </c>
      <c r="C416" s="410">
        <f>(C414-C413)/C414</f>
        <v>4.3893387314439918E-2</v>
      </c>
      <c r="D416" s="336"/>
      <c r="E416" s="336">
        <f>(E414-E413)/E414</f>
        <v>8.6910362364907845E-2</v>
      </c>
      <c r="F416" s="336">
        <f>(F414-F413)/F414</f>
        <v>8.3366863905325508E-2</v>
      </c>
      <c r="G416" s="336">
        <f>(G414-G413)/G414</f>
        <v>0.16525379382522237</v>
      </c>
      <c r="H416" s="336"/>
      <c r="I416" s="336"/>
      <c r="J416" s="338"/>
      <c r="K416" s="433"/>
      <c r="L416" s="279"/>
      <c r="M416" s="465">
        <f>(M414-M413)/M414</f>
        <v>9.2256410256410307E-2</v>
      </c>
      <c r="N416" s="466">
        <f>(N414-N413)/N414</f>
        <v>8.3455128205128237E-2</v>
      </c>
      <c r="O416" s="444"/>
      <c r="P416" s="340"/>
      <c r="Q416" s="341"/>
      <c r="R416" s="336">
        <f>(R414-R413)/R414</f>
        <v>0.12191901408450705</v>
      </c>
      <c r="S416" s="470"/>
      <c r="T416" s="339"/>
      <c r="U416" s="340"/>
      <c r="V416" s="470"/>
      <c r="W416" s="315"/>
    </row>
    <row r="417" spans="1:23" x14ac:dyDescent="0.2">
      <c r="A417" s="512">
        <v>43527</v>
      </c>
      <c r="B417" s="415" t="s">
        <v>57</v>
      </c>
      <c r="C417" s="410">
        <f>(C414-C413)/C413</f>
        <v>4.5908465365750349E-2</v>
      </c>
      <c r="D417" s="336"/>
      <c r="E417" s="336">
        <f>(E414-E413)/E413</f>
        <v>9.518272772211743E-2</v>
      </c>
      <c r="F417" s="336">
        <f>(F414-F413)/F413</f>
        <v>9.0948996520582859E-2</v>
      </c>
      <c r="G417" s="336">
        <f>(G414-G413)/G413</f>
        <v>0.19796890672016046</v>
      </c>
      <c r="H417" s="336"/>
      <c r="I417" s="336"/>
      <c r="J417" s="338"/>
      <c r="K417" s="433"/>
      <c r="L417" s="279"/>
      <c r="M417" s="465">
        <f>(M414-M413)/M413</f>
        <v>0.10163267611999327</v>
      </c>
      <c r="N417" s="466">
        <f>(N414-N413)/N413</f>
        <v>9.1054056133332437E-2</v>
      </c>
      <c r="O417" s="444"/>
      <c r="P417" s="340"/>
      <c r="Q417" s="341"/>
      <c r="R417" s="336">
        <f>(R414-R413)/R413</f>
        <v>0.13884711779448622</v>
      </c>
      <c r="S417" s="470"/>
      <c r="T417" s="339"/>
      <c r="U417" s="340"/>
      <c r="V417" s="470"/>
      <c r="W417" s="315"/>
    </row>
    <row r="418" spans="1:23" ht="13.3" thickBot="1" x14ac:dyDescent="0.25">
      <c r="A418" s="512">
        <v>43527</v>
      </c>
      <c r="B418" s="418" t="s">
        <v>58</v>
      </c>
      <c r="C418" s="411">
        <f>C415/C409-1</f>
        <v>7.3529411764705621E-3</v>
      </c>
      <c r="D418" s="353"/>
      <c r="E418" s="353">
        <f>E415/E409-1</f>
        <v>6.9444444444444198E-3</v>
      </c>
      <c r="F418" s="353">
        <f>F415/F409-1</f>
        <v>6.4516129032257119E-3</v>
      </c>
      <c r="G418" s="353">
        <f>G415/G409-1</f>
        <v>5.6818181818181213E-3</v>
      </c>
      <c r="H418" s="353"/>
      <c r="I418" s="353"/>
      <c r="J418" s="355"/>
      <c r="K418" s="434"/>
      <c r="L418" s="509"/>
      <c r="M418" s="467">
        <f>M415/M409-1</f>
        <v>6.4516129032257119E-3</v>
      </c>
      <c r="N418" s="292">
        <f>N415/N409-1</f>
        <v>6.4516129032257119E-3</v>
      </c>
      <c r="O418" s="445"/>
      <c r="P418" s="357"/>
      <c r="Q418" s="358"/>
      <c r="R418" s="353">
        <f>R415/R409-1</f>
        <v>5.8823529411764497E-3</v>
      </c>
      <c r="S418" s="471"/>
      <c r="T418" s="356"/>
      <c r="U418" s="357"/>
      <c r="V418" s="471"/>
      <c r="W418" s="359"/>
    </row>
    <row r="419" spans="1:23" x14ac:dyDescent="0.2">
      <c r="A419" s="512">
        <v>43534</v>
      </c>
      <c r="B419" s="419" t="s">
        <v>53</v>
      </c>
      <c r="C419" s="408">
        <v>1427.07</v>
      </c>
      <c r="D419" s="347"/>
      <c r="E419" s="346">
        <v>1445.98</v>
      </c>
      <c r="F419" s="346">
        <v>1558.84</v>
      </c>
      <c r="G419" s="346">
        <v>1604.04</v>
      </c>
      <c r="H419" s="347"/>
      <c r="I419" s="347"/>
      <c r="J419" s="290"/>
      <c r="K419" s="431"/>
      <c r="L419" s="507"/>
      <c r="M419" s="256">
        <v>1424.96</v>
      </c>
      <c r="N419" s="462">
        <v>1438.78</v>
      </c>
      <c r="O419" s="442"/>
      <c r="P419" s="348"/>
      <c r="Q419" s="349"/>
      <c r="R419" s="346">
        <v>1504.82</v>
      </c>
      <c r="S419" s="346"/>
      <c r="T419" s="290"/>
      <c r="U419" s="348"/>
      <c r="V419" s="347"/>
      <c r="W419" s="346">
        <v>1195.43</v>
      </c>
    </row>
    <row r="420" spans="1:23" x14ac:dyDescent="0.2">
      <c r="A420" s="512">
        <v>43534</v>
      </c>
      <c r="B420" s="415" t="s">
        <v>54</v>
      </c>
      <c r="C420" s="409">
        <v>1495</v>
      </c>
      <c r="D420" s="249"/>
      <c r="E420" s="250">
        <v>1586</v>
      </c>
      <c r="F420" s="250">
        <v>1703</v>
      </c>
      <c r="G420" s="250">
        <v>1924</v>
      </c>
      <c r="H420" s="249"/>
      <c r="I420" s="249"/>
      <c r="J420" s="330"/>
      <c r="K420" s="432"/>
      <c r="L420" s="508"/>
      <c r="M420" s="463">
        <v>1572</v>
      </c>
      <c r="N420" s="464">
        <v>1572</v>
      </c>
      <c r="O420" s="446"/>
      <c r="P420" s="331"/>
      <c r="Q420" s="332"/>
      <c r="R420" s="250">
        <v>1716</v>
      </c>
      <c r="S420" s="496"/>
      <c r="T420" s="330"/>
      <c r="U420" s="334"/>
      <c r="V420" s="469"/>
      <c r="W420" s="315"/>
    </row>
    <row r="421" spans="1:23" x14ac:dyDescent="0.2">
      <c r="A421" s="512">
        <v>43534</v>
      </c>
      <c r="B421" s="415" t="s">
        <v>55</v>
      </c>
      <c r="C421" s="409">
        <v>1.38</v>
      </c>
      <c r="D421" s="249"/>
      <c r="E421" s="250">
        <v>1.46</v>
      </c>
      <c r="F421" s="250">
        <v>1.57</v>
      </c>
      <c r="G421" s="250">
        <v>1.78</v>
      </c>
      <c r="H421" s="249"/>
      <c r="I421" s="249"/>
      <c r="J421" s="330"/>
      <c r="K421" s="432"/>
      <c r="L421" s="508"/>
      <c r="M421" s="463">
        <v>1.57</v>
      </c>
      <c r="N421" s="464">
        <v>1.57</v>
      </c>
      <c r="O421" s="443"/>
      <c r="P421" s="334"/>
      <c r="Q421" s="335"/>
      <c r="R421" s="250">
        <v>1.72</v>
      </c>
      <c r="S421" s="469"/>
      <c r="T421" s="333"/>
      <c r="U421" s="334"/>
      <c r="V421" s="497"/>
      <c r="W421" s="315"/>
    </row>
    <row r="422" spans="1:23" x14ac:dyDescent="0.2">
      <c r="A422" s="512">
        <v>43534</v>
      </c>
      <c r="B422" s="415" t="s">
        <v>56</v>
      </c>
      <c r="C422" s="410">
        <f>(C420-C419)/C420</f>
        <v>4.5438127090301046E-2</v>
      </c>
      <c r="D422" s="336"/>
      <c r="E422" s="336">
        <f>(E420-E419)/E420</f>
        <v>8.8284993694829755E-2</v>
      </c>
      <c r="F422" s="336">
        <f>(F420-F419)/F420</f>
        <v>8.4650616559013556E-2</v>
      </c>
      <c r="G422" s="336">
        <f>(G420-G419)/G420</f>
        <v>0.16629937629937633</v>
      </c>
      <c r="H422" s="336"/>
      <c r="I422" s="336"/>
      <c r="J422" s="338"/>
      <c r="K422" s="433"/>
      <c r="L422" s="279"/>
      <c r="M422" s="465">
        <f>(M420-M419)/M420</f>
        <v>9.3536895674300236E-2</v>
      </c>
      <c r="N422" s="466">
        <f>(N420-N419)/N420</f>
        <v>8.4745547073791366E-2</v>
      </c>
      <c r="O422" s="444"/>
      <c r="P422" s="340"/>
      <c r="Q422" s="341"/>
      <c r="R422" s="336">
        <f>(R420-R419)/R420</f>
        <v>0.1230652680652681</v>
      </c>
      <c r="S422" s="470"/>
      <c r="T422" s="339"/>
      <c r="U422" s="340"/>
      <c r="V422" s="470"/>
      <c r="W422" s="315"/>
    </row>
    <row r="423" spans="1:23" x14ac:dyDescent="0.2">
      <c r="A423" s="512">
        <v>43534</v>
      </c>
      <c r="B423" s="415" t="s">
        <v>57</v>
      </c>
      <c r="C423" s="410">
        <f>(C420-C419)/C419</f>
        <v>4.760102868114393E-2</v>
      </c>
      <c r="D423" s="336"/>
      <c r="E423" s="336">
        <f>(E420-E419)/E419</f>
        <v>9.683398110623935E-2</v>
      </c>
      <c r="F423" s="336">
        <f>(F420-F419)/F419</f>
        <v>9.2479022863154708E-2</v>
      </c>
      <c r="G423" s="336">
        <f>(G420-G419)/G419</f>
        <v>0.19947133487942947</v>
      </c>
      <c r="H423" s="336"/>
      <c r="I423" s="336"/>
      <c r="J423" s="338"/>
      <c r="K423" s="433"/>
      <c r="L423" s="279"/>
      <c r="M423" s="465">
        <f>(M420-M419)/M419</f>
        <v>0.10318886144172465</v>
      </c>
      <c r="N423" s="466">
        <f>(N420-N419)/N419</f>
        <v>9.2592335172854798E-2</v>
      </c>
      <c r="O423" s="444"/>
      <c r="P423" s="340"/>
      <c r="Q423" s="341"/>
      <c r="R423" s="336">
        <f>(R420-R419)/R419</f>
        <v>0.14033572121582652</v>
      </c>
      <c r="S423" s="470"/>
      <c r="T423" s="339"/>
      <c r="U423" s="340"/>
      <c r="V423" s="470"/>
      <c r="W423" s="315"/>
    </row>
    <row r="424" spans="1:23" ht="13.3" thickBot="1" x14ac:dyDescent="0.25">
      <c r="A424" s="512">
        <v>43534</v>
      </c>
      <c r="B424" s="418" t="s">
        <v>58</v>
      </c>
      <c r="C424" s="411">
        <f>C421/C415-1</f>
        <v>7.2992700729925808E-3</v>
      </c>
      <c r="D424" s="353"/>
      <c r="E424" s="353">
        <f>E421/E415-1</f>
        <v>6.8965517241379448E-3</v>
      </c>
      <c r="F424" s="353">
        <f>F421/F415-1</f>
        <v>6.4102564102563875E-3</v>
      </c>
      <c r="G424" s="353">
        <f>G421/G415-1</f>
        <v>5.6497175141243527E-3</v>
      </c>
      <c r="H424" s="353"/>
      <c r="I424" s="353"/>
      <c r="J424" s="355"/>
      <c r="K424" s="434"/>
      <c r="L424" s="509"/>
      <c r="M424" s="467">
        <f>M421/M415-1</f>
        <v>6.4102564102563875E-3</v>
      </c>
      <c r="N424" s="292">
        <f>N421/N415-1</f>
        <v>6.4102564102563875E-3</v>
      </c>
      <c r="O424" s="445"/>
      <c r="P424" s="357"/>
      <c r="Q424" s="358"/>
      <c r="R424" s="353">
        <f>R421/R415-1</f>
        <v>5.8479532163742132E-3</v>
      </c>
      <c r="S424" s="471"/>
      <c r="T424" s="356"/>
      <c r="U424" s="357"/>
      <c r="V424" s="471"/>
      <c r="W424" s="359"/>
    </row>
    <row r="425" spans="1:23" x14ac:dyDescent="0.2">
      <c r="A425" s="512">
        <v>43541</v>
      </c>
      <c r="B425" s="419" t="s">
        <v>53</v>
      </c>
      <c r="C425" s="408">
        <v>1439.07</v>
      </c>
      <c r="D425" s="347"/>
      <c r="E425" s="346">
        <v>1455.67</v>
      </c>
      <c r="F425" s="346">
        <v>1570.84</v>
      </c>
      <c r="G425" s="346">
        <v>1616.04</v>
      </c>
      <c r="H425" s="347"/>
      <c r="I425" s="347"/>
      <c r="J425" s="290"/>
      <c r="K425" s="431"/>
      <c r="L425" s="507"/>
      <c r="M425" s="256">
        <v>1435.96</v>
      </c>
      <c r="N425" s="462">
        <v>1449.9</v>
      </c>
      <c r="O425" s="442"/>
      <c r="P425" s="348"/>
      <c r="Q425" s="349"/>
      <c r="R425" s="346">
        <v>1515.82</v>
      </c>
      <c r="S425" s="346"/>
      <c r="T425" s="290"/>
      <c r="U425" s="348"/>
      <c r="V425" s="347"/>
      <c r="W425" s="346">
        <v>1202.77</v>
      </c>
    </row>
    <row r="426" spans="1:23" x14ac:dyDescent="0.2">
      <c r="A426" s="512">
        <v>43541</v>
      </c>
      <c r="B426" s="415" t="s">
        <v>54</v>
      </c>
      <c r="C426" s="409">
        <v>1508</v>
      </c>
      <c r="D426" s="249"/>
      <c r="E426" s="250">
        <v>1586</v>
      </c>
      <c r="F426" s="250">
        <v>1716</v>
      </c>
      <c r="G426" s="250">
        <v>1937</v>
      </c>
      <c r="H426" s="249"/>
      <c r="I426" s="249"/>
      <c r="J426" s="330"/>
      <c r="K426" s="432"/>
      <c r="L426" s="508"/>
      <c r="M426" s="463">
        <v>1584</v>
      </c>
      <c r="N426" s="464">
        <v>1584</v>
      </c>
      <c r="O426" s="446"/>
      <c r="P426" s="331"/>
      <c r="Q426" s="332"/>
      <c r="R426" s="250">
        <v>1728</v>
      </c>
      <c r="S426" s="496"/>
      <c r="T426" s="330"/>
      <c r="U426" s="334"/>
      <c r="V426" s="469"/>
      <c r="W426" s="315"/>
    </row>
    <row r="427" spans="1:23" x14ac:dyDescent="0.2">
      <c r="A427" s="512">
        <v>43541</v>
      </c>
      <c r="B427" s="415" t="s">
        <v>55</v>
      </c>
      <c r="C427" s="409">
        <v>1.39</v>
      </c>
      <c r="D427" s="249"/>
      <c r="E427" s="250">
        <v>1.47</v>
      </c>
      <c r="F427" s="250">
        <v>1.58</v>
      </c>
      <c r="G427" s="250">
        <v>1.79</v>
      </c>
      <c r="H427" s="249"/>
      <c r="I427" s="249"/>
      <c r="J427" s="330"/>
      <c r="K427" s="432"/>
      <c r="L427" s="508"/>
      <c r="M427" s="463">
        <v>1.58</v>
      </c>
      <c r="N427" s="464">
        <v>1.58</v>
      </c>
      <c r="O427" s="443"/>
      <c r="P427" s="334"/>
      <c r="Q427" s="335"/>
      <c r="R427" s="250">
        <v>1.73</v>
      </c>
      <c r="S427" s="469"/>
      <c r="T427" s="333"/>
      <c r="U427" s="334"/>
      <c r="V427" s="497"/>
      <c r="W427" s="315"/>
    </row>
    <row r="428" spans="1:23" x14ac:dyDescent="0.2">
      <c r="A428" s="512">
        <v>43541</v>
      </c>
      <c r="B428" s="415" t="s">
        <v>56</v>
      </c>
      <c r="C428" s="410">
        <f>(C426-C425)/C426</f>
        <v>4.5709549071618082E-2</v>
      </c>
      <c r="D428" s="336"/>
      <c r="E428" s="336">
        <f>(E426-E425)/E426</f>
        <v>8.2175283732660739E-2</v>
      </c>
      <c r="F428" s="336">
        <f>(F426-F425)/F426</f>
        <v>8.4592074592074643E-2</v>
      </c>
      <c r="G428" s="336">
        <f>(G426-G425)/G426</f>
        <v>0.16569953536396492</v>
      </c>
      <c r="H428" s="336"/>
      <c r="I428" s="336"/>
      <c r="J428" s="338"/>
      <c r="K428" s="433"/>
      <c r="L428" s="279"/>
      <c r="M428" s="465">
        <f>(M426-M425)/M426</f>
        <v>9.3459595959595937E-2</v>
      </c>
      <c r="N428" s="466">
        <f>(N426-N425)/N426</f>
        <v>8.4659090909090851E-2</v>
      </c>
      <c r="O428" s="444"/>
      <c r="P428" s="340"/>
      <c r="Q428" s="341"/>
      <c r="R428" s="336">
        <f>(R426-R425)/R426</f>
        <v>0.12278935185185189</v>
      </c>
      <c r="S428" s="470"/>
      <c r="T428" s="339"/>
      <c r="U428" s="340"/>
      <c r="V428" s="470"/>
      <c r="W428" s="315"/>
    </row>
    <row r="429" spans="1:23" x14ac:dyDescent="0.2">
      <c r="A429" s="512">
        <v>43541</v>
      </c>
      <c r="B429" s="415" t="s">
        <v>57</v>
      </c>
      <c r="C429" s="410">
        <f>(C426-C425)/C425</f>
        <v>4.7898990320137357E-2</v>
      </c>
      <c r="D429" s="336"/>
      <c r="E429" s="336">
        <f>(E426-E425)/E425</f>
        <v>8.9532655066052E-2</v>
      </c>
      <c r="F429" s="336">
        <f>(F426-F425)/F425</f>
        <v>9.2409156884214874E-2</v>
      </c>
      <c r="G429" s="336">
        <f>(G426-G425)/G425</f>
        <v>0.19860894532313558</v>
      </c>
      <c r="H429" s="336"/>
      <c r="I429" s="336"/>
      <c r="J429" s="338"/>
      <c r="K429" s="433"/>
      <c r="L429" s="279"/>
      <c r="M429" s="465">
        <f>(M426-M425)/M425</f>
        <v>0.10309479372684473</v>
      </c>
      <c r="N429" s="466">
        <f>(N426-N425)/N425</f>
        <v>9.2489137181874542E-2</v>
      </c>
      <c r="O429" s="444"/>
      <c r="P429" s="340"/>
      <c r="Q429" s="341"/>
      <c r="R429" s="336">
        <f>(R426-R425)/R425</f>
        <v>0.13997704212901274</v>
      </c>
      <c r="S429" s="470"/>
      <c r="T429" s="339"/>
      <c r="U429" s="340"/>
      <c r="V429" s="470"/>
      <c r="W429" s="315"/>
    </row>
    <row r="430" spans="1:23" ht="13.3" thickBot="1" x14ac:dyDescent="0.25">
      <c r="A430" s="512">
        <v>43541</v>
      </c>
      <c r="B430" s="418" t="s">
        <v>58</v>
      </c>
      <c r="C430" s="411">
        <f>C427/C421-1</f>
        <v>7.2463768115942351E-3</v>
      </c>
      <c r="D430" s="353"/>
      <c r="E430" s="353">
        <f>E427/E421-1</f>
        <v>6.8493150684931781E-3</v>
      </c>
      <c r="F430" s="353">
        <f>F427/F421-1</f>
        <v>6.3694267515923553E-3</v>
      </c>
      <c r="G430" s="353">
        <f>G427/G421-1</f>
        <v>5.6179775280897903E-3</v>
      </c>
      <c r="H430" s="353"/>
      <c r="I430" s="353"/>
      <c r="J430" s="355"/>
      <c r="K430" s="434"/>
      <c r="L430" s="509"/>
      <c r="M430" s="467">
        <f>M427/M421-1</f>
        <v>6.3694267515923553E-3</v>
      </c>
      <c r="N430" s="292">
        <f>N427/N421-1</f>
        <v>6.3694267515923553E-3</v>
      </c>
      <c r="O430" s="445"/>
      <c r="P430" s="357"/>
      <c r="Q430" s="358"/>
      <c r="R430" s="353">
        <f>R427/R421-1</f>
        <v>5.8139534883721034E-3</v>
      </c>
      <c r="S430" s="471"/>
      <c r="T430" s="356"/>
      <c r="U430" s="357"/>
      <c r="V430" s="471"/>
      <c r="W430" s="359"/>
    </row>
    <row r="431" spans="1:23" x14ac:dyDescent="0.2">
      <c r="A431" s="512">
        <v>43544</v>
      </c>
      <c r="B431" s="419" t="s">
        <v>53</v>
      </c>
      <c r="C431" s="408">
        <v>1479.07</v>
      </c>
      <c r="D431" s="347"/>
      <c r="E431" s="346">
        <v>1495.67</v>
      </c>
      <c r="F431" s="346">
        <v>1610.84</v>
      </c>
      <c r="G431" s="346">
        <v>1656.04</v>
      </c>
      <c r="H431" s="347"/>
      <c r="I431" s="347"/>
      <c r="J431" s="290"/>
      <c r="K431" s="431"/>
      <c r="L431" s="507"/>
      <c r="M431" s="256">
        <v>1475.96</v>
      </c>
      <c r="N431" s="462">
        <v>1489.9</v>
      </c>
      <c r="O431" s="442"/>
      <c r="P431" s="348"/>
      <c r="Q431" s="349"/>
      <c r="R431" s="346">
        <v>1555.82</v>
      </c>
      <c r="S431" s="346"/>
      <c r="T431" s="290"/>
      <c r="U431" s="348"/>
      <c r="V431" s="347"/>
      <c r="W431" s="346">
        <v>1202.77</v>
      </c>
    </row>
    <row r="432" spans="1:23" x14ac:dyDescent="0.2">
      <c r="A432" s="512">
        <v>43544</v>
      </c>
      <c r="B432" s="415" t="s">
        <v>54</v>
      </c>
      <c r="C432" s="409">
        <v>1508</v>
      </c>
      <c r="D432" s="249"/>
      <c r="E432" s="250">
        <v>1586</v>
      </c>
      <c r="F432" s="250">
        <v>1716</v>
      </c>
      <c r="G432" s="250">
        <v>1937</v>
      </c>
      <c r="H432" s="249"/>
      <c r="I432" s="249"/>
      <c r="J432" s="330"/>
      <c r="K432" s="432"/>
      <c r="L432" s="508"/>
      <c r="M432" s="463">
        <v>1584</v>
      </c>
      <c r="N432" s="464">
        <v>1584</v>
      </c>
      <c r="O432" s="446"/>
      <c r="P432" s="331"/>
      <c r="Q432" s="332"/>
      <c r="R432" s="250">
        <v>1728</v>
      </c>
      <c r="S432" s="496"/>
      <c r="T432" s="330"/>
      <c r="U432" s="334"/>
      <c r="V432" s="469"/>
      <c r="W432" s="315"/>
    </row>
    <row r="433" spans="1:23" x14ac:dyDescent="0.2">
      <c r="A433" s="512">
        <v>43544</v>
      </c>
      <c r="B433" s="415" t="s">
        <v>55</v>
      </c>
      <c r="C433" s="409">
        <v>1.39</v>
      </c>
      <c r="D433" s="249"/>
      <c r="E433" s="250">
        <v>1.47</v>
      </c>
      <c r="F433" s="250">
        <v>1.58</v>
      </c>
      <c r="G433" s="250">
        <v>1.79</v>
      </c>
      <c r="H433" s="249"/>
      <c r="I433" s="249"/>
      <c r="J433" s="330"/>
      <c r="K433" s="432"/>
      <c r="L433" s="508"/>
      <c r="M433" s="463">
        <v>1.58</v>
      </c>
      <c r="N433" s="464">
        <v>1.58</v>
      </c>
      <c r="O433" s="443"/>
      <c r="P433" s="334"/>
      <c r="Q433" s="335"/>
      <c r="R433" s="250">
        <v>1.73</v>
      </c>
      <c r="S433" s="469"/>
      <c r="T433" s="333"/>
      <c r="U433" s="334"/>
      <c r="V433" s="497"/>
      <c r="W433" s="315"/>
    </row>
    <row r="434" spans="1:23" x14ac:dyDescent="0.2">
      <c r="A434" s="512">
        <v>43544</v>
      </c>
      <c r="B434" s="415" t="s">
        <v>56</v>
      </c>
      <c r="C434" s="410">
        <f>(C432-C431)/C432</f>
        <v>1.9184350132626038E-2</v>
      </c>
      <c r="D434" s="336"/>
      <c r="E434" s="336">
        <f>(E432-E431)/E432</f>
        <v>5.695460277427486E-2</v>
      </c>
      <c r="F434" s="336">
        <f>(F432-F431)/F432</f>
        <v>6.1282051282051331E-2</v>
      </c>
      <c r="G434" s="336">
        <f>(G432-G431)/G432</f>
        <v>0.14504904491481674</v>
      </c>
      <c r="H434" s="336"/>
      <c r="I434" s="336"/>
      <c r="J434" s="338"/>
      <c r="K434" s="433"/>
      <c r="L434" s="279"/>
      <c r="M434" s="465">
        <f>(M432-M431)/M432</f>
        <v>6.8207070707070688E-2</v>
      </c>
      <c r="N434" s="466">
        <f>(N432-N431)/N432</f>
        <v>5.9406565656565602E-2</v>
      </c>
      <c r="O434" s="444"/>
      <c r="P434" s="340"/>
      <c r="Q434" s="341"/>
      <c r="R434" s="336">
        <f>(R432-R431)/R432</f>
        <v>9.9641203703703746E-2</v>
      </c>
      <c r="S434" s="470"/>
      <c r="T434" s="339"/>
      <c r="U434" s="340"/>
      <c r="V434" s="470"/>
      <c r="W434" s="315"/>
    </row>
    <row r="435" spans="1:23" x14ac:dyDescent="0.2">
      <c r="A435" s="512">
        <v>43544</v>
      </c>
      <c r="B435" s="415" t="s">
        <v>57</v>
      </c>
      <c r="C435" s="410">
        <f>(C432-C431)/C431</f>
        <v>1.9559588119561662E-2</v>
      </c>
      <c r="D435" s="336"/>
      <c r="E435" s="336">
        <f>(E432-E431)/E431</f>
        <v>6.039433832329319E-2</v>
      </c>
      <c r="F435" s="336">
        <f>(F432-F431)/F431</f>
        <v>6.5282709642174322E-2</v>
      </c>
      <c r="G435" s="336">
        <f>(G432-G431)/G431</f>
        <v>0.1696577377358035</v>
      </c>
      <c r="H435" s="336"/>
      <c r="I435" s="336"/>
      <c r="J435" s="338"/>
      <c r="K435" s="433"/>
      <c r="L435" s="279"/>
      <c r="M435" s="465">
        <f>(M432-M431)/M431</f>
        <v>7.3199815713162933E-2</v>
      </c>
      <c r="N435" s="466">
        <f>(N432-N431)/N431</f>
        <v>6.3158601248405874E-2</v>
      </c>
      <c r="O435" s="444"/>
      <c r="P435" s="340"/>
      <c r="Q435" s="341"/>
      <c r="R435" s="336">
        <f>(R432-R431)/R431</f>
        <v>0.1106683292411719</v>
      </c>
      <c r="S435" s="470"/>
      <c r="T435" s="339"/>
      <c r="U435" s="340"/>
      <c r="V435" s="470"/>
      <c r="W435" s="315"/>
    </row>
    <row r="436" spans="1:23" ht="13.3" thickBot="1" x14ac:dyDescent="0.25">
      <c r="A436" s="512">
        <v>43544</v>
      </c>
      <c r="B436" s="418" t="s">
        <v>58</v>
      </c>
      <c r="C436" s="411">
        <f>C433/C427-1</f>
        <v>0</v>
      </c>
      <c r="D436" s="353"/>
      <c r="E436" s="353">
        <f>E433/E427-1</f>
        <v>0</v>
      </c>
      <c r="F436" s="353">
        <f>F433/F427-1</f>
        <v>0</v>
      </c>
      <c r="G436" s="353">
        <f>G433/G427-1</f>
        <v>0</v>
      </c>
      <c r="H436" s="353"/>
      <c r="I436" s="353"/>
      <c r="J436" s="355"/>
      <c r="K436" s="434"/>
      <c r="L436" s="509"/>
      <c r="M436" s="467">
        <f>M433/M427-1</f>
        <v>0</v>
      </c>
      <c r="N436" s="292">
        <f>N433/N427-1</f>
        <v>0</v>
      </c>
      <c r="O436" s="445"/>
      <c r="P436" s="357"/>
      <c r="Q436" s="358"/>
      <c r="R436" s="353">
        <f>R433/R427-1</f>
        <v>0</v>
      </c>
      <c r="S436" s="471"/>
      <c r="T436" s="356"/>
      <c r="U436" s="357"/>
      <c r="V436" s="471"/>
      <c r="W436" s="359"/>
    </row>
    <row r="437" spans="1:23" x14ac:dyDescent="0.2">
      <c r="A437" s="512">
        <v>43548</v>
      </c>
      <c r="B437" s="419" t="s">
        <v>53</v>
      </c>
      <c r="C437" s="408">
        <v>1489.49</v>
      </c>
      <c r="D437" s="347"/>
      <c r="E437" s="346">
        <v>1505.63</v>
      </c>
      <c r="F437" s="346">
        <v>1620.84</v>
      </c>
      <c r="G437" s="346">
        <v>1665.12</v>
      </c>
      <c r="H437" s="347"/>
      <c r="I437" s="347"/>
      <c r="J437" s="290"/>
      <c r="K437" s="431"/>
      <c r="L437" s="507"/>
      <c r="M437" s="256">
        <v>1485.11</v>
      </c>
      <c r="N437" s="462">
        <v>1499.13</v>
      </c>
      <c r="O437" s="442"/>
      <c r="P437" s="348"/>
      <c r="Q437" s="349"/>
      <c r="R437" s="346">
        <v>1564.63</v>
      </c>
      <c r="S437" s="346"/>
      <c r="T437" s="290"/>
      <c r="U437" s="348"/>
      <c r="V437" s="347"/>
      <c r="W437" s="346">
        <v>1210.03</v>
      </c>
    </row>
    <row r="438" spans="1:23" x14ac:dyDescent="0.2">
      <c r="A438" s="512">
        <v>43548</v>
      </c>
      <c r="B438" s="415" t="s">
        <v>54</v>
      </c>
      <c r="C438" s="409">
        <v>1521</v>
      </c>
      <c r="D438" s="249"/>
      <c r="E438" s="250">
        <v>1599</v>
      </c>
      <c r="F438" s="250">
        <v>1716</v>
      </c>
      <c r="G438" s="250">
        <v>1950</v>
      </c>
      <c r="H438" s="249"/>
      <c r="I438" s="249"/>
      <c r="J438" s="330"/>
      <c r="K438" s="432"/>
      <c r="L438" s="508"/>
      <c r="M438" s="463">
        <v>1584</v>
      </c>
      <c r="N438" s="464">
        <v>1584</v>
      </c>
      <c r="O438" s="446"/>
      <c r="P438" s="331"/>
      <c r="Q438" s="332"/>
      <c r="R438" s="250">
        <v>1728</v>
      </c>
      <c r="S438" s="496"/>
      <c r="T438" s="330"/>
      <c r="U438" s="334"/>
      <c r="V438" s="469"/>
      <c r="W438" s="315"/>
    </row>
    <row r="439" spans="1:23" x14ac:dyDescent="0.2">
      <c r="A439" s="512">
        <v>43548</v>
      </c>
      <c r="B439" s="415" t="s">
        <v>55</v>
      </c>
      <c r="C439" s="409">
        <v>1.4</v>
      </c>
      <c r="D439" s="249"/>
      <c r="E439" s="250">
        <v>1.48</v>
      </c>
      <c r="F439" s="250">
        <v>1.59</v>
      </c>
      <c r="G439" s="250">
        <v>1.8</v>
      </c>
      <c r="H439" s="249"/>
      <c r="I439" s="249"/>
      <c r="J439" s="330"/>
      <c r="K439" s="432"/>
      <c r="L439" s="508"/>
      <c r="M439" s="463">
        <v>1.59</v>
      </c>
      <c r="N439" s="464">
        <v>1.59</v>
      </c>
      <c r="O439" s="443"/>
      <c r="P439" s="334"/>
      <c r="Q439" s="335"/>
      <c r="R439" s="250">
        <v>1.74</v>
      </c>
      <c r="S439" s="469"/>
      <c r="T439" s="333"/>
      <c r="U439" s="334"/>
      <c r="V439" s="497"/>
      <c r="W439" s="315"/>
    </row>
    <row r="440" spans="1:23" x14ac:dyDescent="0.2">
      <c r="A440" s="512">
        <v>43548</v>
      </c>
      <c r="B440" s="415" t="s">
        <v>56</v>
      </c>
      <c r="C440" s="410">
        <f>(C438-C437)/C438</f>
        <v>2.0716633793556864E-2</v>
      </c>
      <c r="D440" s="336"/>
      <c r="E440" s="336">
        <f>(E438-E437)/E438</f>
        <v>5.8392745465916128E-2</v>
      </c>
      <c r="F440" s="336">
        <f>(F438-F437)/F438</f>
        <v>5.5454545454545499E-2</v>
      </c>
      <c r="G440" s="336">
        <f>(G438-G437)/G438</f>
        <v>0.14609230769230774</v>
      </c>
      <c r="H440" s="336"/>
      <c r="I440" s="336"/>
      <c r="J440" s="338"/>
      <c r="K440" s="433"/>
      <c r="L440" s="279"/>
      <c r="M440" s="465">
        <f>(M438-M437)/M438</f>
        <v>6.2430555555555621E-2</v>
      </c>
      <c r="N440" s="466">
        <f>(N438-N437)/N438</f>
        <v>5.3579545454545387E-2</v>
      </c>
      <c r="O440" s="444"/>
      <c r="P440" s="340"/>
      <c r="Q440" s="341"/>
      <c r="R440" s="336">
        <f>(R438-R437)/R438</f>
        <v>9.4542824074074008E-2</v>
      </c>
      <c r="S440" s="470"/>
      <c r="T440" s="339"/>
      <c r="U440" s="340"/>
      <c r="V440" s="470"/>
      <c r="W440" s="315"/>
    </row>
    <row r="441" spans="1:23" x14ac:dyDescent="0.2">
      <c r="A441" s="512">
        <v>43548</v>
      </c>
      <c r="B441" s="415" t="s">
        <v>57</v>
      </c>
      <c r="C441" s="410">
        <f>(C438-C437)/C437</f>
        <v>2.1154891942879773E-2</v>
      </c>
      <c r="D441" s="336"/>
      <c r="E441" s="336">
        <f>(E438-E437)/E437</f>
        <v>6.2013907799392871E-2</v>
      </c>
      <c r="F441" s="336">
        <f>(F438-F437)/F437</f>
        <v>5.8710298363811413E-2</v>
      </c>
      <c r="G441" s="336">
        <f>(G438-G437)/G437</f>
        <v>0.17108676852118773</v>
      </c>
      <c r="H441" s="336"/>
      <c r="I441" s="336"/>
      <c r="J441" s="338"/>
      <c r="K441" s="433"/>
      <c r="L441" s="279"/>
      <c r="M441" s="465">
        <f>(M438-M437)/M437</f>
        <v>6.6587660173320573E-2</v>
      </c>
      <c r="N441" s="466">
        <f>(N438-N437)/N437</f>
        <v>5.6612835444557766E-2</v>
      </c>
      <c r="O441" s="444"/>
      <c r="P441" s="340"/>
      <c r="Q441" s="341"/>
      <c r="R441" s="336">
        <f>(R438-R437)/R437</f>
        <v>0.10441446220512191</v>
      </c>
      <c r="S441" s="470"/>
      <c r="T441" s="339"/>
      <c r="U441" s="340"/>
      <c r="V441" s="470"/>
      <c r="W441" s="315"/>
    </row>
    <row r="442" spans="1:23" ht="13.3" thickBot="1" x14ac:dyDescent="0.25">
      <c r="A442" s="512">
        <v>43548</v>
      </c>
      <c r="B442" s="418" t="s">
        <v>58</v>
      </c>
      <c r="C442" s="411">
        <f>C439/C433-1</f>
        <v>7.194244604316502E-3</v>
      </c>
      <c r="D442" s="353"/>
      <c r="E442" s="353">
        <f>E439/E433-1</f>
        <v>6.8027210884353817E-3</v>
      </c>
      <c r="F442" s="353">
        <f>F439/F433-1</f>
        <v>6.3291139240506666E-3</v>
      </c>
      <c r="G442" s="353">
        <f>G439/G433-1</f>
        <v>5.5865921787709993E-3</v>
      </c>
      <c r="H442" s="353"/>
      <c r="I442" s="353"/>
      <c r="J442" s="355"/>
      <c r="K442" s="434"/>
      <c r="L442" s="509"/>
      <c r="M442" s="467">
        <f>M439/M433-1</f>
        <v>6.3291139240506666E-3</v>
      </c>
      <c r="N442" s="292">
        <f>N439/N433-1</f>
        <v>6.3291139240506666E-3</v>
      </c>
      <c r="O442" s="445"/>
      <c r="P442" s="357"/>
      <c r="Q442" s="358"/>
      <c r="R442" s="353">
        <f>R439/R433-1</f>
        <v>5.7803468208093012E-3</v>
      </c>
      <c r="S442" s="471"/>
      <c r="T442" s="356"/>
      <c r="U442" s="357"/>
      <c r="V442" s="471"/>
      <c r="W442" s="359"/>
    </row>
    <row r="443" spans="1:23" x14ac:dyDescent="0.2">
      <c r="A443" s="512">
        <v>43555</v>
      </c>
      <c r="B443" s="419" t="s">
        <v>53</v>
      </c>
      <c r="C443" s="408">
        <v>1499.91</v>
      </c>
      <c r="D443" s="347"/>
      <c r="E443" s="346">
        <v>1515.59</v>
      </c>
      <c r="F443" s="346">
        <v>1630.84</v>
      </c>
      <c r="G443" s="346">
        <v>1674.2</v>
      </c>
      <c r="H443" s="347"/>
      <c r="I443" s="347"/>
      <c r="J443" s="290"/>
      <c r="K443" s="431"/>
      <c r="L443" s="507"/>
      <c r="M443" s="256">
        <v>1494.26</v>
      </c>
      <c r="N443" s="462">
        <v>1508.36</v>
      </c>
      <c r="O443" s="442"/>
      <c r="P443" s="348"/>
      <c r="Q443" s="349"/>
      <c r="R443" s="346">
        <v>1573.44</v>
      </c>
      <c r="S443" s="346"/>
      <c r="T443" s="290"/>
      <c r="U443" s="348"/>
      <c r="V443" s="347"/>
      <c r="W443" s="346">
        <v>1217.3399999999999</v>
      </c>
    </row>
    <row r="444" spans="1:23" x14ac:dyDescent="0.2">
      <c r="A444" s="512">
        <v>43555</v>
      </c>
      <c r="B444" s="415" t="s">
        <v>54</v>
      </c>
      <c r="C444" s="409">
        <v>1521</v>
      </c>
      <c r="D444" s="249"/>
      <c r="E444" s="250">
        <v>1612</v>
      </c>
      <c r="F444" s="250">
        <v>1729</v>
      </c>
      <c r="G444" s="250">
        <v>1963</v>
      </c>
      <c r="H444" s="249"/>
      <c r="I444" s="249"/>
      <c r="J444" s="330"/>
      <c r="K444" s="432"/>
      <c r="L444" s="508"/>
      <c r="M444" s="463">
        <v>1596</v>
      </c>
      <c r="N444" s="464">
        <v>1596</v>
      </c>
      <c r="O444" s="446"/>
      <c r="P444" s="331"/>
      <c r="Q444" s="332"/>
      <c r="R444" s="250">
        <v>1752</v>
      </c>
      <c r="S444" s="496"/>
      <c r="T444" s="330"/>
      <c r="U444" s="334"/>
      <c r="V444" s="469"/>
      <c r="W444" s="315"/>
    </row>
    <row r="445" spans="1:23" x14ac:dyDescent="0.2">
      <c r="A445" s="512">
        <v>43555</v>
      </c>
      <c r="B445" s="415" t="s">
        <v>55</v>
      </c>
      <c r="C445" s="409">
        <v>1.41</v>
      </c>
      <c r="D445" s="249"/>
      <c r="E445" s="250">
        <v>1.49</v>
      </c>
      <c r="F445" s="250">
        <v>1.6</v>
      </c>
      <c r="G445" s="250">
        <v>1.81</v>
      </c>
      <c r="H445" s="249"/>
      <c r="I445" s="249"/>
      <c r="J445" s="330"/>
      <c r="K445" s="432"/>
      <c r="L445" s="508"/>
      <c r="M445" s="463">
        <v>1.6</v>
      </c>
      <c r="N445" s="464">
        <v>1.6</v>
      </c>
      <c r="O445" s="443"/>
      <c r="P445" s="334"/>
      <c r="Q445" s="335"/>
      <c r="R445" s="250">
        <v>1.75</v>
      </c>
      <c r="S445" s="469"/>
      <c r="T445" s="333"/>
      <c r="U445" s="334"/>
      <c r="V445" s="497"/>
      <c r="W445" s="315"/>
    </row>
    <row r="446" spans="1:23" x14ac:dyDescent="0.2">
      <c r="A446" s="512">
        <v>43555</v>
      </c>
      <c r="B446" s="415" t="s">
        <v>56</v>
      </c>
      <c r="C446" s="410">
        <f>(C444-C443)/C444</f>
        <v>1.3865877712031504E-2</v>
      </c>
      <c r="D446" s="336"/>
      <c r="E446" s="336">
        <f>(E444-E443)/E444</f>
        <v>5.980769230769236E-2</v>
      </c>
      <c r="F446" s="336">
        <f>(F444-F443)/F444</f>
        <v>5.6772700983227349E-2</v>
      </c>
      <c r="G446" s="336">
        <f>(G444-G443)/G444</f>
        <v>0.14712175241976563</v>
      </c>
      <c r="H446" s="336"/>
      <c r="I446" s="336"/>
      <c r="J446" s="338"/>
      <c r="K446" s="433"/>
      <c r="L446" s="279"/>
      <c r="M446" s="465">
        <f>(M444-M443)/M444</f>
        <v>6.3746867167919802E-2</v>
      </c>
      <c r="N446" s="466">
        <f>(N444-N443)/N444</f>
        <v>5.4912280701754447E-2</v>
      </c>
      <c r="O446" s="444"/>
      <c r="P446" s="340"/>
      <c r="Q446" s="341"/>
      <c r="R446" s="336">
        <f>(R444-R443)/R444</f>
        <v>0.10191780821917805</v>
      </c>
      <c r="S446" s="470"/>
      <c r="T446" s="339"/>
      <c r="U446" s="340"/>
      <c r="V446" s="470"/>
      <c r="W446" s="315"/>
    </row>
    <row r="447" spans="1:23" x14ac:dyDescent="0.2">
      <c r="A447" s="512">
        <v>43555</v>
      </c>
      <c r="B447" s="415" t="s">
        <v>57</v>
      </c>
      <c r="C447" s="410">
        <f>(C444-C443)/C443</f>
        <v>1.4060843650618982E-2</v>
      </c>
      <c r="D447" s="336"/>
      <c r="E447" s="336">
        <f>(E444-E443)/E443</f>
        <v>6.3612190632031149E-2</v>
      </c>
      <c r="F447" s="336">
        <f>(F444-F443)/F443</f>
        <v>6.0189840818228695E-2</v>
      </c>
      <c r="G447" s="336">
        <f>(G444-G443)/G443</f>
        <v>0.1725002986501015</v>
      </c>
      <c r="H447" s="336"/>
      <c r="I447" s="336"/>
      <c r="J447" s="338"/>
      <c r="K447" s="433"/>
      <c r="L447" s="279"/>
      <c r="M447" s="465">
        <f>(M444-M443)/M443</f>
        <v>6.8087213737903718E-2</v>
      </c>
      <c r="N447" s="466">
        <f>(N444-N443)/N443</f>
        <v>5.8102840170781579E-2</v>
      </c>
      <c r="O447" s="444"/>
      <c r="P447" s="340"/>
      <c r="Q447" s="341"/>
      <c r="R447" s="336">
        <f>(R444-R443)/R443</f>
        <v>0.11348383160463693</v>
      </c>
      <c r="S447" s="470"/>
      <c r="T447" s="339"/>
      <c r="U447" s="340"/>
      <c r="V447" s="470"/>
      <c r="W447" s="315"/>
    </row>
    <row r="448" spans="1:23" ht="13.3" thickBot="1" x14ac:dyDescent="0.25">
      <c r="A448" s="512">
        <v>43555</v>
      </c>
      <c r="B448" s="418" t="s">
        <v>58</v>
      </c>
      <c r="C448" s="411">
        <f>C445/C439-1</f>
        <v>7.1428571428571175E-3</v>
      </c>
      <c r="D448" s="353"/>
      <c r="E448" s="353">
        <f>E445/E439-1</f>
        <v>6.7567567567567988E-3</v>
      </c>
      <c r="F448" s="353">
        <f>F445/F439-1</f>
        <v>6.2893081761006275E-3</v>
      </c>
      <c r="G448" s="353">
        <f>G445/G439-1</f>
        <v>5.5555555555555358E-3</v>
      </c>
      <c r="H448" s="353"/>
      <c r="I448" s="353"/>
      <c r="J448" s="355"/>
      <c r="K448" s="434"/>
      <c r="L448" s="509"/>
      <c r="M448" s="467">
        <f>M445/M439-1</f>
        <v>6.2893081761006275E-3</v>
      </c>
      <c r="N448" s="292">
        <f>N445/N439-1</f>
        <v>6.2893081761006275E-3</v>
      </c>
      <c r="O448" s="445"/>
      <c r="P448" s="357"/>
      <c r="Q448" s="358"/>
      <c r="R448" s="353">
        <f>R445/R439-1</f>
        <v>5.7471264367816577E-3</v>
      </c>
      <c r="S448" s="471"/>
      <c r="T448" s="356"/>
      <c r="U448" s="357"/>
      <c r="V448" s="471"/>
      <c r="W448" s="359"/>
    </row>
    <row r="449" spans="1:23" x14ac:dyDescent="0.2">
      <c r="A449" s="512">
        <v>43562</v>
      </c>
      <c r="B449" s="419" t="s">
        <v>53</v>
      </c>
      <c r="C449" s="408">
        <v>1510.33</v>
      </c>
      <c r="D449" s="347"/>
      <c r="E449" s="346">
        <v>1525.55</v>
      </c>
      <c r="F449" s="346">
        <v>1640.84</v>
      </c>
      <c r="G449" s="346">
        <v>1683.28</v>
      </c>
      <c r="H449" s="347"/>
      <c r="I449" s="347"/>
      <c r="J449" s="290"/>
      <c r="K449" s="431"/>
      <c r="L449" s="507"/>
      <c r="M449" s="256">
        <v>1503.41</v>
      </c>
      <c r="N449" s="462">
        <v>1517.59</v>
      </c>
      <c r="O449" s="442"/>
      <c r="P449" s="348"/>
      <c r="Q449" s="349"/>
      <c r="R449" s="346">
        <v>1582.25</v>
      </c>
      <c r="S449" s="346"/>
      <c r="T449" s="290"/>
      <c r="U449" s="348"/>
      <c r="V449" s="347"/>
      <c r="W449" s="346">
        <v>1224.7</v>
      </c>
    </row>
    <row r="450" spans="1:23" x14ac:dyDescent="0.2">
      <c r="A450" s="512">
        <v>43562</v>
      </c>
      <c r="B450" s="415" t="s">
        <v>54</v>
      </c>
      <c r="C450" s="409">
        <v>1534</v>
      </c>
      <c r="D450" s="249"/>
      <c r="E450" s="250">
        <v>1625</v>
      </c>
      <c r="F450" s="250">
        <v>1742</v>
      </c>
      <c r="G450" s="250">
        <v>1976</v>
      </c>
      <c r="H450" s="249"/>
      <c r="I450" s="249"/>
      <c r="J450" s="330"/>
      <c r="K450" s="432"/>
      <c r="L450" s="508"/>
      <c r="M450" s="463">
        <v>1608</v>
      </c>
      <c r="N450" s="464">
        <v>1608</v>
      </c>
      <c r="O450" s="446"/>
      <c r="P450" s="331"/>
      <c r="Q450" s="332"/>
      <c r="R450" s="250">
        <v>1764</v>
      </c>
      <c r="S450" s="496"/>
      <c r="T450" s="330"/>
      <c r="U450" s="334"/>
      <c r="V450" s="469"/>
      <c r="W450" s="315"/>
    </row>
    <row r="451" spans="1:23" x14ac:dyDescent="0.2">
      <c r="A451" s="512">
        <v>43562</v>
      </c>
      <c r="B451" s="415" t="s">
        <v>55</v>
      </c>
      <c r="C451" s="409">
        <v>1.42</v>
      </c>
      <c r="D451" s="249"/>
      <c r="E451" s="250">
        <v>1.5</v>
      </c>
      <c r="F451" s="250">
        <v>1.61</v>
      </c>
      <c r="G451" s="250">
        <v>1.82</v>
      </c>
      <c r="H451" s="249"/>
      <c r="I451" s="249"/>
      <c r="J451" s="330"/>
      <c r="K451" s="432"/>
      <c r="L451" s="508"/>
      <c r="M451" s="463">
        <v>1.61</v>
      </c>
      <c r="N451" s="464">
        <v>1.61</v>
      </c>
      <c r="O451" s="443"/>
      <c r="P451" s="334"/>
      <c r="Q451" s="335"/>
      <c r="R451" s="250">
        <v>1.76</v>
      </c>
      <c r="S451" s="469"/>
      <c r="T451" s="333"/>
      <c r="U451" s="334"/>
      <c r="V451" s="497"/>
      <c r="W451" s="315"/>
    </row>
    <row r="452" spans="1:23" x14ac:dyDescent="0.2">
      <c r="A452" s="512">
        <v>43562</v>
      </c>
      <c r="B452" s="415" t="s">
        <v>56</v>
      </c>
      <c r="C452" s="410">
        <f>(C450-C449)/C450</f>
        <v>1.5430247718383359E-2</v>
      </c>
      <c r="D452" s="336"/>
      <c r="E452" s="336">
        <f>(E450-E449)/E450</f>
        <v>6.1200000000000025E-2</v>
      </c>
      <c r="F452" s="336">
        <f>(F450-F449)/F450</f>
        <v>5.8071182548794537E-2</v>
      </c>
      <c r="G452" s="336">
        <f>(G450-G449)/G450</f>
        <v>0.14813765182186237</v>
      </c>
      <c r="H452" s="336"/>
      <c r="I452" s="336"/>
      <c r="J452" s="338"/>
      <c r="K452" s="433"/>
      <c r="L452" s="279"/>
      <c r="M452" s="465">
        <f>(M450-M449)/M450</f>
        <v>6.504353233830841E-2</v>
      </c>
      <c r="N452" s="466">
        <f>(N450-N449)/N450</f>
        <v>5.6225124378109503E-2</v>
      </c>
      <c r="O452" s="444"/>
      <c r="P452" s="340"/>
      <c r="Q452" s="341"/>
      <c r="R452" s="336">
        <f>(R450-R449)/R450</f>
        <v>0.1030328798185941</v>
      </c>
      <c r="S452" s="470"/>
      <c r="T452" s="339"/>
      <c r="U452" s="340"/>
      <c r="V452" s="470"/>
      <c r="W452" s="315"/>
    </row>
    <row r="453" spans="1:23" x14ac:dyDescent="0.2">
      <c r="A453" s="512">
        <v>43562</v>
      </c>
      <c r="B453" s="415" t="s">
        <v>57</v>
      </c>
      <c r="C453" s="410">
        <f>(C450-C449)/C449</f>
        <v>1.5672071666457048E-2</v>
      </c>
      <c r="D453" s="336"/>
      <c r="E453" s="336">
        <f>(E450-E449)/E449</f>
        <v>6.5189603749467431E-2</v>
      </c>
      <c r="F453" s="336">
        <f>(F450-F449)/F449</f>
        <v>6.1651349308890623E-2</v>
      </c>
      <c r="G453" s="336">
        <f>(G450-G449)/G449</f>
        <v>0.17389857896487812</v>
      </c>
      <c r="H453" s="336"/>
      <c r="I453" s="336"/>
      <c r="J453" s="338"/>
      <c r="K453" s="433"/>
      <c r="L453" s="279"/>
      <c r="M453" s="465">
        <f>(M450-M449)/M449</f>
        <v>6.9568514244284604E-2</v>
      </c>
      <c r="N453" s="466">
        <f>(N450-N449)/N449</f>
        <v>5.9574720444916011E-2</v>
      </c>
      <c r="O453" s="444"/>
      <c r="P453" s="340"/>
      <c r="Q453" s="341"/>
      <c r="R453" s="336">
        <f>(R450-R449)/R449</f>
        <v>0.11486806762521726</v>
      </c>
      <c r="S453" s="470"/>
      <c r="T453" s="339"/>
      <c r="U453" s="340"/>
      <c r="V453" s="470"/>
      <c r="W453" s="315"/>
    </row>
    <row r="454" spans="1:23" ht="13.3" thickBot="1" x14ac:dyDescent="0.25">
      <c r="A454" s="512">
        <v>43562</v>
      </c>
      <c r="B454" s="418" t="s">
        <v>58</v>
      </c>
      <c r="C454" s="411">
        <f>C451/C445-1</f>
        <v>7.0921985815601829E-3</v>
      </c>
      <c r="D454" s="353"/>
      <c r="E454" s="353">
        <f>E451/E445-1</f>
        <v>6.7114093959732557E-3</v>
      </c>
      <c r="F454" s="353">
        <f>F451/F445-1</f>
        <v>6.2500000000000888E-3</v>
      </c>
      <c r="G454" s="353">
        <f>G451/G445-1</f>
        <v>5.5248618784531356E-3</v>
      </c>
      <c r="H454" s="353"/>
      <c r="I454" s="353"/>
      <c r="J454" s="355"/>
      <c r="K454" s="434"/>
      <c r="L454" s="509"/>
      <c r="M454" s="467">
        <f>M451/M445-1</f>
        <v>6.2500000000000888E-3</v>
      </c>
      <c r="N454" s="292">
        <f>N451/N445-1</f>
        <v>6.2500000000000888E-3</v>
      </c>
      <c r="O454" s="445"/>
      <c r="P454" s="357"/>
      <c r="Q454" s="358"/>
      <c r="R454" s="353">
        <f>R451/R445-1</f>
        <v>5.7142857142857828E-3</v>
      </c>
      <c r="S454" s="471"/>
      <c r="T454" s="356"/>
      <c r="U454" s="357"/>
      <c r="V454" s="471"/>
      <c r="W454" s="359"/>
    </row>
    <row r="455" spans="1:23" x14ac:dyDescent="0.2">
      <c r="A455" s="512">
        <v>43569</v>
      </c>
      <c r="B455" s="419" t="s">
        <v>53</v>
      </c>
      <c r="C455" s="408">
        <v>1520.75</v>
      </c>
      <c r="D455" s="347"/>
      <c r="E455" s="346">
        <v>1535.51</v>
      </c>
      <c r="F455" s="346">
        <v>1650.84</v>
      </c>
      <c r="G455" s="346">
        <v>1692.36</v>
      </c>
      <c r="H455" s="347"/>
      <c r="I455" s="347"/>
      <c r="J455" s="290"/>
      <c r="K455" s="431"/>
      <c r="L455" s="507"/>
      <c r="M455" s="256">
        <v>1512.56</v>
      </c>
      <c r="N455" s="462">
        <v>1526.82</v>
      </c>
      <c r="O455" s="442"/>
      <c r="P455" s="348"/>
      <c r="Q455" s="349"/>
      <c r="R455" s="346">
        <v>1591.06</v>
      </c>
      <c r="S455" s="346"/>
      <c r="T455" s="290"/>
      <c r="U455" s="348"/>
      <c r="V455" s="347"/>
      <c r="W455" s="346">
        <v>1232.0999999999999</v>
      </c>
    </row>
    <row r="456" spans="1:23" x14ac:dyDescent="0.2">
      <c r="A456" s="512">
        <v>43569</v>
      </c>
      <c r="B456" s="415" t="s">
        <v>54</v>
      </c>
      <c r="C456" s="409">
        <v>1547</v>
      </c>
      <c r="D456" s="249"/>
      <c r="E456" s="250">
        <v>1638</v>
      </c>
      <c r="F456" s="250">
        <v>1755</v>
      </c>
      <c r="G456" s="250">
        <v>1976</v>
      </c>
      <c r="H456" s="249"/>
      <c r="I456" s="249"/>
      <c r="J456" s="330"/>
      <c r="K456" s="432"/>
      <c r="L456" s="508"/>
      <c r="M456" s="463">
        <v>1620</v>
      </c>
      <c r="N456" s="464">
        <v>1620</v>
      </c>
      <c r="O456" s="446"/>
      <c r="P456" s="331"/>
      <c r="Q456" s="332"/>
      <c r="R456" s="250">
        <v>1764</v>
      </c>
      <c r="S456" s="496"/>
      <c r="T456" s="330"/>
      <c r="U456" s="334"/>
      <c r="V456" s="469"/>
      <c r="W456" s="315"/>
    </row>
    <row r="457" spans="1:23" x14ac:dyDescent="0.2">
      <c r="A457" s="512">
        <v>43569</v>
      </c>
      <c r="B457" s="415" t="s">
        <v>55</v>
      </c>
      <c r="C457" s="409">
        <v>1.43</v>
      </c>
      <c r="D457" s="249"/>
      <c r="E457" s="250">
        <v>1.51</v>
      </c>
      <c r="F457" s="250">
        <v>1.62</v>
      </c>
      <c r="G457" s="250">
        <v>1.83</v>
      </c>
      <c r="H457" s="249"/>
      <c r="I457" s="249"/>
      <c r="J457" s="330"/>
      <c r="K457" s="432"/>
      <c r="L457" s="508"/>
      <c r="M457" s="463">
        <v>1.62</v>
      </c>
      <c r="N457" s="464">
        <v>1.62</v>
      </c>
      <c r="O457" s="443"/>
      <c r="P457" s="334"/>
      <c r="Q457" s="335"/>
      <c r="R457" s="250">
        <v>1.77</v>
      </c>
      <c r="S457" s="469"/>
      <c r="T457" s="333"/>
      <c r="U457" s="334"/>
      <c r="V457" s="497"/>
      <c r="W457" s="315"/>
    </row>
    <row r="458" spans="1:23" x14ac:dyDescent="0.2">
      <c r="A458" s="512">
        <v>43569</v>
      </c>
      <c r="B458" s="415" t="s">
        <v>56</v>
      </c>
      <c r="C458" s="410">
        <f>(C456-C455)/C456</f>
        <v>1.6968325791855202E-2</v>
      </c>
      <c r="D458" s="336"/>
      <c r="E458" s="336">
        <f>(E456-E455)/E456</f>
        <v>6.2570207570207578E-2</v>
      </c>
      <c r="F458" s="336">
        <f>(F456-F455)/F456</f>
        <v>5.93504273504274E-2</v>
      </c>
      <c r="G458" s="336">
        <f>(G456-G455)/G456</f>
        <v>0.14354251012145755</v>
      </c>
      <c r="H458" s="336"/>
      <c r="I458" s="336"/>
      <c r="J458" s="338"/>
      <c r="K458" s="433"/>
      <c r="L458" s="279"/>
      <c r="M458" s="465">
        <f>(M456-M455)/M456</f>
        <v>6.6320987654321026E-2</v>
      </c>
      <c r="N458" s="466">
        <f>(N456-N455)/N456</f>
        <v>5.7518518518518559E-2</v>
      </c>
      <c r="O458" s="444"/>
      <c r="P458" s="340"/>
      <c r="Q458" s="341"/>
      <c r="R458" s="336">
        <f>(R456-R455)/R456</f>
        <v>9.8038548752834492E-2</v>
      </c>
      <c r="S458" s="470"/>
      <c r="T458" s="339"/>
      <c r="U458" s="340"/>
      <c r="V458" s="470"/>
      <c r="W458" s="315"/>
    </row>
    <row r="459" spans="1:23" x14ac:dyDescent="0.2">
      <c r="A459" s="512">
        <v>43569</v>
      </c>
      <c r="B459" s="415" t="s">
        <v>57</v>
      </c>
      <c r="C459" s="410">
        <f>(C456-C455)/C455</f>
        <v>1.7261219792865361E-2</v>
      </c>
      <c r="D459" s="336"/>
      <c r="E459" s="336">
        <f>(E456-E455)/E455</f>
        <v>6.6746553262433991E-2</v>
      </c>
      <c r="F459" s="336">
        <f>(F456-F455)/F455</f>
        <v>6.3095151559206281E-2</v>
      </c>
      <c r="G459" s="336">
        <f>(G456-G455)/G455</f>
        <v>0.16760027417334381</v>
      </c>
      <c r="H459" s="336"/>
      <c r="I459" s="336"/>
      <c r="J459" s="338"/>
      <c r="K459" s="433"/>
      <c r="L459" s="279"/>
      <c r="M459" s="465">
        <f>(M456-M455)/M455</f>
        <v>7.1031892949701206E-2</v>
      </c>
      <c r="N459" s="466">
        <f>(N456-N455)/N455</f>
        <v>6.1028804967186746E-2</v>
      </c>
      <c r="O459" s="444"/>
      <c r="P459" s="340"/>
      <c r="Q459" s="341"/>
      <c r="R459" s="336">
        <f>(R456-R455)/R455</f>
        <v>0.10869483237590039</v>
      </c>
      <c r="S459" s="470"/>
      <c r="T459" s="339"/>
      <c r="U459" s="340"/>
      <c r="V459" s="470"/>
      <c r="W459" s="315"/>
    </row>
    <row r="460" spans="1:23" ht="13.3" thickBot="1" x14ac:dyDescent="0.25">
      <c r="A460" s="512">
        <v>43569</v>
      </c>
      <c r="B460" s="418" t="s">
        <v>58</v>
      </c>
      <c r="C460" s="411">
        <f>C457/C451-1</f>
        <v>7.0422535211267512E-3</v>
      </c>
      <c r="D460" s="353"/>
      <c r="E460" s="353">
        <f>E457/E451-1</f>
        <v>6.6666666666665986E-3</v>
      </c>
      <c r="F460" s="353">
        <f>F457/F451-1</f>
        <v>6.2111801242235032E-3</v>
      </c>
      <c r="G460" s="353">
        <f>G457/G451-1</f>
        <v>5.494505494505475E-3</v>
      </c>
      <c r="H460" s="353"/>
      <c r="I460" s="353"/>
      <c r="J460" s="355"/>
      <c r="K460" s="434"/>
      <c r="L460" s="509"/>
      <c r="M460" s="467">
        <f>M457/M451-1</f>
        <v>6.2111801242235032E-3</v>
      </c>
      <c r="N460" s="292">
        <f>N457/N451-1</f>
        <v>6.2111801242235032E-3</v>
      </c>
      <c r="O460" s="445"/>
      <c r="P460" s="357"/>
      <c r="Q460" s="358"/>
      <c r="R460" s="353">
        <f>R457/R451-1</f>
        <v>5.6818181818181213E-3</v>
      </c>
      <c r="S460" s="471"/>
      <c r="T460" s="356"/>
      <c r="U460" s="357"/>
      <c r="V460" s="471"/>
      <c r="W460" s="359"/>
    </row>
    <row r="461" spans="1:23" x14ac:dyDescent="0.2">
      <c r="A461" s="512">
        <v>43576</v>
      </c>
      <c r="B461" s="419" t="s">
        <v>53</v>
      </c>
      <c r="C461" s="408">
        <v>1531.17</v>
      </c>
      <c r="D461" s="347"/>
      <c r="E461" s="346">
        <v>1545.47</v>
      </c>
      <c r="F461" s="346">
        <v>1660.84</v>
      </c>
      <c r="G461" s="346">
        <v>1701.44</v>
      </c>
      <c r="H461" s="347"/>
      <c r="I461" s="347"/>
      <c r="J461" s="290"/>
      <c r="K461" s="431"/>
      <c r="L461" s="507"/>
      <c r="M461" s="256">
        <v>1521.71</v>
      </c>
      <c r="N461" s="462">
        <v>1536.05</v>
      </c>
      <c r="O461" s="442"/>
      <c r="P461" s="348"/>
      <c r="Q461" s="349"/>
      <c r="R461" s="346">
        <v>1599.87</v>
      </c>
      <c r="S461" s="346"/>
      <c r="T461" s="290"/>
      <c r="U461" s="348"/>
      <c r="V461" s="347"/>
      <c r="W461" s="346">
        <v>1239.55</v>
      </c>
    </row>
    <row r="462" spans="1:23" x14ac:dyDescent="0.2">
      <c r="A462" s="512">
        <v>43576</v>
      </c>
      <c r="B462" s="415" t="s">
        <v>54</v>
      </c>
      <c r="C462" s="409">
        <v>1560</v>
      </c>
      <c r="D462" s="249"/>
      <c r="E462" s="250">
        <v>1651</v>
      </c>
      <c r="F462" s="250">
        <v>1768</v>
      </c>
      <c r="G462" s="250">
        <v>1989</v>
      </c>
      <c r="H462" s="249"/>
      <c r="I462" s="249"/>
      <c r="J462" s="330"/>
      <c r="K462" s="432"/>
      <c r="L462" s="508"/>
      <c r="M462" s="463">
        <v>1632</v>
      </c>
      <c r="N462" s="464">
        <v>1632</v>
      </c>
      <c r="O462" s="446"/>
      <c r="P462" s="331"/>
      <c r="Q462" s="332"/>
      <c r="R462" s="250">
        <v>1776</v>
      </c>
      <c r="S462" s="496"/>
      <c r="T462" s="330"/>
      <c r="U462" s="334"/>
      <c r="V462" s="469"/>
      <c r="W462" s="315"/>
    </row>
    <row r="463" spans="1:23" x14ac:dyDescent="0.2">
      <c r="A463" s="512">
        <v>43576</v>
      </c>
      <c r="B463" s="415" t="s">
        <v>55</v>
      </c>
      <c r="C463" s="409">
        <v>1.44</v>
      </c>
      <c r="D463" s="249"/>
      <c r="E463" s="250">
        <v>1.52</v>
      </c>
      <c r="F463" s="250">
        <v>1.63</v>
      </c>
      <c r="G463" s="250">
        <v>1.84</v>
      </c>
      <c r="H463" s="249"/>
      <c r="I463" s="249"/>
      <c r="J463" s="330"/>
      <c r="K463" s="432"/>
      <c r="L463" s="508"/>
      <c r="M463" s="463">
        <v>1.63</v>
      </c>
      <c r="N463" s="464">
        <v>1.63</v>
      </c>
      <c r="O463" s="443"/>
      <c r="P463" s="334"/>
      <c r="Q463" s="335"/>
      <c r="R463" s="250">
        <v>1.78</v>
      </c>
      <c r="S463" s="469"/>
      <c r="T463" s="333"/>
      <c r="U463" s="334"/>
      <c r="V463" s="497"/>
      <c r="W463" s="315"/>
    </row>
    <row r="464" spans="1:23" x14ac:dyDescent="0.2">
      <c r="A464" s="512">
        <v>43576</v>
      </c>
      <c r="B464" s="415" t="s">
        <v>56</v>
      </c>
      <c r="C464" s="410">
        <f>(C462-C461)/C462</f>
        <v>1.8480769230769183E-2</v>
      </c>
      <c r="D464" s="336"/>
      <c r="E464" s="336">
        <f>(E462-E461)/E462</f>
        <v>6.3918837068443354E-2</v>
      </c>
      <c r="F464" s="336">
        <f>(F462-F461)/F462</f>
        <v>6.0610859728506834E-2</v>
      </c>
      <c r="G464" s="336">
        <f>(G462-G461)/G462</f>
        <v>0.14457516339869278</v>
      </c>
      <c r="H464" s="336"/>
      <c r="I464" s="336"/>
      <c r="J464" s="338"/>
      <c r="K464" s="433"/>
      <c r="L464" s="279"/>
      <c r="M464" s="465">
        <f>(M462-M461)/M462</f>
        <v>6.7579656862745072E-2</v>
      </c>
      <c r="N464" s="466">
        <f>(N462-N461)/N462</f>
        <v>5.8792892156862772E-2</v>
      </c>
      <c r="O464" s="444"/>
      <c r="P464" s="340"/>
      <c r="Q464" s="341"/>
      <c r="R464" s="336">
        <f>(R462-R461)/R462</f>
        <v>9.917229729729736E-2</v>
      </c>
      <c r="S464" s="470"/>
      <c r="T464" s="339"/>
      <c r="U464" s="340"/>
      <c r="V464" s="470"/>
      <c r="W464" s="315"/>
    </row>
    <row r="465" spans="1:23" x14ac:dyDescent="0.2">
      <c r="A465" s="512">
        <v>43576</v>
      </c>
      <c r="B465" s="415" t="s">
        <v>57</v>
      </c>
      <c r="C465" s="410">
        <f>(C462-C461)/C461</f>
        <v>1.882873880757847E-2</v>
      </c>
      <c r="D465" s="336"/>
      <c r="E465" s="336">
        <f>(E462-E461)/E461</f>
        <v>6.828343481271068E-2</v>
      </c>
      <c r="F465" s="336">
        <f>(F462-F461)/F461</f>
        <v>6.4521567399629151E-2</v>
      </c>
      <c r="G465" s="336">
        <f>(G462-G461)/G461</f>
        <v>0.1690097799511002</v>
      </c>
      <c r="H465" s="336"/>
      <c r="I465" s="336"/>
      <c r="J465" s="338"/>
      <c r="K465" s="433"/>
      <c r="L465" s="279"/>
      <c r="M465" s="465">
        <f>(M462-M461)/M461</f>
        <v>7.2477673144028726E-2</v>
      </c>
      <c r="N465" s="466">
        <f>(N462-N461)/N461</f>
        <v>6.2465414537287232E-2</v>
      </c>
      <c r="O465" s="444"/>
      <c r="P465" s="340"/>
      <c r="Q465" s="341"/>
      <c r="R465" s="336">
        <f>(R462-R461)/R461</f>
        <v>0.11009019482832988</v>
      </c>
      <c r="S465" s="470"/>
      <c r="T465" s="339"/>
      <c r="U465" s="340"/>
      <c r="V465" s="470"/>
      <c r="W465" s="315"/>
    </row>
    <row r="466" spans="1:23" ht="13.3" thickBot="1" x14ac:dyDescent="0.25">
      <c r="A466" s="512">
        <v>43576</v>
      </c>
      <c r="B466" s="418" t="s">
        <v>58</v>
      </c>
      <c r="C466" s="411">
        <f>C463/C457-1</f>
        <v>6.9930069930070893E-3</v>
      </c>
      <c r="D466" s="353"/>
      <c r="E466" s="353">
        <f>E463/E457-1</f>
        <v>6.6225165562914245E-3</v>
      </c>
      <c r="F466" s="353">
        <f>F463/F457-1</f>
        <v>6.1728395061726449E-3</v>
      </c>
      <c r="G466" s="353">
        <f>G463/G457-1</f>
        <v>5.464480874316946E-3</v>
      </c>
      <c r="H466" s="353"/>
      <c r="I466" s="353"/>
      <c r="J466" s="355"/>
      <c r="K466" s="434"/>
      <c r="L466" s="509"/>
      <c r="M466" s="467">
        <f>M463/M457-1</f>
        <v>6.1728395061726449E-3</v>
      </c>
      <c r="N466" s="292">
        <f>N463/N457-1</f>
        <v>6.1728395061726449E-3</v>
      </c>
      <c r="O466" s="445"/>
      <c r="P466" s="357"/>
      <c r="Q466" s="358"/>
      <c r="R466" s="353">
        <f>R463/R457-1</f>
        <v>5.6497175141243527E-3</v>
      </c>
      <c r="S466" s="471"/>
      <c r="T466" s="356"/>
      <c r="U466" s="357"/>
      <c r="V466" s="471"/>
      <c r="W466" s="359"/>
    </row>
    <row r="467" spans="1:23" x14ac:dyDescent="0.2">
      <c r="A467" s="512">
        <v>43583</v>
      </c>
      <c r="B467" s="419" t="s">
        <v>53</v>
      </c>
      <c r="C467" s="408">
        <v>1541.59</v>
      </c>
      <c r="D467" s="347"/>
      <c r="E467" s="346">
        <v>1555.43</v>
      </c>
      <c r="F467" s="346">
        <v>1670.84</v>
      </c>
      <c r="G467" s="346">
        <v>1710.52</v>
      </c>
      <c r="H467" s="347"/>
      <c r="I467" s="347"/>
      <c r="J467" s="290"/>
      <c r="K467" s="431"/>
      <c r="L467" s="346"/>
      <c r="M467" s="256">
        <v>1530.86</v>
      </c>
      <c r="N467" s="462">
        <v>1545.28</v>
      </c>
      <c r="O467" s="442"/>
      <c r="P467" s="348"/>
      <c r="Q467" s="349"/>
      <c r="R467" s="346">
        <v>1608.68</v>
      </c>
      <c r="S467" s="346"/>
      <c r="T467" s="290"/>
      <c r="U467" s="348"/>
      <c r="V467" s="347"/>
      <c r="W467" s="346">
        <v>1246.92</v>
      </c>
    </row>
    <row r="468" spans="1:23" x14ac:dyDescent="0.2">
      <c r="A468" s="512">
        <v>43583</v>
      </c>
      <c r="B468" s="415" t="s">
        <v>54</v>
      </c>
      <c r="C468" s="409">
        <v>1573</v>
      </c>
      <c r="D468" s="249"/>
      <c r="E468" s="250">
        <v>1651</v>
      </c>
      <c r="F468" s="250">
        <v>1781</v>
      </c>
      <c r="G468" s="250">
        <v>2002</v>
      </c>
      <c r="H468" s="249"/>
      <c r="I468" s="249"/>
      <c r="J468" s="330"/>
      <c r="K468" s="432"/>
      <c r="L468" s="250"/>
      <c r="M468" s="463">
        <v>1644</v>
      </c>
      <c r="N468" s="464">
        <v>1644</v>
      </c>
      <c r="O468" s="446"/>
      <c r="P468" s="331"/>
      <c r="Q468" s="332"/>
      <c r="R468" s="250">
        <v>1788</v>
      </c>
      <c r="S468" s="496"/>
      <c r="T468" s="330"/>
      <c r="U468" s="334"/>
      <c r="V468" s="469"/>
      <c r="W468" s="315"/>
    </row>
    <row r="469" spans="1:23" x14ac:dyDescent="0.2">
      <c r="A469" s="512">
        <v>43583</v>
      </c>
      <c r="B469" s="415" t="s">
        <v>55</v>
      </c>
      <c r="C469" s="409">
        <v>1.45</v>
      </c>
      <c r="D469" s="249"/>
      <c r="E469" s="250">
        <v>1.53</v>
      </c>
      <c r="F469" s="250">
        <v>1.64</v>
      </c>
      <c r="G469" s="250">
        <v>1.85</v>
      </c>
      <c r="H469" s="249"/>
      <c r="I469" s="249"/>
      <c r="J469" s="330"/>
      <c r="K469" s="432"/>
      <c r="L469" s="250"/>
      <c r="M469" s="463">
        <v>1.64</v>
      </c>
      <c r="N469" s="464">
        <v>1.64</v>
      </c>
      <c r="O469" s="443"/>
      <c r="P469" s="334"/>
      <c r="Q469" s="335"/>
      <c r="R469" s="250">
        <v>1.79</v>
      </c>
      <c r="S469" s="469"/>
      <c r="T469" s="333"/>
      <c r="U469" s="334"/>
      <c r="V469" s="497"/>
      <c r="W469" s="315"/>
    </row>
    <row r="470" spans="1:23" x14ac:dyDescent="0.2">
      <c r="A470" s="512">
        <v>43583</v>
      </c>
      <c r="B470" s="415" t="s">
        <v>56</v>
      </c>
      <c r="C470" s="410">
        <f>(C468-C467)/C468</f>
        <v>1.9968213604577293E-2</v>
      </c>
      <c r="D470" s="336"/>
      <c r="E470" s="336">
        <f>(E468-E467)/E468</f>
        <v>5.7886129618413044E-2</v>
      </c>
      <c r="F470" s="336">
        <f>(F468-F467)/F468</f>
        <v>6.1852891633913575E-2</v>
      </c>
      <c r="G470" s="336">
        <f>(G468-G467)/G468</f>
        <v>0.14559440559440559</v>
      </c>
      <c r="H470" s="336"/>
      <c r="I470" s="336"/>
      <c r="J470" s="338"/>
      <c r="K470" s="433"/>
      <c r="L470" s="336"/>
      <c r="M470" s="465">
        <f>(M468-M467)/M468</f>
        <v>6.881995133819957E-2</v>
      </c>
      <c r="N470" s="466">
        <f>(N468-N467)/N468</f>
        <v>6.0048661800486632E-2</v>
      </c>
      <c r="O470" s="444"/>
      <c r="P470" s="340"/>
      <c r="Q470" s="341"/>
      <c r="R470" s="336">
        <f>(R468-R467)/R468</f>
        <v>0.10029082774049214</v>
      </c>
      <c r="S470" s="470"/>
      <c r="T470" s="339"/>
      <c r="U470" s="340"/>
      <c r="V470" s="470"/>
      <c r="W470" s="315"/>
    </row>
    <row r="471" spans="1:23" x14ac:dyDescent="0.2">
      <c r="A471" s="512">
        <v>43583</v>
      </c>
      <c r="B471" s="415" t="s">
        <v>57</v>
      </c>
      <c r="C471" s="410">
        <f>(C468-C467)/C467</f>
        <v>2.0375067300644194E-2</v>
      </c>
      <c r="D471" s="336"/>
      <c r="E471" s="336">
        <f>(E468-E467)/E467</f>
        <v>6.1442816455899614E-2</v>
      </c>
      <c r="F471" s="336">
        <f>(F468-F467)/F467</f>
        <v>6.5930909003854399E-2</v>
      </c>
      <c r="G471" s="336">
        <f>(G468-G467)/G467</f>
        <v>0.17040432149287937</v>
      </c>
      <c r="H471" s="336"/>
      <c r="I471" s="336"/>
      <c r="J471" s="338"/>
      <c r="K471" s="433"/>
      <c r="L471" s="336"/>
      <c r="M471" s="465">
        <f>(M468-M467)/M467</f>
        <v>7.3906170387886619E-2</v>
      </c>
      <c r="N471" s="466">
        <f>(N468-N467)/N467</f>
        <v>6.3884862290329275E-2</v>
      </c>
      <c r="O471" s="444"/>
      <c r="P471" s="340"/>
      <c r="Q471" s="341"/>
      <c r="R471" s="336">
        <f>(R468-R467)/R467</f>
        <v>0.11147027376482578</v>
      </c>
      <c r="S471" s="470"/>
      <c r="T471" s="339"/>
      <c r="U471" s="340"/>
      <c r="V471" s="470"/>
      <c r="W471" s="315"/>
    </row>
    <row r="472" spans="1:23" ht="13.3" thickBot="1" x14ac:dyDescent="0.25">
      <c r="A472" s="512">
        <v>43583</v>
      </c>
      <c r="B472" s="418" t="s">
        <v>58</v>
      </c>
      <c r="C472" s="411">
        <f>C469/C463-1</f>
        <v>6.9444444444444198E-3</v>
      </c>
      <c r="D472" s="353"/>
      <c r="E472" s="353">
        <f>E469/E463-1</f>
        <v>6.5789473684210176E-3</v>
      </c>
      <c r="F472" s="353">
        <f>F469/F463-1</f>
        <v>6.1349693251533388E-3</v>
      </c>
      <c r="G472" s="353">
        <f>G469/G463-1</f>
        <v>5.4347826086955653E-3</v>
      </c>
      <c r="H472" s="353"/>
      <c r="I472" s="353"/>
      <c r="J472" s="355"/>
      <c r="K472" s="434"/>
      <c r="L472" s="353"/>
      <c r="M472" s="467">
        <f>M469/M463-1</f>
        <v>6.1349693251533388E-3</v>
      </c>
      <c r="N472" s="292">
        <f>N469/N463-1</f>
        <v>6.1349693251533388E-3</v>
      </c>
      <c r="O472" s="445"/>
      <c r="P472" s="357"/>
      <c r="Q472" s="358"/>
      <c r="R472" s="353">
        <f>R469/R463-1</f>
        <v>5.6179775280897903E-3</v>
      </c>
      <c r="S472" s="471"/>
      <c r="T472" s="356"/>
      <c r="U472" s="357"/>
      <c r="V472" s="471"/>
      <c r="W472" s="359"/>
    </row>
    <row r="473" spans="1:23" x14ac:dyDescent="0.2">
      <c r="A473" s="512">
        <v>43590</v>
      </c>
      <c r="B473" s="419" t="s">
        <v>53</v>
      </c>
      <c r="C473" s="408">
        <v>1552.01</v>
      </c>
      <c r="D473" s="347"/>
      <c r="E473" s="346">
        <v>1565.39</v>
      </c>
      <c r="F473" s="346">
        <v>1680.84</v>
      </c>
      <c r="G473" s="346">
        <v>1719.6</v>
      </c>
      <c r="H473" s="347"/>
      <c r="I473" s="347"/>
      <c r="J473" s="290"/>
      <c r="K473" s="431"/>
      <c r="L473" s="346">
        <v>1810.79</v>
      </c>
      <c r="M473" s="256">
        <v>1540.01</v>
      </c>
      <c r="N473" s="462">
        <v>1554.51</v>
      </c>
      <c r="O473" s="442"/>
      <c r="P473" s="348"/>
      <c r="Q473" s="349"/>
      <c r="R473" s="346">
        <v>1617.49</v>
      </c>
      <c r="S473" s="346"/>
      <c r="T473" s="290"/>
      <c r="U473" s="348"/>
      <c r="V473" s="347"/>
      <c r="W473" s="346">
        <v>1254.22</v>
      </c>
    </row>
    <row r="474" spans="1:23" x14ac:dyDescent="0.2">
      <c r="A474" s="512">
        <v>43590</v>
      </c>
      <c r="B474" s="415" t="s">
        <v>54</v>
      </c>
      <c r="C474" s="409">
        <v>1586</v>
      </c>
      <c r="D474" s="249"/>
      <c r="E474" s="250">
        <v>1664</v>
      </c>
      <c r="F474" s="250">
        <v>1781</v>
      </c>
      <c r="G474" s="250">
        <v>2015</v>
      </c>
      <c r="H474" s="249"/>
      <c r="I474" s="249"/>
      <c r="J474" s="330"/>
      <c r="K474" s="432"/>
      <c r="L474" s="250">
        <v>2106</v>
      </c>
      <c r="M474" s="463">
        <v>1644</v>
      </c>
      <c r="N474" s="464">
        <v>1644</v>
      </c>
      <c r="O474" s="446"/>
      <c r="P474" s="331"/>
      <c r="Q474" s="332"/>
      <c r="R474" s="250">
        <v>1800</v>
      </c>
      <c r="S474" s="496"/>
      <c r="T474" s="330"/>
      <c r="U474" s="334"/>
      <c r="V474" s="469"/>
      <c r="W474" s="315"/>
    </row>
    <row r="475" spans="1:23" x14ac:dyDescent="0.2">
      <c r="A475" s="512">
        <v>43590</v>
      </c>
      <c r="B475" s="415" t="s">
        <v>55</v>
      </c>
      <c r="C475" s="409">
        <v>1.46</v>
      </c>
      <c r="D475" s="249"/>
      <c r="E475" s="250">
        <v>1.54</v>
      </c>
      <c r="F475" s="250">
        <v>1.65</v>
      </c>
      <c r="G475" s="250">
        <v>1.86</v>
      </c>
      <c r="H475" s="249"/>
      <c r="I475" s="249"/>
      <c r="J475" s="330"/>
      <c r="K475" s="432"/>
      <c r="L475" s="250">
        <v>1.94</v>
      </c>
      <c r="M475" s="463">
        <v>1.65</v>
      </c>
      <c r="N475" s="464">
        <v>1.65</v>
      </c>
      <c r="O475" s="443"/>
      <c r="P475" s="334"/>
      <c r="Q475" s="335"/>
      <c r="R475" s="250">
        <v>1.8</v>
      </c>
      <c r="S475" s="469"/>
      <c r="T475" s="333"/>
      <c r="U475" s="334"/>
      <c r="V475" s="497"/>
      <c r="W475" s="315"/>
    </row>
    <row r="476" spans="1:23" x14ac:dyDescent="0.2">
      <c r="A476" s="512">
        <v>43590</v>
      </c>
      <c r="B476" s="415" t="s">
        <v>56</v>
      </c>
      <c r="C476" s="410">
        <f>(C474-C473)/C474</f>
        <v>2.1431273644388404E-2</v>
      </c>
      <c r="D476" s="336"/>
      <c r="E476" s="336">
        <f>(E474-E473)/E474</f>
        <v>5.9260817307692247E-2</v>
      </c>
      <c r="F476" s="336">
        <f>(F474-F473)/F474</f>
        <v>5.6238068500842273E-2</v>
      </c>
      <c r="G476" s="336">
        <f>(G474-G473)/G474</f>
        <v>0.14660049627791569</v>
      </c>
      <c r="H476" s="336"/>
      <c r="I476" s="336"/>
      <c r="J476" s="338"/>
      <c r="K476" s="433"/>
      <c r="L476" s="336">
        <f>(L474-L473)/L474</f>
        <v>0.14017568850902187</v>
      </c>
      <c r="M476" s="465">
        <f>(M474-M473)/M474</f>
        <v>6.3254257907542591E-2</v>
      </c>
      <c r="N476" s="466">
        <f>(N474-N473)/N474</f>
        <v>5.4434306569343074E-2</v>
      </c>
      <c r="O476" s="444"/>
      <c r="P476" s="340"/>
      <c r="Q476" s="341"/>
      <c r="R476" s="336">
        <f>(R474-R473)/R474</f>
        <v>0.10139444444444444</v>
      </c>
      <c r="S476" s="470"/>
      <c r="T476" s="339"/>
      <c r="U476" s="340"/>
      <c r="V476" s="470"/>
      <c r="W476" s="315"/>
    </row>
    <row r="477" spans="1:23" x14ac:dyDescent="0.2">
      <c r="A477" s="512">
        <v>43590</v>
      </c>
      <c r="B477" s="415" t="s">
        <v>57</v>
      </c>
      <c r="C477" s="410">
        <f>(C474-C473)/C473</f>
        <v>2.1900632083556169E-2</v>
      </c>
      <c r="D477" s="336"/>
      <c r="E477" s="336">
        <f>(E474-E473)/E473</f>
        <v>6.2993886507515626E-2</v>
      </c>
      <c r="F477" s="336">
        <f>(F474-F473)/F473</f>
        <v>5.9589252992551398E-2</v>
      </c>
      <c r="G477" s="336">
        <f>(G474-G473)/G473</f>
        <v>0.17178413584554553</v>
      </c>
      <c r="H477" s="336"/>
      <c r="I477" s="336"/>
      <c r="J477" s="338"/>
      <c r="K477" s="433"/>
      <c r="L477" s="336">
        <f>(L474-L473)/L473</f>
        <v>0.16302829151917123</v>
      </c>
      <c r="M477" s="465">
        <f>(M474-M473)/M473</f>
        <v>6.7525535548470475E-2</v>
      </c>
      <c r="N477" s="466">
        <f>(N474-N473)/N473</f>
        <v>5.7567979620587843E-2</v>
      </c>
      <c r="O477" s="444"/>
      <c r="P477" s="340"/>
      <c r="Q477" s="341"/>
      <c r="R477" s="336">
        <f>(R474-R473)/R473</f>
        <v>0.11283531892005515</v>
      </c>
      <c r="S477" s="470"/>
      <c r="T477" s="339"/>
      <c r="U477" s="340"/>
      <c r="V477" s="470"/>
      <c r="W477" s="315"/>
    </row>
    <row r="478" spans="1:23" ht="13.3" thickBot="1" x14ac:dyDescent="0.25">
      <c r="A478" s="512">
        <v>43590</v>
      </c>
      <c r="B478" s="418" t="s">
        <v>58</v>
      </c>
      <c r="C478" s="411">
        <f>C475/C469-1</f>
        <v>6.8965517241379448E-3</v>
      </c>
      <c r="D478" s="353"/>
      <c r="E478" s="353">
        <f>E475/E469-1</f>
        <v>6.5359477124182774E-3</v>
      </c>
      <c r="F478" s="353">
        <f>F475/F469-1</f>
        <v>6.0975609756097615E-3</v>
      </c>
      <c r="G478" s="353">
        <f>G475/G469-1</f>
        <v>5.4054054054053502E-3</v>
      </c>
      <c r="H478" s="353"/>
      <c r="I478" s="353"/>
      <c r="J478" s="355"/>
      <c r="K478" s="434"/>
      <c r="L478" s="353"/>
      <c r="M478" s="467">
        <f>M475/M469-1</f>
        <v>6.0975609756097615E-3</v>
      </c>
      <c r="N478" s="292">
        <f>N475/N469-1</f>
        <v>6.0975609756097615E-3</v>
      </c>
      <c r="O478" s="445"/>
      <c r="P478" s="357"/>
      <c r="Q478" s="358"/>
      <c r="R478" s="353">
        <f>R475/R469-1</f>
        <v>5.5865921787709993E-3</v>
      </c>
      <c r="S478" s="471"/>
      <c r="T478" s="356"/>
      <c r="U478" s="357"/>
      <c r="V478" s="471"/>
      <c r="W478" s="359"/>
    </row>
    <row r="479" spans="1:23" x14ac:dyDescent="0.2">
      <c r="A479" s="512">
        <v>43597</v>
      </c>
      <c r="B479" s="419" t="s">
        <v>53</v>
      </c>
      <c r="C479" s="408">
        <v>1562.43</v>
      </c>
      <c r="D479" s="347"/>
      <c r="E479" s="346">
        <v>1575.35</v>
      </c>
      <c r="F479" s="346">
        <v>1690.84</v>
      </c>
      <c r="G479" s="346">
        <v>1728.68</v>
      </c>
      <c r="H479" s="347"/>
      <c r="I479" s="347"/>
      <c r="J479" s="290"/>
      <c r="K479" s="431"/>
      <c r="L479" s="346">
        <v>1820.06</v>
      </c>
      <c r="M479" s="256">
        <v>1549.16</v>
      </c>
      <c r="N479" s="462">
        <v>1563.74</v>
      </c>
      <c r="O479" s="442"/>
      <c r="P479" s="348"/>
      <c r="Q479" s="349"/>
      <c r="R479" s="346">
        <v>1626.3</v>
      </c>
      <c r="S479" s="346"/>
      <c r="T479" s="290"/>
      <c r="U479" s="348"/>
      <c r="V479" s="347"/>
      <c r="W479" s="346">
        <v>1261.68</v>
      </c>
    </row>
    <row r="480" spans="1:23" x14ac:dyDescent="0.2">
      <c r="A480" s="512">
        <v>43597</v>
      </c>
      <c r="B480" s="415" t="s">
        <v>54</v>
      </c>
      <c r="C480" s="409">
        <v>1586</v>
      </c>
      <c r="D480" s="249"/>
      <c r="E480" s="250">
        <v>1677</v>
      </c>
      <c r="F480" s="250">
        <v>1794</v>
      </c>
      <c r="G480" s="250">
        <v>2028</v>
      </c>
      <c r="H480" s="249"/>
      <c r="I480" s="249"/>
      <c r="J480" s="330"/>
      <c r="K480" s="432"/>
      <c r="L480" s="250">
        <v>2106</v>
      </c>
      <c r="M480" s="463">
        <v>1656</v>
      </c>
      <c r="N480" s="464">
        <v>1656</v>
      </c>
      <c r="O480" s="446"/>
      <c r="P480" s="331"/>
      <c r="Q480" s="332"/>
      <c r="R480" s="250">
        <v>1812</v>
      </c>
      <c r="S480" s="496"/>
      <c r="T480" s="330"/>
      <c r="U480" s="334"/>
      <c r="V480" s="469"/>
      <c r="W480" s="315"/>
    </row>
    <row r="481" spans="1:23" x14ac:dyDescent="0.2">
      <c r="A481" s="512">
        <v>43597</v>
      </c>
      <c r="B481" s="415" t="s">
        <v>55</v>
      </c>
      <c r="C481" s="409">
        <v>1.47</v>
      </c>
      <c r="D481" s="249"/>
      <c r="E481" s="250">
        <v>1.55</v>
      </c>
      <c r="F481" s="250">
        <v>1.66</v>
      </c>
      <c r="G481" s="250">
        <v>1.87</v>
      </c>
      <c r="H481" s="249"/>
      <c r="I481" s="249"/>
      <c r="J481" s="330"/>
      <c r="K481" s="432"/>
      <c r="L481" s="250">
        <v>1.95</v>
      </c>
      <c r="M481" s="463">
        <v>1.66</v>
      </c>
      <c r="N481" s="464">
        <v>1.66</v>
      </c>
      <c r="O481" s="443"/>
      <c r="P481" s="334"/>
      <c r="Q481" s="335"/>
      <c r="R481" s="250">
        <v>1.81</v>
      </c>
      <c r="S481" s="469"/>
      <c r="T481" s="333"/>
      <c r="U481" s="334"/>
      <c r="V481" s="497"/>
      <c r="W481" s="315"/>
    </row>
    <row r="482" spans="1:23" x14ac:dyDescent="0.2">
      <c r="A482" s="512">
        <v>43597</v>
      </c>
      <c r="B482" s="415" t="s">
        <v>56</v>
      </c>
      <c r="C482" s="410">
        <f>(C480-C479)/C480</f>
        <v>1.4861286254728838E-2</v>
      </c>
      <c r="D482" s="336"/>
      <c r="E482" s="336">
        <f>(E480-E479)/E480</f>
        <v>6.06141920095409E-2</v>
      </c>
      <c r="F482" s="336">
        <f>(F480-F479)/F480</f>
        <v>5.7502787068004504E-2</v>
      </c>
      <c r="G482" s="336">
        <f>(G480-G479)/G480</f>
        <v>0.14759368836291911</v>
      </c>
      <c r="H482" s="336"/>
      <c r="I482" s="336"/>
      <c r="J482" s="338"/>
      <c r="K482" s="433"/>
      <c r="L482" s="336">
        <f>(L480-L479)/L480</f>
        <v>0.13577397910731245</v>
      </c>
      <c r="M482" s="465">
        <f>(M480-M479)/M480</f>
        <v>6.4516908212560342E-2</v>
      </c>
      <c r="N482" s="466">
        <f>(N480-N479)/N480</f>
        <v>5.5712560386473424E-2</v>
      </c>
      <c r="O482" s="444"/>
      <c r="P482" s="340"/>
      <c r="Q482" s="341"/>
      <c r="R482" s="336">
        <f>(R480-R479)/R480</f>
        <v>0.10248344370860929</v>
      </c>
      <c r="S482" s="470"/>
      <c r="T482" s="339"/>
      <c r="U482" s="340"/>
      <c r="V482" s="470"/>
      <c r="W482" s="315"/>
    </row>
    <row r="483" spans="1:23" x14ac:dyDescent="0.2">
      <c r="A483" s="512">
        <v>43597</v>
      </c>
      <c r="B483" s="415" t="s">
        <v>57</v>
      </c>
      <c r="C483" s="410">
        <f>(C480-C479)/C479</f>
        <v>1.5085475829317112E-2</v>
      </c>
      <c r="D483" s="336"/>
      <c r="E483" s="336">
        <f>(E480-E479)/E479</f>
        <v>6.4525343574443839E-2</v>
      </c>
      <c r="F483" s="336">
        <f>(F480-F479)/F479</f>
        <v>6.1011095077003197E-2</v>
      </c>
      <c r="G483" s="336">
        <f>(G480-G479)/G479</f>
        <v>0.17314945507554894</v>
      </c>
      <c r="H483" s="336"/>
      <c r="I483" s="336"/>
      <c r="J483" s="338"/>
      <c r="K483" s="433"/>
      <c r="L483" s="336">
        <f>(L480-L479)/L479</f>
        <v>0.1571047108337088</v>
      </c>
      <c r="M483" s="465">
        <f>(M480-M479)/M479</f>
        <v>6.896640760153884E-2</v>
      </c>
      <c r="N483" s="466">
        <f>(N480-N479)/N479</f>
        <v>5.8999577934950816E-2</v>
      </c>
      <c r="O483" s="444"/>
      <c r="P483" s="340"/>
      <c r="Q483" s="341"/>
      <c r="R483" s="336">
        <f>(R480-R479)/R479</f>
        <v>0.11418557461722932</v>
      </c>
      <c r="S483" s="470"/>
      <c r="T483" s="339"/>
      <c r="U483" s="340"/>
      <c r="V483" s="470"/>
      <c r="W483" s="315"/>
    </row>
    <row r="484" spans="1:23" ht="13.3" thickBot="1" x14ac:dyDescent="0.25">
      <c r="A484" s="512">
        <v>43597</v>
      </c>
      <c r="B484" s="418" t="s">
        <v>58</v>
      </c>
      <c r="C484" s="411">
        <f>C481/C475-1</f>
        <v>6.8493150684931781E-3</v>
      </c>
      <c r="D484" s="353"/>
      <c r="E484" s="353">
        <f>E481/E475-1</f>
        <v>6.4935064935065512E-3</v>
      </c>
      <c r="F484" s="353">
        <f>F481/F475-1</f>
        <v>6.0606060606060996E-3</v>
      </c>
      <c r="G484" s="353">
        <f>G481/G475-1</f>
        <v>5.3763440860215006E-3</v>
      </c>
      <c r="H484" s="353"/>
      <c r="I484" s="353"/>
      <c r="J484" s="355"/>
      <c r="K484" s="434"/>
      <c r="L484" s="353">
        <f>L481/L475-1</f>
        <v>5.1546391752577136E-3</v>
      </c>
      <c r="M484" s="467">
        <f>M481/M475-1</f>
        <v>6.0606060606060996E-3</v>
      </c>
      <c r="N484" s="292">
        <f>N481/N475-1</f>
        <v>6.0606060606060996E-3</v>
      </c>
      <c r="O484" s="445"/>
      <c r="P484" s="357"/>
      <c r="Q484" s="358"/>
      <c r="R484" s="353">
        <f>R481/R475-1</f>
        <v>5.5555555555555358E-3</v>
      </c>
      <c r="S484" s="471"/>
      <c r="T484" s="356"/>
      <c r="U484" s="357"/>
      <c r="V484" s="471"/>
      <c r="W484" s="359"/>
    </row>
    <row r="485" spans="1:23" x14ac:dyDescent="0.2">
      <c r="A485" s="512">
        <v>43604</v>
      </c>
      <c r="B485" s="419" t="s">
        <v>53</v>
      </c>
      <c r="C485" s="408">
        <v>1572.85</v>
      </c>
      <c r="D485" s="347"/>
      <c r="E485" s="346">
        <v>1585.31</v>
      </c>
      <c r="F485" s="346">
        <v>1700.84</v>
      </c>
      <c r="G485" s="346">
        <v>1737.76</v>
      </c>
      <c r="H485" s="347"/>
      <c r="I485" s="347"/>
      <c r="J485" s="290"/>
      <c r="K485" s="431"/>
      <c r="L485" s="346">
        <v>1829.33</v>
      </c>
      <c r="M485" s="256">
        <v>1558.31</v>
      </c>
      <c r="N485" s="462">
        <v>1572.97</v>
      </c>
      <c r="O485" s="442"/>
      <c r="P485" s="348"/>
      <c r="Q485" s="349"/>
      <c r="R485" s="346">
        <v>1635.11</v>
      </c>
      <c r="S485" s="346"/>
      <c r="T485" s="290"/>
      <c r="U485" s="348"/>
      <c r="V485" s="347"/>
      <c r="W485" s="346">
        <v>1269.06</v>
      </c>
    </row>
    <row r="486" spans="1:23" x14ac:dyDescent="0.2">
      <c r="A486" s="512">
        <v>43604</v>
      </c>
      <c r="B486" s="415" t="s">
        <v>54</v>
      </c>
      <c r="C486" s="409">
        <v>1599</v>
      </c>
      <c r="D486" s="249"/>
      <c r="E486" s="250">
        <v>1690</v>
      </c>
      <c r="F486" s="250">
        <v>1807</v>
      </c>
      <c r="G486" s="250">
        <v>2041</v>
      </c>
      <c r="H486" s="249"/>
      <c r="I486" s="249"/>
      <c r="J486" s="330"/>
      <c r="K486" s="432"/>
      <c r="L486" s="250">
        <v>2119</v>
      </c>
      <c r="M486" s="463">
        <v>1668</v>
      </c>
      <c r="N486" s="464">
        <v>1668</v>
      </c>
      <c r="O486" s="446"/>
      <c r="P486" s="331"/>
      <c r="Q486" s="332"/>
      <c r="R486" s="250">
        <v>1824</v>
      </c>
      <c r="S486" s="496"/>
      <c r="T486" s="330"/>
      <c r="U486" s="334"/>
      <c r="V486" s="469"/>
      <c r="W486" s="315"/>
    </row>
    <row r="487" spans="1:23" x14ac:dyDescent="0.2">
      <c r="A487" s="512">
        <v>43604</v>
      </c>
      <c r="B487" s="415" t="s">
        <v>55</v>
      </c>
      <c r="C487" s="409">
        <v>1.48</v>
      </c>
      <c r="D487" s="249"/>
      <c r="E487" s="250">
        <v>1.56</v>
      </c>
      <c r="F487" s="250">
        <v>1.67</v>
      </c>
      <c r="G487" s="250">
        <v>1.88</v>
      </c>
      <c r="H487" s="249"/>
      <c r="I487" s="249"/>
      <c r="J487" s="330"/>
      <c r="K487" s="432"/>
      <c r="L487" s="250">
        <v>1.96</v>
      </c>
      <c r="M487" s="463">
        <v>1.67</v>
      </c>
      <c r="N487" s="464">
        <v>1.67</v>
      </c>
      <c r="O487" s="443"/>
      <c r="P487" s="334"/>
      <c r="Q487" s="335"/>
      <c r="R487" s="250">
        <v>1.82</v>
      </c>
      <c r="S487" s="469"/>
      <c r="T487" s="333"/>
      <c r="U487" s="334"/>
      <c r="V487" s="497"/>
      <c r="W487" s="315"/>
    </row>
    <row r="488" spans="1:23" x14ac:dyDescent="0.2">
      <c r="A488" s="512">
        <v>43604</v>
      </c>
      <c r="B488" s="415" t="s">
        <v>56</v>
      </c>
      <c r="C488" s="410">
        <f>(C486-C485)/C486</f>
        <v>1.6353971232020068E-2</v>
      </c>
      <c r="D488" s="336"/>
      <c r="E488" s="336">
        <f>(E486-E485)/E486</f>
        <v>6.1946745562130208E-2</v>
      </c>
      <c r="F488" s="336">
        <f>(F486-F485)/F486</f>
        <v>5.8749308245711167E-2</v>
      </c>
      <c r="G488" s="336">
        <f>(G486-G485)/G486</f>
        <v>0.14857422831945125</v>
      </c>
      <c r="H488" s="336"/>
      <c r="I488" s="336"/>
      <c r="J488" s="338"/>
      <c r="K488" s="433"/>
      <c r="L488" s="336">
        <f>(L486-L485)/L486</f>
        <v>0.13670127418593681</v>
      </c>
      <c r="M488" s="465">
        <f>(M486-M485)/M486</f>
        <v>6.5761390887290203E-2</v>
      </c>
      <c r="N488" s="466">
        <f>(N486-N485)/N486</f>
        <v>5.6972422062350106E-2</v>
      </c>
      <c r="O488" s="444"/>
      <c r="P488" s="340"/>
      <c r="Q488" s="341"/>
      <c r="R488" s="336">
        <f>(R486-R485)/R486</f>
        <v>0.10355811403508777</v>
      </c>
      <c r="S488" s="470"/>
      <c r="T488" s="339"/>
      <c r="U488" s="340"/>
      <c r="V488" s="470"/>
      <c r="W488" s="315"/>
    </row>
    <row r="489" spans="1:23" x14ac:dyDescent="0.2">
      <c r="A489" s="512">
        <v>43604</v>
      </c>
      <c r="B489" s="415" t="s">
        <v>57</v>
      </c>
      <c r="C489" s="410">
        <f>(C486-C485)/C485</f>
        <v>1.6625870235559712E-2</v>
      </c>
      <c r="D489" s="336"/>
      <c r="E489" s="336">
        <f>(E486-E485)/E485</f>
        <v>6.6037557323173429E-2</v>
      </c>
      <c r="F489" s="336">
        <f>(F486-F485)/F485</f>
        <v>6.2416217868817812E-2</v>
      </c>
      <c r="G489" s="336">
        <f>(G486-G485)/G485</f>
        <v>0.17450050639904247</v>
      </c>
      <c r="H489" s="336"/>
      <c r="I489" s="336"/>
      <c r="J489" s="338"/>
      <c r="K489" s="433"/>
      <c r="L489" s="336">
        <f>(L486-L485)/L485</f>
        <v>0.15834759174123864</v>
      </c>
      <c r="M489" s="465">
        <f>(M486-M485)/M485</f>
        <v>7.0390358786120905E-2</v>
      </c>
      <c r="N489" s="466">
        <f>(N486-N485)/N485</f>
        <v>6.0414375353630374E-2</v>
      </c>
      <c r="O489" s="444"/>
      <c r="P489" s="340"/>
      <c r="Q489" s="341"/>
      <c r="R489" s="336">
        <f>(R486-R485)/R485</f>
        <v>0.11552127991388965</v>
      </c>
      <c r="S489" s="470"/>
      <c r="T489" s="339"/>
      <c r="U489" s="340"/>
      <c r="V489" s="470"/>
      <c r="W489" s="315"/>
    </row>
    <row r="490" spans="1:23" ht="13.3" thickBot="1" x14ac:dyDescent="0.25">
      <c r="A490" s="512">
        <v>43604</v>
      </c>
      <c r="B490" s="418" t="s">
        <v>58</v>
      </c>
      <c r="C490" s="411">
        <f>C487/C481-1</f>
        <v>6.8027210884353817E-3</v>
      </c>
      <c r="D490" s="353"/>
      <c r="E490" s="353">
        <f>E487/E481-1</f>
        <v>6.4516129032257119E-3</v>
      </c>
      <c r="F490" s="353">
        <f>F487/F481-1</f>
        <v>6.0240963855422436E-3</v>
      </c>
      <c r="G490" s="353">
        <f>G487/G481-1</f>
        <v>5.3475935828874999E-3</v>
      </c>
      <c r="H490" s="353"/>
      <c r="I490" s="353"/>
      <c r="J490" s="355"/>
      <c r="K490" s="434"/>
      <c r="L490" s="353">
        <f>L487/L481-1</f>
        <v>5.12820512820511E-3</v>
      </c>
      <c r="M490" s="467">
        <f>M487/M481-1</f>
        <v>6.0240963855422436E-3</v>
      </c>
      <c r="N490" s="292">
        <f>N487/N481-1</f>
        <v>6.0240963855422436E-3</v>
      </c>
      <c r="O490" s="445"/>
      <c r="P490" s="357"/>
      <c r="Q490" s="358"/>
      <c r="R490" s="353">
        <f>R487/R481-1</f>
        <v>5.5248618784531356E-3</v>
      </c>
      <c r="S490" s="471"/>
      <c r="T490" s="356"/>
      <c r="U490" s="357"/>
      <c r="V490" s="471"/>
      <c r="W490" s="359"/>
    </row>
    <row r="491" spans="1:23" x14ac:dyDescent="0.2">
      <c r="A491" s="512">
        <v>43611</v>
      </c>
      <c r="B491" s="419" t="s">
        <v>53</v>
      </c>
      <c r="C491" s="408">
        <v>1583.27</v>
      </c>
      <c r="D491" s="347"/>
      <c r="E491" s="346">
        <v>1595.27</v>
      </c>
      <c r="F491" s="346">
        <v>1710.84</v>
      </c>
      <c r="G491" s="346">
        <v>1746.84</v>
      </c>
      <c r="H491" s="347"/>
      <c r="I491" s="347"/>
      <c r="J491" s="290"/>
      <c r="K491" s="431"/>
      <c r="L491" s="346">
        <v>1838.51</v>
      </c>
      <c r="M491" s="256">
        <v>1567.46</v>
      </c>
      <c r="N491" s="462">
        <v>1582.2</v>
      </c>
      <c r="O491" s="442"/>
      <c r="P491" s="348"/>
      <c r="Q491" s="349"/>
      <c r="R491" s="346">
        <v>1643.92</v>
      </c>
      <c r="S491" s="346"/>
      <c r="T491" s="290"/>
      <c r="U491" s="348"/>
      <c r="V491" s="347"/>
      <c r="W491" s="346">
        <v>1269.06</v>
      </c>
    </row>
    <row r="492" spans="1:23" x14ac:dyDescent="0.2">
      <c r="A492" s="512">
        <v>43611</v>
      </c>
      <c r="B492" s="415" t="s">
        <v>54</v>
      </c>
      <c r="C492" s="409">
        <v>1612</v>
      </c>
      <c r="D492" s="249"/>
      <c r="E492" s="250">
        <v>1703</v>
      </c>
      <c r="F492" s="250">
        <v>1820</v>
      </c>
      <c r="G492" s="250">
        <v>2041</v>
      </c>
      <c r="H492" s="249"/>
      <c r="I492" s="249"/>
      <c r="J492" s="330"/>
      <c r="K492" s="432"/>
      <c r="L492" s="250">
        <v>2132</v>
      </c>
      <c r="M492" s="463">
        <v>1680</v>
      </c>
      <c r="N492" s="464">
        <v>1680</v>
      </c>
      <c r="O492" s="446"/>
      <c r="P492" s="331"/>
      <c r="Q492" s="332"/>
      <c r="R492" s="250">
        <v>1824</v>
      </c>
      <c r="S492" s="496"/>
      <c r="T492" s="330"/>
      <c r="U492" s="334"/>
      <c r="V492" s="469"/>
      <c r="W492" s="315"/>
    </row>
    <row r="493" spans="1:23" x14ac:dyDescent="0.2">
      <c r="A493" s="512">
        <v>43611</v>
      </c>
      <c r="B493" s="415" t="s">
        <v>55</v>
      </c>
      <c r="C493" s="409">
        <v>1.49</v>
      </c>
      <c r="D493" s="249"/>
      <c r="E493" s="250">
        <v>1.57</v>
      </c>
      <c r="F493" s="250">
        <v>1.68</v>
      </c>
      <c r="G493" s="250">
        <v>1.89</v>
      </c>
      <c r="H493" s="249"/>
      <c r="I493" s="249"/>
      <c r="J493" s="330"/>
      <c r="K493" s="432"/>
      <c r="L493" s="250">
        <v>1.97</v>
      </c>
      <c r="M493" s="463">
        <v>1.68</v>
      </c>
      <c r="N493" s="464">
        <v>1.68</v>
      </c>
      <c r="O493" s="443"/>
      <c r="P493" s="334"/>
      <c r="Q493" s="335"/>
      <c r="R493" s="250">
        <v>1.83</v>
      </c>
      <c r="S493" s="469"/>
      <c r="T493" s="333"/>
      <c r="U493" s="334"/>
      <c r="V493" s="497"/>
      <c r="W493" s="315"/>
    </row>
    <row r="494" spans="1:23" x14ac:dyDescent="0.2">
      <c r="A494" s="512">
        <v>43611</v>
      </c>
      <c r="B494" s="415" t="s">
        <v>56</v>
      </c>
      <c r="C494" s="410">
        <f>(C492-C491)/C492</f>
        <v>1.78225806451613E-2</v>
      </c>
      <c r="D494" s="336"/>
      <c r="E494" s="336">
        <f>(E492-E491)/E492</f>
        <v>6.3258954785672353E-2</v>
      </c>
      <c r="F494" s="336">
        <f>(F492-F491)/F492</f>
        <v>5.9978021978022024E-2</v>
      </c>
      <c r="G494" s="336">
        <f>(G492-G491)/G492</f>
        <v>0.14412542871141601</v>
      </c>
      <c r="H494" s="336"/>
      <c r="I494" s="336"/>
      <c r="J494" s="338"/>
      <c r="K494" s="433"/>
      <c r="L494" s="336">
        <f>(L492-L491)/L492</f>
        <v>0.13765947467166981</v>
      </c>
      <c r="M494" s="465">
        <f>(M492-M491)/M492</f>
        <v>6.6988095238095222E-2</v>
      </c>
      <c r="N494" s="466">
        <f>(N492-N491)/N492</f>
        <v>5.8214285714285691E-2</v>
      </c>
      <c r="O494" s="444"/>
      <c r="P494" s="340"/>
      <c r="Q494" s="341"/>
      <c r="R494" s="336">
        <f>(R492-R491)/R492</f>
        <v>9.8728070175438554E-2</v>
      </c>
      <c r="S494" s="470"/>
      <c r="T494" s="339"/>
      <c r="U494" s="340"/>
      <c r="V494" s="470"/>
      <c r="W494" s="315"/>
    </row>
    <row r="495" spans="1:23" x14ac:dyDescent="0.2">
      <c r="A495" s="512">
        <v>43611</v>
      </c>
      <c r="B495" s="415" t="s">
        <v>57</v>
      </c>
      <c r="C495" s="410">
        <f>(C492-C491)/C491</f>
        <v>1.8145988997454648E-2</v>
      </c>
      <c r="D495" s="336"/>
      <c r="E495" s="336">
        <f>(E492-E491)/E491</f>
        <v>6.7530888188206392E-2</v>
      </c>
      <c r="F495" s="336">
        <f>(F492-F491)/F491</f>
        <v>6.3804914544901975E-2</v>
      </c>
      <c r="G495" s="336">
        <f>(G492-G491)/G491</f>
        <v>0.16839550273636972</v>
      </c>
      <c r="H495" s="336"/>
      <c r="I495" s="336"/>
      <c r="J495" s="338"/>
      <c r="K495" s="433"/>
      <c r="L495" s="336">
        <f>(L492-L491)/L491</f>
        <v>0.15963470418980588</v>
      </c>
      <c r="M495" s="465">
        <f>(M492-M491)/M491</f>
        <v>7.1797685427379299E-2</v>
      </c>
      <c r="N495" s="466">
        <f>(N492-N491)/N491</f>
        <v>6.1812665908229016E-2</v>
      </c>
      <c r="O495" s="444"/>
      <c r="P495" s="340"/>
      <c r="Q495" s="341"/>
      <c r="R495" s="336">
        <f>(R492-R491)/R491</f>
        <v>0.10954304345710249</v>
      </c>
      <c r="S495" s="470"/>
      <c r="T495" s="339"/>
      <c r="U495" s="340"/>
      <c r="V495" s="470"/>
      <c r="W495" s="315"/>
    </row>
    <row r="496" spans="1:23" ht="13.3" thickBot="1" x14ac:dyDescent="0.25">
      <c r="A496" s="512">
        <v>43611</v>
      </c>
      <c r="B496" s="418" t="s">
        <v>58</v>
      </c>
      <c r="C496" s="411">
        <f>C493/C487-1</f>
        <v>6.7567567567567988E-3</v>
      </c>
      <c r="D496" s="353"/>
      <c r="E496" s="353">
        <f>E493/E487-1</f>
        <v>6.4102564102563875E-3</v>
      </c>
      <c r="F496" s="353">
        <f>F493/F487-1</f>
        <v>5.9880239520957446E-3</v>
      </c>
      <c r="G496" s="353">
        <f>G493/G487-1</f>
        <v>5.3191489361701372E-3</v>
      </c>
      <c r="H496" s="353"/>
      <c r="I496" s="353"/>
      <c r="J496" s="355"/>
      <c r="K496" s="434"/>
      <c r="L496" s="353">
        <f>L493/L487-1</f>
        <v>5.1020408163264808E-3</v>
      </c>
      <c r="M496" s="467">
        <f>M493/M487-1</f>
        <v>5.9880239520957446E-3</v>
      </c>
      <c r="N496" s="292">
        <f>N493/N487-1</f>
        <v>5.9880239520957446E-3</v>
      </c>
      <c r="O496" s="445"/>
      <c r="P496" s="357"/>
      <c r="Q496" s="358"/>
      <c r="R496" s="353">
        <f>R493/R487-1</f>
        <v>5.494505494505475E-3</v>
      </c>
      <c r="S496" s="471"/>
      <c r="T496" s="356"/>
      <c r="U496" s="357"/>
      <c r="V496" s="471"/>
      <c r="W496" s="359"/>
    </row>
    <row r="497" spans="1:23" x14ac:dyDescent="0.2">
      <c r="A497" s="512">
        <v>43618</v>
      </c>
      <c r="B497" s="419" t="s">
        <v>53</v>
      </c>
      <c r="C497" s="408">
        <v>1593.69</v>
      </c>
      <c r="D497" s="347"/>
      <c r="E497" s="346">
        <v>1605.23</v>
      </c>
      <c r="F497" s="346">
        <v>1720.84</v>
      </c>
      <c r="G497" s="346">
        <v>1755.92</v>
      </c>
      <c r="H497" s="347"/>
      <c r="I497" s="347"/>
      <c r="J497" s="290"/>
      <c r="K497" s="431"/>
      <c r="L497" s="346">
        <v>1847.69</v>
      </c>
      <c r="M497" s="256">
        <v>1576.61</v>
      </c>
      <c r="N497" s="462">
        <v>1591.43</v>
      </c>
      <c r="O497" s="442"/>
      <c r="P497" s="348"/>
      <c r="Q497" s="349"/>
      <c r="R497" s="346">
        <v>1652.73</v>
      </c>
      <c r="S497" s="346"/>
      <c r="T497" s="290"/>
      <c r="U497" s="348"/>
      <c r="V497" s="347"/>
      <c r="W497" s="346">
        <v>1269.06</v>
      </c>
    </row>
    <row r="498" spans="1:23" x14ac:dyDescent="0.2">
      <c r="A498" s="512">
        <v>43618</v>
      </c>
      <c r="B498" s="415" t="s">
        <v>54</v>
      </c>
      <c r="C498" s="409">
        <v>1625</v>
      </c>
      <c r="D498" s="249"/>
      <c r="E498" s="250">
        <v>1716</v>
      </c>
      <c r="F498" s="250">
        <v>1833</v>
      </c>
      <c r="G498" s="250">
        <v>2054</v>
      </c>
      <c r="H498" s="249"/>
      <c r="I498" s="249"/>
      <c r="J498" s="330"/>
      <c r="K498" s="432"/>
      <c r="L498" s="250">
        <v>2145</v>
      </c>
      <c r="M498" s="463">
        <v>1692</v>
      </c>
      <c r="N498" s="464">
        <v>1692</v>
      </c>
      <c r="O498" s="446"/>
      <c r="P498" s="331"/>
      <c r="Q498" s="332"/>
      <c r="R498" s="250">
        <v>1836</v>
      </c>
      <c r="S498" s="496"/>
      <c r="T498" s="330"/>
      <c r="U498" s="334"/>
      <c r="V498" s="469"/>
      <c r="W498" s="315"/>
    </row>
    <row r="499" spans="1:23" x14ac:dyDescent="0.2">
      <c r="A499" s="512">
        <v>43618</v>
      </c>
      <c r="B499" s="415" t="s">
        <v>55</v>
      </c>
      <c r="C499" s="409">
        <v>1.5</v>
      </c>
      <c r="D499" s="249"/>
      <c r="E499" s="250">
        <v>1.58</v>
      </c>
      <c r="F499" s="250">
        <v>1.69</v>
      </c>
      <c r="G499" s="250">
        <v>1.9</v>
      </c>
      <c r="H499" s="249"/>
      <c r="I499" s="249"/>
      <c r="J499" s="330"/>
      <c r="K499" s="432"/>
      <c r="L499" s="250">
        <v>1.98</v>
      </c>
      <c r="M499" s="463">
        <v>1.69</v>
      </c>
      <c r="N499" s="464">
        <v>1.69</v>
      </c>
      <c r="O499" s="443"/>
      <c r="P499" s="334"/>
      <c r="Q499" s="335"/>
      <c r="R499" s="250">
        <v>1.84</v>
      </c>
      <c r="S499" s="469"/>
      <c r="T499" s="333"/>
      <c r="U499" s="334"/>
      <c r="V499" s="497"/>
      <c r="W499" s="315"/>
    </row>
    <row r="500" spans="1:23" x14ac:dyDescent="0.2">
      <c r="A500" s="512">
        <v>43618</v>
      </c>
      <c r="B500" s="415" t="s">
        <v>56</v>
      </c>
      <c r="C500" s="410">
        <f>(C498-C497)/C498</f>
        <v>1.9267692307692274E-2</v>
      </c>
      <c r="D500" s="336"/>
      <c r="E500" s="336">
        <f>(E498-E497)/E498</f>
        <v>6.4551282051282036E-2</v>
      </c>
      <c r="F500" s="336">
        <f>(F498-F497)/F498</f>
        <v>6.1189307146754003E-2</v>
      </c>
      <c r="G500" s="336">
        <f>(G498-G497)/G498</f>
        <v>0.14512171372930863</v>
      </c>
      <c r="H500" s="336"/>
      <c r="I500" s="336"/>
      <c r="J500" s="338"/>
      <c r="K500" s="433"/>
      <c r="L500" s="336">
        <f>(L498-L497)/L498</f>
        <v>0.13860606060606059</v>
      </c>
      <c r="M500" s="465">
        <f>(M498-M497)/M498</f>
        <v>6.8197399527186814E-2</v>
      </c>
      <c r="N500" s="466">
        <f>(N498-N497)/N498</f>
        <v>5.9438534278959773E-2</v>
      </c>
      <c r="O500" s="444"/>
      <c r="P500" s="340"/>
      <c r="Q500" s="341"/>
      <c r="R500" s="336">
        <f>(R498-R497)/R498</f>
        <v>9.9820261437908481E-2</v>
      </c>
      <c r="S500" s="470"/>
      <c r="T500" s="339"/>
      <c r="U500" s="340"/>
      <c r="V500" s="470"/>
      <c r="W500" s="315"/>
    </row>
    <row r="501" spans="1:23" x14ac:dyDescent="0.2">
      <c r="A501" s="512">
        <v>43618</v>
      </c>
      <c r="B501" s="415" t="s">
        <v>57</v>
      </c>
      <c r="C501" s="410">
        <f>(C498-C497)/C497</f>
        <v>1.9646229818848046E-2</v>
      </c>
      <c r="D501" s="336"/>
      <c r="E501" s="336">
        <f>(E498-E497)/E497</f>
        <v>6.9005687658466375E-2</v>
      </c>
      <c r="F501" s="336">
        <f>(F498-F497)/F497</f>
        <v>6.5177471467422934E-2</v>
      </c>
      <c r="G501" s="336">
        <f>(G498-G497)/G497</f>
        <v>0.16975716433550497</v>
      </c>
      <c r="H501" s="336"/>
      <c r="I501" s="336"/>
      <c r="J501" s="338"/>
      <c r="K501" s="433"/>
      <c r="L501" s="336">
        <f>(L498-L497)/L497</f>
        <v>0.16090902694716103</v>
      </c>
      <c r="M501" s="465">
        <f>(M498-M497)/M497</f>
        <v>7.3188676971476838E-2</v>
      </c>
      <c r="N501" s="466">
        <f>(N498-N497)/N497</f>
        <v>6.3194736809033342E-2</v>
      </c>
      <c r="O501" s="444"/>
      <c r="P501" s="340"/>
      <c r="Q501" s="341"/>
      <c r="R501" s="336">
        <f>(R498-R497)/R497</f>
        <v>0.11088925595832348</v>
      </c>
      <c r="S501" s="470"/>
      <c r="T501" s="339"/>
      <c r="U501" s="340"/>
      <c r="V501" s="470"/>
      <c r="W501" s="315"/>
    </row>
    <row r="502" spans="1:23" ht="13.3" thickBot="1" x14ac:dyDescent="0.25">
      <c r="A502" s="512">
        <v>43618</v>
      </c>
      <c r="B502" s="418" t="s">
        <v>58</v>
      </c>
      <c r="C502" s="411">
        <f>C499/C493-1</f>
        <v>6.7114093959732557E-3</v>
      </c>
      <c r="D502" s="353"/>
      <c r="E502" s="353">
        <f>E499/E493-1</f>
        <v>6.3694267515923553E-3</v>
      </c>
      <c r="F502" s="353">
        <f>F499/F493-1</f>
        <v>5.9523809523809312E-3</v>
      </c>
      <c r="G502" s="353">
        <f>G499/G493-1</f>
        <v>5.2910052910053462E-3</v>
      </c>
      <c r="H502" s="353"/>
      <c r="I502" s="353"/>
      <c r="J502" s="355"/>
      <c r="K502" s="434"/>
      <c r="L502" s="353">
        <f>L499/L493-1</f>
        <v>5.0761421319795996E-3</v>
      </c>
      <c r="M502" s="467">
        <f>M499/M493-1</f>
        <v>5.9523809523809312E-3</v>
      </c>
      <c r="N502" s="292">
        <f>N499/N493-1</f>
        <v>5.9523809523809312E-3</v>
      </c>
      <c r="O502" s="445"/>
      <c r="P502" s="357"/>
      <c r="Q502" s="358"/>
      <c r="R502" s="353">
        <f>R499/R493-1</f>
        <v>5.464480874316946E-3</v>
      </c>
      <c r="S502" s="471"/>
      <c r="T502" s="356"/>
      <c r="U502" s="357"/>
      <c r="V502" s="471"/>
      <c r="W502" s="359"/>
    </row>
    <row r="503" spans="1:23" x14ac:dyDescent="0.2">
      <c r="A503" s="512">
        <v>43625</v>
      </c>
      <c r="B503" s="419" t="s">
        <v>53</v>
      </c>
      <c r="C503" s="408">
        <v>1593.69</v>
      </c>
      <c r="D503" s="347"/>
      <c r="E503" s="346">
        <v>1605.23</v>
      </c>
      <c r="F503" s="346">
        <v>1710.84</v>
      </c>
      <c r="G503" s="346">
        <v>1755.92</v>
      </c>
      <c r="H503" s="347"/>
      <c r="I503" s="347"/>
      <c r="J503" s="290"/>
      <c r="K503" s="431"/>
      <c r="L503" s="346">
        <v>1847.69</v>
      </c>
      <c r="M503" s="256">
        <v>1567.46</v>
      </c>
      <c r="N503" s="462">
        <v>1582.2</v>
      </c>
      <c r="O503" s="442"/>
      <c r="P503" s="348"/>
      <c r="Q503" s="349"/>
      <c r="R503" s="346">
        <v>1652.73</v>
      </c>
      <c r="S503" s="346"/>
      <c r="T503" s="290"/>
      <c r="U503" s="348"/>
      <c r="V503" s="347"/>
      <c r="W503" s="346">
        <v>1269.06</v>
      </c>
    </row>
    <row r="504" spans="1:23" x14ac:dyDescent="0.2">
      <c r="A504" s="512">
        <v>43625</v>
      </c>
      <c r="B504" s="415" t="s">
        <v>54</v>
      </c>
      <c r="C504" s="409">
        <v>1625</v>
      </c>
      <c r="D504" s="249"/>
      <c r="E504" s="250">
        <v>1716</v>
      </c>
      <c r="F504" s="250">
        <v>1820</v>
      </c>
      <c r="G504" s="250">
        <v>2054</v>
      </c>
      <c r="H504" s="249"/>
      <c r="I504" s="249"/>
      <c r="J504" s="330"/>
      <c r="K504" s="432"/>
      <c r="L504" s="250">
        <v>2145</v>
      </c>
      <c r="M504" s="463">
        <v>1680</v>
      </c>
      <c r="N504" s="464">
        <v>1680</v>
      </c>
      <c r="O504" s="446"/>
      <c r="P504" s="331"/>
      <c r="Q504" s="332"/>
      <c r="R504" s="250">
        <v>1836</v>
      </c>
      <c r="S504" s="496"/>
      <c r="T504" s="330"/>
      <c r="U504" s="334"/>
      <c r="V504" s="469"/>
      <c r="W504" s="315"/>
    </row>
    <row r="505" spans="1:23" x14ac:dyDescent="0.2">
      <c r="A505" s="512">
        <v>43625</v>
      </c>
      <c r="B505" s="415" t="s">
        <v>55</v>
      </c>
      <c r="C505" s="409">
        <v>1.5</v>
      </c>
      <c r="D505" s="249"/>
      <c r="E505" s="250">
        <v>1.58</v>
      </c>
      <c r="F505" s="250">
        <v>1.68</v>
      </c>
      <c r="G505" s="250">
        <v>1.9</v>
      </c>
      <c r="H505" s="249"/>
      <c r="I505" s="249"/>
      <c r="J505" s="330"/>
      <c r="K505" s="432"/>
      <c r="L505" s="250">
        <v>1.98</v>
      </c>
      <c r="M505" s="463">
        <v>1.68</v>
      </c>
      <c r="N505" s="464">
        <v>1.68</v>
      </c>
      <c r="O505" s="443"/>
      <c r="P505" s="334"/>
      <c r="Q505" s="335"/>
      <c r="R505" s="250">
        <v>1.84</v>
      </c>
      <c r="S505" s="469"/>
      <c r="T505" s="333"/>
      <c r="U505" s="334"/>
      <c r="V505" s="497"/>
      <c r="W505" s="315"/>
    </row>
    <row r="506" spans="1:23" x14ac:dyDescent="0.2">
      <c r="A506" s="512">
        <v>43625</v>
      </c>
      <c r="B506" s="415" t="s">
        <v>56</v>
      </c>
      <c r="C506" s="410">
        <f>(C504-C503)/C504</f>
        <v>1.9267692307692274E-2</v>
      </c>
      <c r="D506" s="336"/>
      <c r="E506" s="336">
        <f>(E504-E503)/E504</f>
        <v>6.4551282051282036E-2</v>
      </c>
      <c r="F506" s="336">
        <f>(F504-F503)/F504</f>
        <v>5.9978021978022024E-2</v>
      </c>
      <c r="G506" s="336">
        <f>(G504-G503)/G504</f>
        <v>0.14512171372930863</v>
      </c>
      <c r="H506" s="336"/>
      <c r="I506" s="336"/>
      <c r="J506" s="338"/>
      <c r="K506" s="433"/>
      <c r="L506" s="336">
        <f>(L504-L503)/L504</f>
        <v>0.13860606060606059</v>
      </c>
      <c r="M506" s="465">
        <f>(M504-M503)/M504</f>
        <v>6.6988095238095222E-2</v>
      </c>
      <c r="N506" s="466">
        <f>(N504-N503)/N504</f>
        <v>5.8214285714285691E-2</v>
      </c>
      <c r="O506" s="444"/>
      <c r="P506" s="340"/>
      <c r="Q506" s="341"/>
      <c r="R506" s="336">
        <f>(R504-R503)/R504</f>
        <v>9.9820261437908481E-2</v>
      </c>
      <c r="S506" s="470"/>
      <c r="T506" s="339"/>
      <c r="U506" s="340"/>
      <c r="V506" s="470"/>
      <c r="W506" s="315"/>
    </row>
    <row r="507" spans="1:23" x14ac:dyDescent="0.2">
      <c r="A507" s="512">
        <v>43625</v>
      </c>
      <c r="B507" s="415" t="s">
        <v>57</v>
      </c>
      <c r="C507" s="410">
        <f>(C504-C503)/C503</f>
        <v>1.9646229818848046E-2</v>
      </c>
      <c r="D507" s="336"/>
      <c r="E507" s="336">
        <f>(E504-E503)/E503</f>
        <v>6.9005687658466375E-2</v>
      </c>
      <c r="F507" s="336">
        <f>(F504-F503)/F503</f>
        <v>6.3804914544901975E-2</v>
      </c>
      <c r="G507" s="336">
        <f>(G504-G503)/G503</f>
        <v>0.16975716433550497</v>
      </c>
      <c r="H507" s="336"/>
      <c r="I507" s="336"/>
      <c r="J507" s="338"/>
      <c r="K507" s="433"/>
      <c r="L507" s="336">
        <f>(L504-L503)/L503</f>
        <v>0.16090902694716103</v>
      </c>
      <c r="M507" s="465">
        <f>(M504-M503)/M503</f>
        <v>7.1797685427379299E-2</v>
      </c>
      <c r="N507" s="466">
        <f>(N504-N503)/N503</f>
        <v>6.1812665908229016E-2</v>
      </c>
      <c r="O507" s="444"/>
      <c r="P507" s="340"/>
      <c r="Q507" s="341"/>
      <c r="R507" s="336">
        <f>(R504-R503)/R503</f>
        <v>0.11088925595832348</v>
      </c>
      <c r="S507" s="470"/>
      <c r="T507" s="339"/>
      <c r="U507" s="340"/>
      <c r="V507" s="470"/>
      <c r="W507" s="315"/>
    </row>
    <row r="508" spans="1:23" ht="13.3" thickBot="1" x14ac:dyDescent="0.25">
      <c r="A508" s="512">
        <v>43625</v>
      </c>
      <c r="B508" s="418" t="s">
        <v>58</v>
      </c>
      <c r="C508" s="411">
        <f>C505/C499-1</f>
        <v>0</v>
      </c>
      <c r="D508" s="353"/>
      <c r="E508" s="353">
        <f>E505/E499-1</f>
        <v>0</v>
      </c>
      <c r="F508" s="353">
        <f>F505/F499-1</f>
        <v>-5.9171597633136397E-3</v>
      </c>
      <c r="G508" s="353">
        <f>G505/G499-1</f>
        <v>0</v>
      </c>
      <c r="H508" s="353"/>
      <c r="I508" s="353"/>
      <c r="J508" s="355"/>
      <c r="K508" s="434"/>
      <c r="L508" s="353">
        <f>L505/L499-1</f>
        <v>0</v>
      </c>
      <c r="M508" s="467">
        <f>M505/M499-1</f>
        <v>-5.9171597633136397E-3</v>
      </c>
      <c r="N508" s="292">
        <f>N505/N499-1</f>
        <v>-5.9171597633136397E-3</v>
      </c>
      <c r="O508" s="445"/>
      <c r="P508" s="357"/>
      <c r="Q508" s="358"/>
      <c r="R508" s="353">
        <f>R505/R499-1</f>
        <v>0</v>
      </c>
      <c r="S508" s="471"/>
      <c r="T508" s="356"/>
      <c r="U508" s="357"/>
      <c r="V508" s="471"/>
      <c r="W508" s="359"/>
    </row>
    <row r="509" spans="1:23" x14ac:dyDescent="0.2">
      <c r="A509" s="512">
        <v>43632</v>
      </c>
      <c r="B509" s="419" t="s">
        <v>53</v>
      </c>
      <c r="C509" s="408">
        <v>1583.27</v>
      </c>
      <c r="D509" s="347"/>
      <c r="E509" s="346">
        <v>1595.27</v>
      </c>
      <c r="F509" s="346">
        <v>1700.84</v>
      </c>
      <c r="G509" s="346">
        <v>1746.84</v>
      </c>
      <c r="H509" s="347"/>
      <c r="I509" s="347"/>
      <c r="J509" s="290"/>
      <c r="K509" s="431"/>
      <c r="L509" s="346">
        <v>1838.51</v>
      </c>
      <c r="M509" s="256">
        <v>1558.31</v>
      </c>
      <c r="N509" s="462">
        <v>1572.97</v>
      </c>
      <c r="O509" s="442"/>
      <c r="P509" s="348"/>
      <c r="Q509" s="349"/>
      <c r="R509" s="346">
        <v>1643.92</v>
      </c>
      <c r="S509" s="346"/>
      <c r="T509" s="290"/>
      <c r="U509" s="348"/>
      <c r="V509" s="347"/>
      <c r="W509" s="346">
        <v>1269.06</v>
      </c>
    </row>
    <row r="510" spans="1:23" x14ac:dyDescent="0.2">
      <c r="A510" s="512">
        <v>43632</v>
      </c>
      <c r="B510" s="415" t="s">
        <v>54</v>
      </c>
      <c r="C510" s="409">
        <v>1612</v>
      </c>
      <c r="D510" s="249"/>
      <c r="E510" s="250">
        <v>1703</v>
      </c>
      <c r="F510" s="250">
        <v>1807</v>
      </c>
      <c r="G510" s="250">
        <v>2041</v>
      </c>
      <c r="H510" s="249"/>
      <c r="I510" s="249"/>
      <c r="J510" s="330"/>
      <c r="K510" s="432"/>
      <c r="L510" s="250">
        <v>2132</v>
      </c>
      <c r="M510" s="463">
        <v>1668</v>
      </c>
      <c r="N510" s="464">
        <v>1668</v>
      </c>
      <c r="O510" s="446"/>
      <c r="P510" s="331"/>
      <c r="Q510" s="332"/>
      <c r="R510" s="250">
        <v>1824</v>
      </c>
      <c r="S510" s="496"/>
      <c r="T510" s="330"/>
      <c r="U510" s="334"/>
      <c r="V510" s="469"/>
      <c r="W510" s="315"/>
    </row>
    <row r="511" spans="1:23" x14ac:dyDescent="0.2">
      <c r="A511" s="512">
        <v>43632</v>
      </c>
      <c r="B511" s="415" t="s">
        <v>55</v>
      </c>
      <c r="C511" s="409">
        <v>1.49</v>
      </c>
      <c r="D511" s="249"/>
      <c r="E511" s="250">
        <v>1.57</v>
      </c>
      <c r="F511" s="250">
        <v>1.67</v>
      </c>
      <c r="G511" s="250">
        <v>1.89</v>
      </c>
      <c r="H511" s="249"/>
      <c r="I511" s="249"/>
      <c r="J511" s="330"/>
      <c r="K511" s="432"/>
      <c r="L511" s="250">
        <v>1.97</v>
      </c>
      <c r="M511" s="463">
        <v>1.67</v>
      </c>
      <c r="N511" s="464">
        <v>1.67</v>
      </c>
      <c r="O511" s="443"/>
      <c r="P511" s="334"/>
      <c r="Q511" s="335"/>
      <c r="R511" s="250">
        <v>1.83</v>
      </c>
      <c r="S511" s="469"/>
      <c r="T511" s="333"/>
      <c r="U511" s="334"/>
      <c r="V511" s="497"/>
      <c r="W511" s="315"/>
    </row>
    <row r="512" spans="1:23" x14ac:dyDescent="0.2">
      <c r="A512" s="512">
        <v>43632</v>
      </c>
      <c r="B512" s="415" t="s">
        <v>56</v>
      </c>
      <c r="C512" s="410">
        <f>(C510-C509)/C510</f>
        <v>1.78225806451613E-2</v>
      </c>
      <c r="D512" s="336"/>
      <c r="E512" s="336">
        <f>(E510-E509)/E510</f>
        <v>6.3258954785672353E-2</v>
      </c>
      <c r="F512" s="336">
        <f>(F510-F509)/F510</f>
        <v>5.8749308245711167E-2</v>
      </c>
      <c r="G512" s="336">
        <f>(G510-G509)/G510</f>
        <v>0.14412542871141601</v>
      </c>
      <c r="H512" s="336"/>
      <c r="I512" s="336"/>
      <c r="J512" s="338"/>
      <c r="K512" s="433"/>
      <c r="L512" s="336">
        <f>(L510-L509)/L510</f>
        <v>0.13765947467166981</v>
      </c>
      <c r="M512" s="465">
        <f>(M510-M509)/M510</f>
        <v>6.5761390887290203E-2</v>
      </c>
      <c r="N512" s="466">
        <f>(N510-N509)/N510</f>
        <v>5.6972422062350106E-2</v>
      </c>
      <c r="O512" s="444"/>
      <c r="P512" s="340"/>
      <c r="Q512" s="341"/>
      <c r="R512" s="336">
        <f>(R510-R509)/R510</f>
        <v>9.8728070175438554E-2</v>
      </c>
      <c r="S512" s="470"/>
      <c r="T512" s="339"/>
      <c r="U512" s="340"/>
      <c r="V512" s="470"/>
      <c r="W512" s="315"/>
    </row>
    <row r="513" spans="1:23" x14ac:dyDescent="0.2">
      <c r="A513" s="512">
        <v>43632</v>
      </c>
      <c r="B513" s="415" t="s">
        <v>57</v>
      </c>
      <c r="C513" s="410">
        <f>(C510-C509)/C509</f>
        <v>1.8145988997454648E-2</v>
      </c>
      <c r="D513" s="336"/>
      <c r="E513" s="336">
        <f>(E510-E509)/E509</f>
        <v>6.7530888188206392E-2</v>
      </c>
      <c r="F513" s="336">
        <f>(F510-F509)/F509</f>
        <v>6.2416217868817812E-2</v>
      </c>
      <c r="G513" s="336">
        <f>(G510-G509)/G509</f>
        <v>0.16839550273636972</v>
      </c>
      <c r="H513" s="336"/>
      <c r="I513" s="336"/>
      <c r="J513" s="338"/>
      <c r="K513" s="433"/>
      <c r="L513" s="336">
        <f>(L510-L509)/L509</f>
        <v>0.15963470418980588</v>
      </c>
      <c r="M513" s="465">
        <f>(M510-M509)/M509</f>
        <v>7.0390358786120905E-2</v>
      </c>
      <c r="N513" s="466">
        <f>(N510-N509)/N509</f>
        <v>6.0414375353630374E-2</v>
      </c>
      <c r="O513" s="444"/>
      <c r="P513" s="340"/>
      <c r="Q513" s="341"/>
      <c r="R513" s="336">
        <f>(R510-R509)/R509</f>
        <v>0.10954304345710249</v>
      </c>
      <c r="S513" s="470"/>
      <c r="T513" s="339"/>
      <c r="U513" s="340"/>
      <c r="V513" s="470"/>
      <c r="W513" s="315"/>
    </row>
    <row r="514" spans="1:23" ht="13.3" thickBot="1" x14ac:dyDescent="0.25">
      <c r="A514" s="512">
        <v>43632</v>
      </c>
      <c r="B514" s="418" t="s">
        <v>58</v>
      </c>
      <c r="C514" s="411">
        <f>C511/C505-1</f>
        <v>-6.6666666666667096E-3</v>
      </c>
      <c r="D514" s="353"/>
      <c r="E514" s="353">
        <f>E511/E505-1</f>
        <v>-6.3291139240506666E-3</v>
      </c>
      <c r="F514" s="353">
        <f>F511/F505-1</f>
        <v>-5.9523809523809312E-3</v>
      </c>
      <c r="G514" s="353">
        <f>G511/G505-1</f>
        <v>-5.2631578947368585E-3</v>
      </c>
      <c r="H514" s="353"/>
      <c r="I514" s="353"/>
      <c r="J514" s="355"/>
      <c r="K514" s="434"/>
      <c r="L514" s="353">
        <f>L511/L505-1</f>
        <v>-5.050505050505083E-3</v>
      </c>
      <c r="M514" s="467">
        <f>M511/M505-1</f>
        <v>-5.9523809523809312E-3</v>
      </c>
      <c r="N514" s="292">
        <f>N511/N505-1</f>
        <v>-5.9523809523809312E-3</v>
      </c>
      <c r="O514" s="445"/>
      <c r="P514" s="357"/>
      <c r="Q514" s="358"/>
      <c r="R514" s="353">
        <f>R511/R505-1</f>
        <v>-5.4347826086956763E-3</v>
      </c>
      <c r="S514" s="471"/>
      <c r="T514" s="356"/>
      <c r="U514" s="357"/>
      <c r="V514" s="471"/>
      <c r="W514" s="359"/>
    </row>
    <row r="515" spans="1:23" x14ac:dyDescent="0.2">
      <c r="A515" s="512">
        <v>43667</v>
      </c>
      <c r="B515" s="419" t="s">
        <v>53</v>
      </c>
      <c r="C515" s="408">
        <v>1572.85</v>
      </c>
      <c r="D515" s="347"/>
      <c r="E515" s="346">
        <v>1585.31</v>
      </c>
      <c r="F515" s="346">
        <v>1690.84</v>
      </c>
      <c r="G515" s="346">
        <v>1737.76</v>
      </c>
      <c r="H515" s="347"/>
      <c r="I515" s="347"/>
      <c r="J515" s="290"/>
      <c r="K515" s="431"/>
      <c r="L515" s="346">
        <v>1829.33</v>
      </c>
      <c r="M515" s="256">
        <v>1549.16</v>
      </c>
      <c r="N515" s="462">
        <v>1563.74</v>
      </c>
      <c r="O515" s="442"/>
      <c r="P515" s="348"/>
      <c r="Q515" s="349"/>
      <c r="R515" s="346">
        <v>1635.11</v>
      </c>
      <c r="S515" s="346"/>
      <c r="T515" s="290"/>
      <c r="U515" s="348"/>
      <c r="V515" s="347"/>
      <c r="W515" s="346">
        <v>1269.06</v>
      </c>
    </row>
    <row r="516" spans="1:23" x14ac:dyDescent="0.2">
      <c r="A516" s="512">
        <v>43667</v>
      </c>
      <c r="B516" s="415" t="s">
        <v>54</v>
      </c>
      <c r="C516" s="409">
        <v>1599</v>
      </c>
      <c r="D516" s="249"/>
      <c r="E516" s="250">
        <v>1690</v>
      </c>
      <c r="F516" s="250">
        <v>1794</v>
      </c>
      <c r="G516" s="250">
        <v>2041</v>
      </c>
      <c r="H516" s="249"/>
      <c r="I516" s="249"/>
      <c r="J516" s="330"/>
      <c r="K516" s="432"/>
      <c r="L516" s="250">
        <v>2119</v>
      </c>
      <c r="M516" s="463">
        <v>1656</v>
      </c>
      <c r="N516" s="464">
        <v>1656</v>
      </c>
      <c r="O516" s="446"/>
      <c r="P516" s="331"/>
      <c r="Q516" s="332"/>
      <c r="R516" s="250">
        <v>1824</v>
      </c>
      <c r="S516" s="496"/>
      <c r="T516" s="330"/>
      <c r="U516" s="334"/>
      <c r="V516" s="469"/>
      <c r="W516" s="315"/>
    </row>
    <row r="517" spans="1:23" x14ac:dyDescent="0.2">
      <c r="A517" s="512">
        <v>43667</v>
      </c>
      <c r="B517" s="415" t="s">
        <v>55</v>
      </c>
      <c r="C517" s="409">
        <v>1.48</v>
      </c>
      <c r="D517" s="249"/>
      <c r="E517" s="250">
        <v>1.56</v>
      </c>
      <c r="F517" s="250">
        <v>1.66</v>
      </c>
      <c r="G517" s="250">
        <v>1.88</v>
      </c>
      <c r="H517" s="249"/>
      <c r="I517" s="249"/>
      <c r="J517" s="330"/>
      <c r="K517" s="432"/>
      <c r="L517" s="250">
        <v>1.96</v>
      </c>
      <c r="M517" s="463">
        <v>1.66</v>
      </c>
      <c r="N517" s="464">
        <v>1.66</v>
      </c>
      <c r="O517" s="443"/>
      <c r="P517" s="334"/>
      <c r="Q517" s="335"/>
      <c r="R517" s="250">
        <v>1.82</v>
      </c>
      <c r="S517" s="469"/>
      <c r="T517" s="333"/>
      <c r="U517" s="334"/>
      <c r="V517" s="497"/>
      <c r="W517" s="315"/>
    </row>
    <row r="518" spans="1:23" x14ac:dyDescent="0.2">
      <c r="A518" s="512">
        <v>43667</v>
      </c>
      <c r="B518" s="415" t="s">
        <v>56</v>
      </c>
      <c r="C518" s="410">
        <f>(C516-C515)/C516</f>
        <v>1.6353971232020068E-2</v>
      </c>
      <c r="D518" s="336"/>
      <c r="E518" s="336">
        <f>(E516-E515)/E516</f>
        <v>6.1946745562130208E-2</v>
      </c>
      <c r="F518" s="336">
        <f>(F516-F515)/F516</f>
        <v>5.7502787068004504E-2</v>
      </c>
      <c r="G518" s="336">
        <f>(G516-G515)/G516</f>
        <v>0.14857422831945125</v>
      </c>
      <c r="H518" s="336"/>
      <c r="I518" s="336"/>
      <c r="J518" s="338"/>
      <c r="K518" s="433"/>
      <c r="L518" s="336">
        <f>(L516-L515)/L516</f>
        <v>0.13670127418593681</v>
      </c>
      <c r="M518" s="465">
        <f>(M516-M515)/M516</f>
        <v>6.4516908212560342E-2</v>
      </c>
      <c r="N518" s="466">
        <f>(N516-N515)/N516</f>
        <v>5.5712560386473424E-2</v>
      </c>
      <c r="O518" s="444"/>
      <c r="P518" s="340"/>
      <c r="Q518" s="341"/>
      <c r="R518" s="336">
        <f>(R516-R515)/R516</f>
        <v>0.10355811403508777</v>
      </c>
      <c r="S518" s="470"/>
      <c r="T518" s="339"/>
      <c r="U518" s="340"/>
      <c r="V518" s="470"/>
      <c r="W518" s="315"/>
    </row>
    <row r="519" spans="1:23" x14ac:dyDescent="0.2">
      <c r="A519" s="512">
        <v>43667</v>
      </c>
      <c r="B519" s="415" t="s">
        <v>57</v>
      </c>
      <c r="C519" s="410">
        <f>(C516-C515)/C515</f>
        <v>1.6625870235559712E-2</v>
      </c>
      <c r="D519" s="336"/>
      <c r="E519" s="336">
        <f>(E516-E515)/E515</f>
        <v>6.6037557323173429E-2</v>
      </c>
      <c r="F519" s="336">
        <f>(F516-F515)/F515</f>
        <v>6.1011095077003197E-2</v>
      </c>
      <c r="G519" s="336">
        <f>(G516-G515)/G515</f>
        <v>0.17450050639904247</v>
      </c>
      <c r="H519" s="336"/>
      <c r="I519" s="336"/>
      <c r="J519" s="338"/>
      <c r="K519" s="433"/>
      <c r="L519" s="336">
        <f>(L516-L515)/L515</f>
        <v>0.15834759174123864</v>
      </c>
      <c r="M519" s="465">
        <f>(M516-M515)/M515</f>
        <v>6.896640760153884E-2</v>
      </c>
      <c r="N519" s="466">
        <f>(N516-N515)/N515</f>
        <v>5.8999577934950816E-2</v>
      </c>
      <c r="O519" s="444"/>
      <c r="P519" s="340"/>
      <c r="Q519" s="341"/>
      <c r="R519" s="336">
        <f>(R516-R515)/R515</f>
        <v>0.11552127991388965</v>
      </c>
      <c r="S519" s="470"/>
      <c r="T519" s="339"/>
      <c r="U519" s="340"/>
      <c r="V519" s="470"/>
      <c r="W519" s="315"/>
    </row>
    <row r="520" spans="1:23" ht="13.3" thickBot="1" x14ac:dyDescent="0.25">
      <c r="A520" s="512">
        <v>43667</v>
      </c>
      <c r="B520" s="418" t="s">
        <v>58</v>
      </c>
      <c r="C520" s="411">
        <f>C517/C511-1</f>
        <v>-6.7114093959731447E-3</v>
      </c>
      <c r="D520" s="353"/>
      <c r="E520" s="353">
        <f>E517/E511-1</f>
        <v>-6.3694267515923553E-3</v>
      </c>
      <c r="F520" s="353">
        <f>F517/F511-1</f>
        <v>-5.9880239520958556E-3</v>
      </c>
      <c r="G520" s="353">
        <f>G517/G511-1</f>
        <v>-5.2910052910053462E-3</v>
      </c>
      <c r="H520" s="353"/>
      <c r="I520" s="353"/>
      <c r="J520" s="355"/>
      <c r="K520" s="434"/>
      <c r="L520" s="353">
        <f>L517/L511-1</f>
        <v>-5.0761421319797106E-3</v>
      </c>
      <c r="M520" s="467">
        <f>M517/M511-1</f>
        <v>-5.9880239520958556E-3</v>
      </c>
      <c r="N520" s="292">
        <f>N517/N511-1</f>
        <v>-5.9880239520958556E-3</v>
      </c>
      <c r="O520" s="445"/>
      <c r="P520" s="357"/>
      <c r="Q520" s="358"/>
      <c r="R520" s="353">
        <f>R517/R511-1</f>
        <v>-5.464480874316946E-3</v>
      </c>
      <c r="S520" s="471"/>
      <c r="T520" s="356"/>
      <c r="U520" s="357"/>
      <c r="V520" s="471"/>
      <c r="W520" s="359"/>
    </row>
    <row r="521" spans="1:23" x14ac:dyDescent="0.2">
      <c r="A521" s="512">
        <v>43688</v>
      </c>
      <c r="B521" s="419" t="s">
        <v>53</v>
      </c>
      <c r="C521" s="408">
        <v>1562.43</v>
      </c>
      <c r="D521" s="347"/>
      <c r="E521" s="346">
        <v>1575.35</v>
      </c>
      <c r="F521" s="346">
        <v>1680.84</v>
      </c>
      <c r="G521" s="346">
        <v>1728.68</v>
      </c>
      <c r="H521" s="347"/>
      <c r="I521" s="347"/>
      <c r="J521" s="290"/>
      <c r="K521" s="431"/>
      <c r="L521" s="346">
        <v>1820.15</v>
      </c>
      <c r="M521" s="256">
        <v>1540.01</v>
      </c>
      <c r="N521" s="462">
        <v>1554.51</v>
      </c>
      <c r="O521" s="442"/>
      <c r="P521" s="348"/>
      <c r="Q521" s="349"/>
      <c r="R521" s="346">
        <v>1626.3</v>
      </c>
      <c r="S521" s="346"/>
      <c r="T521" s="290"/>
      <c r="U521" s="348"/>
      <c r="V521" s="347"/>
      <c r="W521" s="346">
        <v>1269.06</v>
      </c>
    </row>
    <row r="522" spans="1:23" x14ac:dyDescent="0.2">
      <c r="A522" s="512">
        <v>43688</v>
      </c>
      <c r="B522" s="415" t="s">
        <v>54</v>
      </c>
      <c r="C522" s="409">
        <v>1586</v>
      </c>
      <c r="D522" s="249"/>
      <c r="E522" s="250">
        <v>1677</v>
      </c>
      <c r="F522" s="250">
        <v>1781</v>
      </c>
      <c r="G522" s="250">
        <v>2028</v>
      </c>
      <c r="H522" s="249"/>
      <c r="I522" s="249"/>
      <c r="J522" s="330"/>
      <c r="K522" s="432"/>
      <c r="L522" s="250">
        <v>2106</v>
      </c>
      <c r="M522" s="463">
        <v>1644</v>
      </c>
      <c r="N522" s="464">
        <v>1644</v>
      </c>
      <c r="O522" s="446"/>
      <c r="P522" s="331"/>
      <c r="Q522" s="332"/>
      <c r="R522" s="250">
        <v>1812</v>
      </c>
      <c r="S522" s="496"/>
      <c r="T522" s="330"/>
      <c r="U522" s="334"/>
      <c r="V522" s="469"/>
      <c r="W522" s="315"/>
    </row>
    <row r="523" spans="1:23" x14ac:dyDescent="0.2">
      <c r="A523" s="512">
        <v>43688</v>
      </c>
      <c r="B523" s="415" t="s">
        <v>55</v>
      </c>
      <c r="C523" s="409">
        <v>1.47</v>
      </c>
      <c r="D523" s="249"/>
      <c r="E523" s="250">
        <v>1.55</v>
      </c>
      <c r="F523" s="250">
        <v>1.65</v>
      </c>
      <c r="G523" s="250">
        <v>1.87</v>
      </c>
      <c r="H523" s="249"/>
      <c r="I523" s="249"/>
      <c r="J523" s="330"/>
      <c r="K523" s="432"/>
      <c r="L523" s="250">
        <v>1.95</v>
      </c>
      <c r="M523" s="463">
        <v>1.65</v>
      </c>
      <c r="N523" s="464">
        <v>1.65</v>
      </c>
      <c r="O523" s="443"/>
      <c r="P523" s="334"/>
      <c r="Q523" s="335"/>
      <c r="R523" s="250">
        <v>1.81</v>
      </c>
      <c r="S523" s="469"/>
      <c r="T523" s="333"/>
      <c r="U523" s="334"/>
      <c r="V523" s="497"/>
      <c r="W523" s="315"/>
    </row>
    <row r="524" spans="1:23" x14ac:dyDescent="0.2">
      <c r="A524" s="512">
        <v>43688</v>
      </c>
      <c r="B524" s="415" t="s">
        <v>56</v>
      </c>
      <c r="C524" s="410">
        <f>(C522-C521)/C522</f>
        <v>1.4861286254728838E-2</v>
      </c>
      <c r="D524" s="336"/>
      <c r="E524" s="336">
        <f>(E522-E521)/E522</f>
        <v>6.06141920095409E-2</v>
      </c>
      <c r="F524" s="336">
        <f>(F522-F521)/F522</f>
        <v>5.6238068500842273E-2</v>
      </c>
      <c r="G524" s="336">
        <f>(G522-G521)/G522</f>
        <v>0.14759368836291911</v>
      </c>
      <c r="H524" s="336"/>
      <c r="I524" s="336"/>
      <c r="J524" s="338"/>
      <c r="K524" s="433"/>
      <c r="L524" s="336">
        <f>(L522-L521)/L522</f>
        <v>0.13573124406457734</v>
      </c>
      <c r="M524" s="465">
        <f>(M522-M521)/M522</f>
        <v>6.3254257907542591E-2</v>
      </c>
      <c r="N524" s="466">
        <f>(N522-N521)/N522</f>
        <v>5.4434306569343074E-2</v>
      </c>
      <c r="O524" s="444"/>
      <c r="P524" s="340"/>
      <c r="Q524" s="341"/>
      <c r="R524" s="336">
        <f>(R522-R521)/R522</f>
        <v>0.10248344370860929</v>
      </c>
      <c r="S524" s="470"/>
      <c r="T524" s="339"/>
      <c r="U524" s="340"/>
      <c r="V524" s="470"/>
      <c r="W524" s="315"/>
    </row>
    <row r="525" spans="1:23" x14ac:dyDescent="0.2">
      <c r="A525" s="512">
        <v>43688</v>
      </c>
      <c r="B525" s="415" t="s">
        <v>57</v>
      </c>
      <c r="C525" s="410">
        <f>(C522-C521)/C521</f>
        <v>1.5085475829317112E-2</v>
      </c>
      <c r="D525" s="336"/>
      <c r="E525" s="336">
        <f>(E522-E521)/E521</f>
        <v>6.4525343574443839E-2</v>
      </c>
      <c r="F525" s="336">
        <f>(F522-F521)/F521</f>
        <v>5.9589252992551398E-2</v>
      </c>
      <c r="G525" s="336">
        <f>(G522-G521)/G521</f>
        <v>0.17314945507554894</v>
      </c>
      <c r="H525" s="336"/>
      <c r="I525" s="336"/>
      <c r="J525" s="338"/>
      <c r="K525" s="433"/>
      <c r="L525" s="336">
        <f>(L522-L521)/L521</f>
        <v>0.1570474960854874</v>
      </c>
      <c r="M525" s="465">
        <f>(M522-M521)/M521</f>
        <v>6.7525535548470475E-2</v>
      </c>
      <c r="N525" s="466">
        <f>(N522-N521)/N521</f>
        <v>5.7567979620587843E-2</v>
      </c>
      <c r="O525" s="444"/>
      <c r="P525" s="340"/>
      <c r="Q525" s="341"/>
      <c r="R525" s="336">
        <f>(R522-R521)/R521</f>
        <v>0.11418557461722932</v>
      </c>
      <c r="S525" s="470"/>
      <c r="T525" s="339"/>
      <c r="U525" s="340"/>
      <c r="V525" s="470"/>
      <c r="W525" s="315"/>
    </row>
    <row r="526" spans="1:23" ht="13.3" thickBot="1" x14ac:dyDescent="0.25">
      <c r="A526" s="512">
        <v>43688</v>
      </c>
      <c r="B526" s="418" t="s">
        <v>58</v>
      </c>
      <c r="C526" s="411">
        <f>C523/C517-1</f>
        <v>-6.7567567567567988E-3</v>
      </c>
      <c r="D526" s="353"/>
      <c r="E526" s="353">
        <f>E523/E517-1</f>
        <v>-6.4102564102563875E-3</v>
      </c>
      <c r="F526" s="353">
        <f>F523/F517-1</f>
        <v>-6.0240963855421326E-3</v>
      </c>
      <c r="G526" s="353">
        <f>G523/G517-1</f>
        <v>-5.3191489361701372E-3</v>
      </c>
      <c r="H526" s="353"/>
      <c r="I526" s="353"/>
      <c r="J526" s="355"/>
      <c r="K526" s="434"/>
      <c r="L526" s="353">
        <f>L523/L517-1</f>
        <v>-5.1020408163264808E-3</v>
      </c>
      <c r="M526" s="467">
        <f>M523/M517-1</f>
        <v>-6.0240963855421326E-3</v>
      </c>
      <c r="N526" s="292">
        <f>N523/N517-1</f>
        <v>-6.0240963855421326E-3</v>
      </c>
      <c r="O526" s="445"/>
      <c r="P526" s="357"/>
      <c r="Q526" s="358"/>
      <c r="R526" s="353">
        <f>R523/R517-1</f>
        <v>-5.494505494505475E-3</v>
      </c>
      <c r="S526" s="471"/>
      <c r="T526" s="356"/>
      <c r="U526" s="357"/>
      <c r="V526" s="471"/>
      <c r="W526" s="359"/>
    </row>
    <row r="527" spans="1:23" x14ac:dyDescent="0.2">
      <c r="A527" s="512">
        <v>43723</v>
      </c>
      <c r="B527" s="419" t="s">
        <v>53</v>
      </c>
      <c r="C527" s="408">
        <v>1572.85</v>
      </c>
      <c r="D527" s="347"/>
      <c r="E527" s="346">
        <v>1585.31</v>
      </c>
      <c r="F527" s="346">
        <v>1690.84</v>
      </c>
      <c r="G527" s="346">
        <v>1737.76</v>
      </c>
      <c r="H527" s="347"/>
      <c r="I527" s="347"/>
      <c r="J527" s="290"/>
      <c r="K527" s="431"/>
      <c r="L527" s="346">
        <v>1829.33</v>
      </c>
      <c r="M527" s="256">
        <v>1549.16</v>
      </c>
      <c r="N527" s="462">
        <v>1563.74</v>
      </c>
      <c r="O527" s="442"/>
      <c r="P527" s="348"/>
      <c r="Q527" s="349"/>
      <c r="R527" s="346">
        <v>1635.11</v>
      </c>
      <c r="S527" s="346"/>
      <c r="T527" s="290"/>
      <c r="U527" s="348"/>
      <c r="V527" s="347"/>
      <c r="W527" s="346">
        <v>1269.06</v>
      </c>
    </row>
    <row r="528" spans="1:23" x14ac:dyDescent="0.2">
      <c r="A528" s="512">
        <v>43723</v>
      </c>
      <c r="B528" s="415" t="s">
        <v>54</v>
      </c>
      <c r="C528" s="409">
        <v>1599</v>
      </c>
      <c r="D528" s="249"/>
      <c r="E528" s="250">
        <v>1690</v>
      </c>
      <c r="F528" s="250">
        <v>1794</v>
      </c>
      <c r="G528" s="250">
        <v>2041</v>
      </c>
      <c r="H528" s="249"/>
      <c r="I528" s="249"/>
      <c r="J528" s="330"/>
      <c r="K528" s="432"/>
      <c r="L528" s="250">
        <v>2119</v>
      </c>
      <c r="M528" s="463">
        <v>1656</v>
      </c>
      <c r="N528" s="464">
        <v>1656</v>
      </c>
      <c r="O528" s="446"/>
      <c r="P528" s="331"/>
      <c r="Q528" s="332"/>
      <c r="R528" s="250">
        <v>1824</v>
      </c>
      <c r="S528" s="496"/>
      <c r="T528" s="330"/>
      <c r="U528" s="334"/>
      <c r="V528" s="469"/>
      <c r="W528" s="315"/>
    </row>
    <row r="529" spans="1:23" x14ac:dyDescent="0.2">
      <c r="A529" s="512">
        <v>43723</v>
      </c>
      <c r="B529" s="415" t="s">
        <v>55</v>
      </c>
      <c r="C529" s="409">
        <v>1.48</v>
      </c>
      <c r="D529" s="249"/>
      <c r="E529" s="250">
        <v>1.56</v>
      </c>
      <c r="F529" s="250">
        <v>1.66</v>
      </c>
      <c r="G529" s="250">
        <v>1.88</v>
      </c>
      <c r="H529" s="249"/>
      <c r="I529" s="249"/>
      <c r="J529" s="330"/>
      <c r="K529" s="432"/>
      <c r="L529" s="250">
        <v>1.96</v>
      </c>
      <c r="M529" s="463">
        <v>1.66</v>
      </c>
      <c r="N529" s="464">
        <v>1.66</v>
      </c>
      <c r="O529" s="443"/>
      <c r="P529" s="334"/>
      <c r="Q529" s="335"/>
      <c r="R529" s="250">
        <v>1.82</v>
      </c>
      <c r="S529" s="469"/>
      <c r="T529" s="333"/>
      <c r="U529" s="334"/>
      <c r="V529" s="497"/>
      <c r="W529" s="315"/>
    </row>
    <row r="530" spans="1:23" x14ac:dyDescent="0.2">
      <c r="A530" s="512">
        <v>43723</v>
      </c>
      <c r="B530" s="415" t="s">
        <v>56</v>
      </c>
      <c r="C530" s="410">
        <f>(C528-C527)/C528</f>
        <v>1.6353971232020068E-2</v>
      </c>
      <c r="D530" s="336"/>
      <c r="E530" s="336">
        <f>(E528-E527)/E528</f>
        <v>6.1946745562130208E-2</v>
      </c>
      <c r="F530" s="336">
        <f>(F528-F527)/F528</f>
        <v>5.7502787068004504E-2</v>
      </c>
      <c r="G530" s="336">
        <f>(G528-G527)/G528</f>
        <v>0.14857422831945125</v>
      </c>
      <c r="H530" s="336"/>
      <c r="I530" s="336"/>
      <c r="J530" s="338"/>
      <c r="K530" s="433"/>
      <c r="L530" s="336">
        <f>(L528-L527)/L528</f>
        <v>0.13670127418593681</v>
      </c>
      <c r="M530" s="465">
        <f>(M528-M527)/M528</f>
        <v>6.4516908212560342E-2</v>
      </c>
      <c r="N530" s="466">
        <f>(N528-N527)/N528</f>
        <v>5.5712560386473424E-2</v>
      </c>
      <c r="O530" s="444"/>
      <c r="P530" s="340"/>
      <c r="Q530" s="341"/>
      <c r="R530" s="336">
        <f>(R528-R527)/R528</f>
        <v>0.10355811403508777</v>
      </c>
      <c r="S530" s="470"/>
      <c r="T530" s="339"/>
      <c r="U530" s="340"/>
      <c r="V530" s="470"/>
      <c r="W530" s="315"/>
    </row>
    <row r="531" spans="1:23" x14ac:dyDescent="0.2">
      <c r="A531" s="512">
        <v>43723</v>
      </c>
      <c r="B531" s="415" t="s">
        <v>57</v>
      </c>
      <c r="C531" s="410">
        <f>(C528-C527)/C527</f>
        <v>1.6625870235559712E-2</v>
      </c>
      <c r="D531" s="336"/>
      <c r="E531" s="336">
        <f>(E528-E527)/E527</f>
        <v>6.6037557323173429E-2</v>
      </c>
      <c r="F531" s="336">
        <f>(F528-F527)/F527</f>
        <v>6.1011095077003197E-2</v>
      </c>
      <c r="G531" s="336">
        <f>(G528-G527)/G527</f>
        <v>0.17450050639904247</v>
      </c>
      <c r="H531" s="336"/>
      <c r="I531" s="336"/>
      <c r="J531" s="338"/>
      <c r="K531" s="433"/>
      <c r="L531" s="336">
        <f>(L528-L527)/L527</f>
        <v>0.15834759174123864</v>
      </c>
      <c r="M531" s="465">
        <f>(M528-M527)/M527</f>
        <v>6.896640760153884E-2</v>
      </c>
      <c r="N531" s="466">
        <f>(N528-N527)/N527</f>
        <v>5.8999577934950816E-2</v>
      </c>
      <c r="O531" s="444"/>
      <c r="P531" s="340"/>
      <c r="Q531" s="341"/>
      <c r="R531" s="336">
        <f>(R528-R527)/R527</f>
        <v>0.11552127991388965</v>
      </c>
      <c r="S531" s="470"/>
      <c r="T531" s="339"/>
      <c r="U531" s="340"/>
      <c r="V531" s="470"/>
      <c r="W531" s="315"/>
    </row>
    <row r="532" spans="1:23" ht="13.3" thickBot="1" x14ac:dyDescent="0.25">
      <c r="A532" s="512">
        <v>43723</v>
      </c>
      <c r="B532" s="418" t="s">
        <v>58</v>
      </c>
      <c r="C532" s="411">
        <f>C529/C523-1</f>
        <v>6.8027210884353817E-3</v>
      </c>
      <c r="D532" s="353"/>
      <c r="E532" s="353">
        <f>E529/E523-1</f>
        <v>6.4516129032257119E-3</v>
      </c>
      <c r="F532" s="353">
        <f>F529/F523-1</f>
        <v>6.0606060606060996E-3</v>
      </c>
      <c r="G532" s="353">
        <f>G529/G523-1</f>
        <v>5.3475935828874999E-3</v>
      </c>
      <c r="H532" s="353"/>
      <c r="I532" s="353"/>
      <c r="J532" s="355"/>
      <c r="K532" s="434"/>
      <c r="L532" s="353">
        <f>L529/L523-1</f>
        <v>5.12820512820511E-3</v>
      </c>
      <c r="M532" s="467">
        <f>M529/M523-1</f>
        <v>6.0606060606060996E-3</v>
      </c>
      <c r="N532" s="292">
        <f>N529/N523-1</f>
        <v>6.0606060606060996E-3</v>
      </c>
      <c r="O532" s="445"/>
      <c r="P532" s="357"/>
      <c r="Q532" s="358"/>
      <c r="R532" s="353">
        <f>R529/R523-1</f>
        <v>5.5248618784531356E-3</v>
      </c>
      <c r="S532" s="471"/>
      <c r="T532" s="356"/>
      <c r="U532" s="357"/>
      <c r="V532" s="471"/>
      <c r="W532" s="359"/>
    </row>
    <row r="533" spans="1:23" x14ac:dyDescent="0.2">
      <c r="A533" s="512">
        <v>43730</v>
      </c>
      <c r="B533" s="419" t="s">
        <v>53</v>
      </c>
      <c r="C533" s="408">
        <v>1583.27</v>
      </c>
      <c r="D533" s="347"/>
      <c r="E533" s="346">
        <v>1595.27</v>
      </c>
      <c r="F533" s="346">
        <v>1700.84</v>
      </c>
      <c r="G533" s="346">
        <v>1746.84</v>
      </c>
      <c r="H533" s="347"/>
      <c r="I533" s="347"/>
      <c r="J533" s="290"/>
      <c r="K533" s="431"/>
      <c r="L533" s="346">
        <v>1838.51</v>
      </c>
      <c r="M533" s="256">
        <v>1558.31</v>
      </c>
      <c r="N533" s="462">
        <v>1572.97</v>
      </c>
      <c r="O533" s="442"/>
      <c r="P533" s="348"/>
      <c r="Q533" s="349"/>
      <c r="R533" s="346">
        <v>1643.92</v>
      </c>
      <c r="S533" s="346"/>
      <c r="T533" s="290"/>
      <c r="U533" s="348"/>
      <c r="V533" s="347"/>
      <c r="W533" s="346">
        <v>1269.06</v>
      </c>
    </row>
    <row r="534" spans="1:23" x14ac:dyDescent="0.2">
      <c r="A534" s="512">
        <v>43730</v>
      </c>
      <c r="B534" s="415" t="s">
        <v>54</v>
      </c>
      <c r="C534" s="409">
        <v>1612</v>
      </c>
      <c r="D534" s="249"/>
      <c r="E534" s="250">
        <v>1703</v>
      </c>
      <c r="F534" s="250">
        <v>1807</v>
      </c>
      <c r="G534" s="250">
        <v>2041</v>
      </c>
      <c r="H534" s="249"/>
      <c r="I534" s="249"/>
      <c r="J534" s="330"/>
      <c r="K534" s="432"/>
      <c r="L534" s="250">
        <v>2132</v>
      </c>
      <c r="M534" s="463">
        <v>1668</v>
      </c>
      <c r="N534" s="464">
        <v>1668</v>
      </c>
      <c r="O534" s="446"/>
      <c r="P534" s="331"/>
      <c r="Q534" s="332"/>
      <c r="R534" s="250">
        <v>1824</v>
      </c>
      <c r="S534" s="496"/>
      <c r="T534" s="330"/>
      <c r="U534" s="334"/>
      <c r="V534" s="469"/>
      <c r="W534" s="315"/>
    </row>
    <row r="535" spans="1:23" x14ac:dyDescent="0.2">
      <c r="A535" s="512">
        <v>43730</v>
      </c>
      <c r="B535" s="415" t="s">
        <v>55</v>
      </c>
      <c r="C535" s="409">
        <v>1.49</v>
      </c>
      <c r="D535" s="249"/>
      <c r="E535" s="250">
        <v>1.57</v>
      </c>
      <c r="F535" s="250">
        <v>1.67</v>
      </c>
      <c r="G535" s="250">
        <v>1.89</v>
      </c>
      <c r="H535" s="249"/>
      <c r="I535" s="249"/>
      <c r="J535" s="330"/>
      <c r="K535" s="432"/>
      <c r="L535" s="250">
        <v>1.97</v>
      </c>
      <c r="M535" s="463">
        <v>1.67</v>
      </c>
      <c r="N535" s="464">
        <v>1.67</v>
      </c>
      <c r="O535" s="443"/>
      <c r="P535" s="334"/>
      <c r="Q535" s="335"/>
      <c r="R535" s="250">
        <v>1.83</v>
      </c>
      <c r="S535" s="469"/>
      <c r="T535" s="333"/>
      <c r="U535" s="334"/>
      <c r="V535" s="497"/>
      <c r="W535" s="315"/>
    </row>
    <row r="536" spans="1:23" x14ac:dyDescent="0.2">
      <c r="A536" s="512">
        <v>43730</v>
      </c>
      <c r="B536" s="415" t="s">
        <v>56</v>
      </c>
      <c r="C536" s="410">
        <f>(C534-C533)/C534</f>
        <v>1.78225806451613E-2</v>
      </c>
      <c r="D536" s="336"/>
      <c r="E536" s="336">
        <f>(E534-E533)/E534</f>
        <v>6.3258954785672353E-2</v>
      </c>
      <c r="F536" s="336">
        <f>(F534-F533)/F534</f>
        <v>5.8749308245711167E-2</v>
      </c>
      <c r="G536" s="336">
        <f>(G534-G533)/G534</f>
        <v>0.14412542871141601</v>
      </c>
      <c r="H536" s="336"/>
      <c r="I536" s="336"/>
      <c r="J536" s="338"/>
      <c r="K536" s="433"/>
      <c r="L536" s="336">
        <f>(L534-L533)/L534</f>
        <v>0.13765947467166981</v>
      </c>
      <c r="M536" s="465">
        <f>(M534-M533)/M534</f>
        <v>6.5761390887290203E-2</v>
      </c>
      <c r="N536" s="466">
        <f>(N534-N533)/N534</f>
        <v>5.6972422062350106E-2</v>
      </c>
      <c r="O536" s="444"/>
      <c r="P536" s="340"/>
      <c r="Q536" s="341"/>
      <c r="R536" s="336">
        <f>(R534-R533)/R534</f>
        <v>9.8728070175438554E-2</v>
      </c>
      <c r="S536" s="470"/>
      <c r="T536" s="339"/>
      <c r="U536" s="340"/>
      <c r="V536" s="470"/>
      <c r="W536" s="315"/>
    </row>
    <row r="537" spans="1:23" x14ac:dyDescent="0.2">
      <c r="A537" s="512">
        <v>43730</v>
      </c>
      <c r="B537" s="415" t="s">
        <v>57</v>
      </c>
      <c r="C537" s="410">
        <f>(C534-C533)/C533</f>
        <v>1.8145988997454648E-2</v>
      </c>
      <c r="D537" s="336"/>
      <c r="E537" s="336">
        <f>(E534-E533)/E533</f>
        <v>6.7530888188206392E-2</v>
      </c>
      <c r="F537" s="336">
        <f>(F534-F533)/F533</f>
        <v>6.2416217868817812E-2</v>
      </c>
      <c r="G537" s="336">
        <f>(G534-G533)/G533</f>
        <v>0.16839550273636972</v>
      </c>
      <c r="H537" s="336"/>
      <c r="I537" s="336"/>
      <c r="J537" s="338"/>
      <c r="K537" s="433"/>
      <c r="L537" s="336">
        <f>(L534-L533)/L533</f>
        <v>0.15963470418980588</v>
      </c>
      <c r="M537" s="465">
        <f>(M534-M533)/M533</f>
        <v>7.0390358786120905E-2</v>
      </c>
      <c r="N537" s="466">
        <f>(N534-N533)/N533</f>
        <v>6.0414375353630374E-2</v>
      </c>
      <c r="O537" s="444"/>
      <c r="P537" s="340"/>
      <c r="Q537" s="341"/>
      <c r="R537" s="336">
        <f>(R534-R533)/R533</f>
        <v>0.10954304345710249</v>
      </c>
      <c r="S537" s="470"/>
      <c r="T537" s="339"/>
      <c r="U537" s="340"/>
      <c r="V537" s="470"/>
      <c r="W537" s="315"/>
    </row>
    <row r="538" spans="1:23" ht="13.3" thickBot="1" x14ac:dyDescent="0.25">
      <c r="A538" s="512">
        <v>43730</v>
      </c>
      <c r="B538" s="418" t="s">
        <v>58</v>
      </c>
      <c r="C538" s="411">
        <f>C535/C529-1</f>
        <v>6.7567567567567988E-3</v>
      </c>
      <c r="D538" s="353"/>
      <c r="E538" s="353">
        <f>E535/E529-1</f>
        <v>6.4102564102563875E-3</v>
      </c>
      <c r="F538" s="353">
        <f>F535/F529-1</f>
        <v>6.0240963855422436E-3</v>
      </c>
      <c r="G538" s="353">
        <f>G535/G529-1</f>
        <v>5.3191489361701372E-3</v>
      </c>
      <c r="H538" s="353"/>
      <c r="I538" s="353"/>
      <c r="J538" s="355"/>
      <c r="K538" s="434"/>
      <c r="L538" s="353">
        <f>L535/L529-1</f>
        <v>5.1020408163264808E-3</v>
      </c>
      <c r="M538" s="467">
        <f>M535/M529-1</f>
        <v>6.0240963855422436E-3</v>
      </c>
      <c r="N538" s="292">
        <f>N535/N529-1</f>
        <v>6.0240963855422436E-3</v>
      </c>
      <c r="O538" s="445"/>
      <c r="P538" s="357"/>
      <c r="Q538" s="358"/>
      <c r="R538" s="353">
        <f>R535/R529-1</f>
        <v>5.494505494505475E-3</v>
      </c>
      <c r="S538" s="471"/>
      <c r="T538" s="356"/>
      <c r="U538" s="357"/>
      <c r="V538" s="471"/>
      <c r="W538" s="359"/>
    </row>
    <row r="539" spans="1:23" x14ac:dyDescent="0.2">
      <c r="A539" s="512">
        <v>43737</v>
      </c>
      <c r="B539" s="419" t="s">
        <v>53</v>
      </c>
      <c r="C539" s="408">
        <v>1593.69</v>
      </c>
      <c r="D539" s="347"/>
      <c r="E539" s="346">
        <v>1605.23</v>
      </c>
      <c r="F539" s="346">
        <v>1710.84</v>
      </c>
      <c r="G539" s="346">
        <v>1755.92</v>
      </c>
      <c r="H539" s="347"/>
      <c r="I539" s="347"/>
      <c r="J539" s="290"/>
      <c r="K539" s="431"/>
      <c r="L539" s="346">
        <v>1847.69</v>
      </c>
      <c r="M539" s="256">
        <v>1567.46</v>
      </c>
      <c r="N539" s="462">
        <v>1582.2</v>
      </c>
      <c r="O539" s="442"/>
      <c r="P539" s="348"/>
      <c r="Q539" s="349"/>
      <c r="R539" s="346">
        <v>1652.73</v>
      </c>
      <c r="S539" s="346"/>
      <c r="T539" s="290"/>
      <c r="U539" s="348"/>
      <c r="V539" s="347"/>
      <c r="W539" s="346">
        <v>1269.06</v>
      </c>
    </row>
    <row r="540" spans="1:23" x14ac:dyDescent="0.2">
      <c r="A540" s="512">
        <v>43737</v>
      </c>
      <c r="B540" s="415" t="s">
        <v>54</v>
      </c>
      <c r="C540" s="409">
        <v>1625</v>
      </c>
      <c r="D540" s="249"/>
      <c r="E540" s="250">
        <v>1716</v>
      </c>
      <c r="F540" s="250">
        <v>1820</v>
      </c>
      <c r="G540" s="250">
        <v>2054</v>
      </c>
      <c r="H540" s="249"/>
      <c r="I540" s="249"/>
      <c r="J540" s="330"/>
      <c r="K540" s="432"/>
      <c r="L540" s="250">
        <v>2145</v>
      </c>
      <c r="M540" s="463">
        <v>1680</v>
      </c>
      <c r="N540" s="464">
        <v>1680</v>
      </c>
      <c r="O540" s="446"/>
      <c r="P540" s="331"/>
      <c r="Q540" s="332"/>
      <c r="R540" s="250">
        <v>1836</v>
      </c>
      <c r="S540" s="496"/>
      <c r="T540" s="330"/>
      <c r="U540" s="334"/>
      <c r="V540" s="469"/>
      <c r="W540" s="315"/>
    </row>
    <row r="541" spans="1:23" x14ac:dyDescent="0.2">
      <c r="A541" s="512">
        <v>43737</v>
      </c>
      <c r="B541" s="415" t="s">
        <v>55</v>
      </c>
      <c r="C541" s="409">
        <v>1.5</v>
      </c>
      <c r="D541" s="249"/>
      <c r="E541" s="250">
        <v>1.58</v>
      </c>
      <c r="F541" s="250">
        <v>1.68</v>
      </c>
      <c r="G541" s="250">
        <v>1.9</v>
      </c>
      <c r="H541" s="249"/>
      <c r="I541" s="249"/>
      <c r="J541" s="330"/>
      <c r="K541" s="432"/>
      <c r="L541" s="250">
        <v>1.98</v>
      </c>
      <c r="M541" s="463">
        <v>1.68</v>
      </c>
      <c r="N541" s="464">
        <v>1.68</v>
      </c>
      <c r="O541" s="443"/>
      <c r="P541" s="334"/>
      <c r="Q541" s="335"/>
      <c r="R541" s="250">
        <v>1.84</v>
      </c>
      <c r="S541" s="469"/>
      <c r="T541" s="333"/>
      <c r="U541" s="334"/>
      <c r="V541" s="497"/>
      <c r="W541" s="315"/>
    </row>
    <row r="542" spans="1:23" x14ac:dyDescent="0.2">
      <c r="A542" s="512">
        <v>43737</v>
      </c>
      <c r="B542" s="415" t="s">
        <v>56</v>
      </c>
      <c r="C542" s="410">
        <f>(C540-C539)/C540</f>
        <v>1.9267692307692274E-2</v>
      </c>
      <c r="D542" s="336"/>
      <c r="E542" s="336">
        <f>(E540-E539)/E540</f>
        <v>6.4551282051282036E-2</v>
      </c>
      <c r="F542" s="336">
        <f>(F540-F539)/F540</f>
        <v>5.9978021978022024E-2</v>
      </c>
      <c r="G542" s="336">
        <f>(G540-G539)/G540</f>
        <v>0.14512171372930863</v>
      </c>
      <c r="H542" s="336"/>
      <c r="I542" s="336"/>
      <c r="J542" s="338"/>
      <c r="K542" s="433"/>
      <c r="L542" s="336">
        <f>(L540-L539)/L540</f>
        <v>0.13860606060606059</v>
      </c>
      <c r="M542" s="465">
        <f>(M540-M539)/M540</f>
        <v>6.6988095238095222E-2</v>
      </c>
      <c r="N542" s="466">
        <f>(N540-N539)/N540</f>
        <v>5.8214285714285691E-2</v>
      </c>
      <c r="O542" s="444"/>
      <c r="P542" s="340"/>
      <c r="Q542" s="341"/>
      <c r="R542" s="336">
        <f>(R540-R539)/R540</f>
        <v>9.9820261437908481E-2</v>
      </c>
      <c r="S542" s="470"/>
      <c r="T542" s="339"/>
      <c r="U542" s="340"/>
      <c r="V542" s="470"/>
      <c r="W542" s="315"/>
    </row>
    <row r="543" spans="1:23" x14ac:dyDescent="0.2">
      <c r="A543" s="512">
        <v>43737</v>
      </c>
      <c r="B543" s="415" t="s">
        <v>57</v>
      </c>
      <c r="C543" s="410">
        <f>(C540-C539)/C539</f>
        <v>1.9646229818848046E-2</v>
      </c>
      <c r="D543" s="336"/>
      <c r="E543" s="336">
        <f>(E540-E539)/E539</f>
        <v>6.9005687658466375E-2</v>
      </c>
      <c r="F543" s="336">
        <f>(F540-F539)/F539</f>
        <v>6.3804914544901975E-2</v>
      </c>
      <c r="G543" s="336">
        <f>(G540-G539)/G539</f>
        <v>0.16975716433550497</v>
      </c>
      <c r="H543" s="336"/>
      <c r="I543" s="336"/>
      <c r="J543" s="338"/>
      <c r="K543" s="433"/>
      <c r="L543" s="336">
        <f>(L540-L539)/L539</f>
        <v>0.16090902694716103</v>
      </c>
      <c r="M543" s="465">
        <f>(M540-M539)/M539</f>
        <v>7.1797685427379299E-2</v>
      </c>
      <c r="N543" s="466">
        <f>(N540-N539)/N539</f>
        <v>6.1812665908229016E-2</v>
      </c>
      <c r="O543" s="444"/>
      <c r="P543" s="340"/>
      <c r="Q543" s="341"/>
      <c r="R543" s="336">
        <f>(R540-R539)/R539</f>
        <v>0.11088925595832348</v>
      </c>
      <c r="S543" s="470"/>
      <c r="T543" s="339"/>
      <c r="U543" s="340"/>
      <c r="V543" s="470"/>
      <c r="W543" s="315"/>
    </row>
    <row r="544" spans="1:23" ht="13.3" thickBot="1" x14ac:dyDescent="0.25">
      <c r="A544" s="512">
        <v>43737</v>
      </c>
      <c r="B544" s="418" t="s">
        <v>58</v>
      </c>
      <c r="C544" s="411">
        <f>C541/C535-1</f>
        <v>6.7114093959732557E-3</v>
      </c>
      <c r="D544" s="353"/>
      <c r="E544" s="353">
        <f>E541/E535-1</f>
        <v>6.3694267515923553E-3</v>
      </c>
      <c r="F544" s="353">
        <f>F541/F535-1</f>
        <v>5.9880239520957446E-3</v>
      </c>
      <c r="G544" s="353">
        <f>G541/G535-1</f>
        <v>5.2910052910053462E-3</v>
      </c>
      <c r="H544" s="353"/>
      <c r="I544" s="353"/>
      <c r="J544" s="355"/>
      <c r="K544" s="434"/>
      <c r="L544" s="353">
        <f>L541/L535-1</f>
        <v>5.0761421319795996E-3</v>
      </c>
      <c r="M544" s="467">
        <f>M541/M535-1</f>
        <v>5.9880239520957446E-3</v>
      </c>
      <c r="N544" s="292">
        <f>N541/N535-1</f>
        <v>5.9880239520957446E-3</v>
      </c>
      <c r="O544" s="445"/>
      <c r="P544" s="357"/>
      <c r="Q544" s="358"/>
      <c r="R544" s="353">
        <f>R541/R535-1</f>
        <v>5.464480874316946E-3</v>
      </c>
      <c r="S544" s="471"/>
      <c r="T544" s="356"/>
      <c r="U544" s="357"/>
      <c r="V544" s="471"/>
      <c r="W544" s="359"/>
    </row>
    <row r="545" spans="1:23" x14ac:dyDescent="0.2">
      <c r="A545" s="512">
        <v>43793</v>
      </c>
      <c r="B545" s="419" t="s">
        <v>53</v>
      </c>
      <c r="C545" s="408">
        <v>1604.11</v>
      </c>
      <c r="D545" s="347"/>
      <c r="E545" s="346">
        <v>1615.19</v>
      </c>
      <c r="F545" s="346">
        <v>1720.84</v>
      </c>
      <c r="G545" s="346">
        <v>1765</v>
      </c>
      <c r="H545" s="347"/>
      <c r="I545" s="347"/>
      <c r="J545" s="290"/>
      <c r="K545" s="431"/>
      <c r="L545" s="346">
        <v>1856.87</v>
      </c>
      <c r="M545" s="256">
        <v>1576.61</v>
      </c>
      <c r="N545" s="462">
        <v>1591.43</v>
      </c>
      <c r="O545" s="442"/>
      <c r="P545" s="348"/>
      <c r="Q545" s="349"/>
      <c r="R545" s="346">
        <v>1661.54</v>
      </c>
      <c r="S545" s="346"/>
      <c r="T545" s="290"/>
      <c r="U545" s="348"/>
      <c r="V545" s="347"/>
      <c r="W545" s="346">
        <v>1269.06</v>
      </c>
    </row>
    <row r="546" spans="1:23" x14ac:dyDescent="0.2">
      <c r="A546" s="512">
        <v>43793</v>
      </c>
      <c r="B546" s="415" t="s">
        <v>54</v>
      </c>
      <c r="C546" s="409">
        <v>1638</v>
      </c>
      <c r="D546" s="249"/>
      <c r="E546" s="250">
        <v>1716</v>
      </c>
      <c r="F546" s="250">
        <v>1820</v>
      </c>
      <c r="G546" s="250">
        <v>2054</v>
      </c>
      <c r="H546" s="249"/>
      <c r="I546" s="249"/>
      <c r="J546" s="330"/>
      <c r="K546" s="432"/>
      <c r="L546" s="250">
        <v>2145</v>
      </c>
      <c r="M546" s="463">
        <v>1680</v>
      </c>
      <c r="N546" s="464">
        <v>1680</v>
      </c>
      <c r="O546" s="446"/>
      <c r="P546" s="331"/>
      <c r="Q546" s="332"/>
      <c r="R546" s="250">
        <v>1836</v>
      </c>
      <c r="S546" s="496"/>
      <c r="T546" s="330"/>
      <c r="U546" s="334"/>
      <c r="V546" s="469"/>
      <c r="W546" s="315"/>
    </row>
    <row r="547" spans="1:23" x14ac:dyDescent="0.2">
      <c r="A547" s="512">
        <v>43793</v>
      </c>
      <c r="B547" s="415" t="s">
        <v>55</v>
      </c>
      <c r="C547" s="409">
        <v>1.51</v>
      </c>
      <c r="D547" s="249"/>
      <c r="E547" s="250">
        <v>1.59</v>
      </c>
      <c r="F547" s="250">
        <v>1.69</v>
      </c>
      <c r="G547" s="250">
        <v>1.91</v>
      </c>
      <c r="H547" s="249"/>
      <c r="I547" s="249"/>
      <c r="J547" s="330"/>
      <c r="K547" s="432"/>
      <c r="L547" s="250">
        <v>1.99</v>
      </c>
      <c r="M547" s="463">
        <v>1.69</v>
      </c>
      <c r="N547" s="464">
        <v>1.69</v>
      </c>
      <c r="O547" s="443"/>
      <c r="P547" s="334"/>
      <c r="Q547" s="335"/>
      <c r="R547" s="250">
        <v>1.85</v>
      </c>
      <c r="S547" s="469"/>
      <c r="T547" s="333"/>
      <c r="U547" s="334"/>
      <c r="V547" s="497"/>
      <c r="W547" s="315"/>
    </row>
    <row r="548" spans="1:23" x14ac:dyDescent="0.2">
      <c r="A548" s="512">
        <v>43793</v>
      </c>
      <c r="B548" s="415" t="s">
        <v>56</v>
      </c>
      <c r="C548" s="410">
        <f>(C546-C545)/C546</f>
        <v>2.068986568986575E-2</v>
      </c>
      <c r="D548" s="336"/>
      <c r="E548" s="336">
        <f>(E546-E545)/E546</f>
        <v>5.8747086247086217E-2</v>
      </c>
      <c r="F548" s="336">
        <f>(F546-F545)/F546</f>
        <v>5.4483516483516528E-2</v>
      </c>
      <c r="G548" s="336">
        <f>(G546-G545)/G546</f>
        <v>0.14070107108081792</v>
      </c>
      <c r="H548" s="336"/>
      <c r="I548" s="336"/>
      <c r="J548" s="338"/>
      <c r="K548" s="433"/>
      <c r="L548" s="336">
        <f>(L546-L545)/L546</f>
        <v>0.13432634032634039</v>
      </c>
      <c r="M548" s="465">
        <f>(M546-M545)/M546</f>
        <v>6.1541666666666724E-2</v>
      </c>
      <c r="N548" s="466">
        <f>(N546-N545)/N546</f>
        <v>5.2720238095238056E-2</v>
      </c>
      <c r="O548" s="444"/>
      <c r="P548" s="340"/>
      <c r="Q548" s="341"/>
      <c r="R548" s="336">
        <f>(R546-R545)/R546</f>
        <v>9.5021786492374749E-2</v>
      </c>
      <c r="S548" s="470"/>
      <c r="T548" s="339"/>
      <c r="U548" s="340"/>
      <c r="V548" s="470"/>
      <c r="W548" s="315"/>
    </row>
    <row r="549" spans="1:23" x14ac:dyDescent="0.2">
      <c r="A549" s="512">
        <v>43793</v>
      </c>
      <c r="B549" s="415" t="s">
        <v>57</v>
      </c>
      <c r="C549" s="410">
        <f>(C546-C545)/C545</f>
        <v>2.1126980069945393E-2</v>
      </c>
      <c r="D549" s="336"/>
      <c r="E549" s="336">
        <f>(E546-E545)/E545</f>
        <v>6.2413709842185715E-2</v>
      </c>
      <c r="F549" s="336">
        <f>(F546-F545)/F545</f>
        <v>5.7623021315171712E-2</v>
      </c>
      <c r="G549" s="336">
        <f>(G546-G545)/G545</f>
        <v>0.16373937677053824</v>
      </c>
      <c r="H549" s="336"/>
      <c r="I549" s="336"/>
      <c r="J549" s="338"/>
      <c r="K549" s="433"/>
      <c r="L549" s="336">
        <f>(L546-L545)/L545</f>
        <v>0.15516972108979096</v>
      </c>
      <c r="M549" s="465">
        <f>(M546-M545)/M545</f>
        <v>6.5577409758913185E-2</v>
      </c>
      <c r="N549" s="466">
        <f>(N546-N545)/N545</f>
        <v>5.5654348604713959E-2</v>
      </c>
      <c r="O549" s="444"/>
      <c r="P549" s="340"/>
      <c r="Q549" s="341"/>
      <c r="R549" s="336">
        <f>(R546-R545)/R545</f>
        <v>0.10499897685279923</v>
      </c>
      <c r="S549" s="470"/>
      <c r="T549" s="339"/>
      <c r="U549" s="340"/>
      <c r="V549" s="470"/>
      <c r="W549" s="315"/>
    </row>
    <row r="550" spans="1:23" ht="13.3" thickBot="1" x14ac:dyDescent="0.25">
      <c r="A550" s="512">
        <v>43793</v>
      </c>
      <c r="B550" s="418" t="s">
        <v>58</v>
      </c>
      <c r="C550" s="411">
        <f>C547/C541-1</f>
        <v>6.6666666666665986E-3</v>
      </c>
      <c r="D550" s="353"/>
      <c r="E550" s="353">
        <f>E547/E541-1</f>
        <v>6.3291139240506666E-3</v>
      </c>
      <c r="F550" s="353">
        <f>F547/F541-1</f>
        <v>5.9523809523809312E-3</v>
      </c>
      <c r="G550" s="353">
        <f>G547/G541-1</f>
        <v>5.2631578947368585E-3</v>
      </c>
      <c r="H550" s="353"/>
      <c r="I550" s="353"/>
      <c r="J550" s="355"/>
      <c r="K550" s="434"/>
      <c r="L550" s="353">
        <f>L547/L541-1</f>
        <v>5.050505050504972E-3</v>
      </c>
      <c r="M550" s="467">
        <f>M547/M541-1</f>
        <v>5.9523809523809312E-3</v>
      </c>
      <c r="N550" s="292">
        <f>N547/N541-1</f>
        <v>5.9523809523809312E-3</v>
      </c>
      <c r="O550" s="445"/>
      <c r="P550" s="357"/>
      <c r="Q550" s="358"/>
      <c r="R550" s="353">
        <f>R547/R541-1</f>
        <v>5.4347826086955653E-3</v>
      </c>
      <c r="S550" s="471"/>
      <c r="T550" s="356"/>
      <c r="U550" s="357"/>
      <c r="V550" s="471"/>
      <c r="W550" s="359"/>
    </row>
    <row r="551" spans="1:23" x14ac:dyDescent="0.2">
      <c r="A551" s="512">
        <v>43800</v>
      </c>
      <c r="B551" s="419" t="s">
        <v>53</v>
      </c>
      <c r="C551" s="408">
        <v>1614.53</v>
      </c>
      <c r="D551" s="347"/>
      <c r="E551" s="346">
        <v>1625.15</v>
      </c>
      <c r="F551" s="346">
        <v>1730.84</v>
      </c>
      <c r="G551" s="346">
        <v>1774.08</v>
      </c>
      <c r="H551" s="347"/>
      <c r="I551" s="347"/>
      <c r="J551" s="290"/>
      <c r="K551" s="431"/>
      <c r="L551" s="346">
        <v>1866.05</v>
      </c>
      <c r="M551" s="256">
        <v>1585.76</v>
      </c>
      <c r="N551" s="462">
        <v>1600.66</v>
      </c>
      <c r="O551" s="442"/>
      <c r="P551" s="348"/>
      <c r="Q551" s="349"/>
      <c r="R551" s="346">
        <v>1670.35</v>
      </c>
      <c r="S551" s="346"/>
      <c r="T551" s="290"/>
      <c r="U551" s="348"/>
      <c r="V551" s="347"/>
      <c r="W551" s="346">
        <v>1269.06</v>
      </c>
    </row>
    <row r="552" spans="1:23" x14ac:dyDescent="0.2">
      <c r="A552" s="512">
        <v>43800</v>
      </c>
      <c r="B552" s="415" t="s">
        <v>54</v>
      </c>
      <c r="C552" s="409">
        <v>1651</v>
      </c>
      <c r="D552" s="249"/>
      <c r="E552" s="250">
        <v>1729</v>
      </c>
      <c r="F552" s="250">
        <v>1846</v>
      </c>
      <c r="G552" s="250">
        <v>2080</v>
      </c>
      <c r="H552" s="249"/>
      <c r="I552" s="249"/>
      <c r="J552" s="330"/>
      <c r="K552" s="432"/>
      <c r="L552" s="250">
        <v>2171</v>
      </c>
      <c r="M552" s="463">
        <v>1704</v>
      </c>
      <c r="N552" s="464">
        <v>1704</v>
      </c>
      <c r="O552" s="446"/>
      <c r="P552" s="331"/>
      <c r="Q552" s="332"/>
      <c r="R552" s="250">
        <v>1860</v>
      </c>
      <c r="S552" s="496"/>
      <c r="T552" s="330"/>
      <c r="U552" s="334"/>
      <c r="V552" s="469"/>
      <c r="W552" s="315"/>
    </row>
    <row r="553" spans="1:23" x14ac:dyDescent="0.2">
      <c r="A553" s="512">
        <v>43800</v>
      </c>
      <c r="B553" s="415" t="s">
        <v>55</v>
      </c>
      <c r="C553" s="409">
        <v>1.52</v>
      </c>
      <c r="D553" s="249"/>
      <c r="E553" s="250">
        <v>1.6</v>
      </c>
      <c r="F553" s="250">
        <v>1.7</v>
      </c>
      <c r="G553" s="250">
        <v>1.92</v>
      </c>
      <c r="H553" s="249"/>
      <c r="I553" s="249"/>
      <c r="J553" s="330"/>
      <c r="K553" s="432"/>
      <c r="L553" s="250">
        <v>2</v>
      </c>
      <c r="M553" s="463">
        <v>1.7</v>
      </c>
      <c r="N553" s="464">
        <v>1.7</v>
      </c>
      <c r="O553" s="443"/>
      <c r="P553" s="334"/>
      <c r="Q553" s="335"/>
      <c r="R553" s="250">
        <v>1.86</v>
      </c>
      <c r="S553" s="469"/>
      <c r="T553" s="333"/>
      <c r="U553" s="334"/>
      <c r="V553" s="497"/>
      <c r="W553" s="315"/>
    </row>
    <row r="554" spans="1:23" x14ac:dyDescent="0.2">
      <c r="A554" s="512">
        <v>43800</v>
      </c>
      <c r="B554" s="415" t="s">
        <v>56</v>
      </c>
      <c r="C554" s="410">
        <f>(C552-C551)/C552</f>
        <v>2.2089642640823758E-2</v>
      </c>
      <c r="D554" s="336"/>
      <c r="E554" s="336">
        <f>(E552-E551)/E552</f>
        <v>6.0063620589936327E-2</v>
      </c>
      <c r="F554" s="336">
        <f>(F552-F551)/F552</f>
        <v>6.2383531960996795E-2</v>
      </c>
      <c r="G554" s="336">
        <f>(G552-G551)/G552</f>
        <v>0.14707692307692311</v>
      </c>
      <c r="H554" s="336"/>
      <c r="I554" s="336"/>
      <c r="J554" s="338"/>
      <c r="K554" s="433"/>
      <c r="L554" s="336">
        <f>(L552-L551)/L552</f>
        <v>0.14046522339935516</v>
      </c>
      <c r="M554" s="465">
        <f>(M552-M551)/M552</f>
        <v>6.9389671361502356E-2</v>
      </c>
      <c r="N554" s="466">
        <f>(N552-N551)/N552</f>
        <v>6.0645539906103239E-2</v>
      </c>
      <c r="O554" s="444"/>
      <c r="P554" s="340"/>
      <c r="Q554" s="341"/>
      <c r="R554" s="336">
        <f>(R552-R551)/R552</f>
        <v>0.1019623655913979</v>
      </c>
      <c r="S554" s="470"/>
      <c r="T554" s="339"/>
      <c r="U554" s="340"/>
      <c r="V554" s="470"/>
      <c r="W554" s="315"/>
    </row>
    <row r="555" spans="1:23" x14ac:dyDescent="0.2">
      <c r="A555" s="512">
        <v>43800</v>
      </c>
      <c r="B555" s="415" t="s">
        <v>57</v>
      </c>
      <c r="C555" s="410">
        <f>(C552-C551)/C551</f>
        <v>2.2588617120772005E-2</v>
      </c>
      <c r="D555" s="336"/>
      <c r="E555" s="336">
        <f>(E552-E551)/E551</f>
        <v>6.3901793680583269E-2</v>
      </c>
      <c r="F555" s="336">
        <f>(F552-F551)/F551</f>
        <v>6.6534168380670708E-2</v>
      </c>
      <c r="G555" s="336">
        <f>(G552-G551)/G551</f>
        <v>0.17243867243867247</v>
      </c>
      <c r="H555" s="336"/>
      <c r="I555" s="336"/>
      <c r="J555" s="338"/>
      <c r="K555" s="433"/>
      <c r="L555" s="336">
        <f>(L552-L551)/L551</f>
        <v>0.16342005841215404</v>
      </c>
      <c r="M555" s="465">
        <f>(M552-M551)/M551</f>
        <v>7.4563616184037937E-2</v>
      </c>
      <c r="N555" s="466">
        <f>(N552-N551)/N551</f>
        <v>6.4560868641685254E-2</v>
      </c>
      <c r="O555" s="444"/>
      <c r="P555" s="340"/>
      <c r="Q555" s="341"/>
      <c r="R555" s="336">
        <f>(R552-R551)/R551</f>
        <v>0.11353907863621403</v>
      </c>
      <c r="S555" s="470"/>
      <c r="T555" s="339"/>
      <c r="U555" s="340"/>
      <c r="V555" s="470"/>
      <c r="W555" s="315"/>
    </row>
    <row r="556" spans="1:23" ht="13.3" thickBot="1" x14ac:dyDescent="0.25">
      <c r="A556" s="512">
        <v>43800</v>
      </c>
      <c r="B556" s="418" t="s">
        <v>58</v>
      </c>
      <c r="C556" s="411">
        <f>C553/C547-1</f>
        <v>6.6225165562914245E-3</v>
      </c>
      <c r="D556" s="353"/>
      <c r="E556" s="353">
        <f>E553/E547-1</f>
        <v>6.2893081761006275E-3</v>
      </c>
      <c r="F556" s="353">
        <f>F553/F547-1</f>
        <v>5.9171597633136397E-3</v>
      </c>
      <c r="G556" s="353">
        <f>G553/G547-1</f>
        <v>5.2356020942407877E-3</v>
      </c>
      <c r="H556" s="353"/>
      <c r="I556" s="353"/>
      <c r="J556" s="355"/>
      <c r="K556" s="434"/>
      <c r="L556" s="353">
        <f>L553/L547-1</f>
        <v>5.0251256281406143E-3</v>
      </c>
      <c r="M556" s="467">
        <f>M553/M547-1</f>
        <v>5.9171597633136397E-3</v>
      </c>
      <c r="N556" s="292">
        <f>N553/N547-1</f>
        <v>5.9171597633136397E-3</v>
      </c>
      <c r="O556" s="445"/>
      <c r="P556" s="357"/>
      <c r="Q556" s="358"/>
      <c r="R556" s="353">
        <f>R553/R547-1</f>
        <v>5.4054054054053502E-3</v>
      </c>
      <c r="S556" s="471"/>
      <c r="T556" s="356"/>
      <c r="U556" s="357"/>
      <c r="V556" s="471"/>
      <c r="W556" s="359"/>
    </row>
    <row r="557" spans="1:23" x14ac:dyDescent="0.2">
      <c r="A557" s="512">
        <v>43807</v>
      </c>
      <c r="B557" s="419" t="s">
        <v>53</v>
      </c>
      <c r="C557" s="408">
        <v>1624.95</v>
      </c>
      <c r="D557" s="347"/>
      <c r="E557" s="346">
        <v>1635.11</v>
      </c>
      <c r="F557" s="346">
        <v>1740.84</v>
      </c>
      <c r="G557" s="346">
        <v>1783.16</v>
      </c>
      <c r="H557" s="347"/>
      <c r="I557" s="347"/>
      <c r="J557" s="290"/>
      <c r="K557" s="431"/>
      <c r="L557" s="346">
        <v>1875.23</v>
      </c>
      <c r="M557" s="256">
        <v>1594.91</v>
      </c>
      <c r="N557" s="462">
        <v>1609.89</v>
      </c>
      <c r="O557" s="442"/>
      <c r="P557" s="348"/>
      <c r="Q557" s="349"/>
      <c r="R557" s="346">
        <v>1679.16</v>
      </c>
      <c r="S557" s="346"/>
      <c r="T557" s="290"/>
      <c r="U557" s="348"/>
      <c r="V557" s="347"/>
      <c r="W557" s="346">
        <v>1269.06</v>
      </c>
    </row>
    <row r="558" spans="1:23" x14ac:dyDescent="0.2">
      <c r="A558" s="512">
        <v>43807</v>
      </c>
      <c r="B558" s="415" t="s">
        <v>54</v>
      </c>
      <c r="C558" s="409">
        <v>1651</v>
      </c>
      <c r="D558" s="249"/>
      <c r="E558" s="250">
        <v>1742</v>
      </c>
      <c r="F558" s="250">
        <v>1846</v>
      </c>
      <c r="G558" s="250">
        <v>2093</v>
      </c>
      <c r="H558" s="249"/>
      <c r="I558" s="249"/>
      <c r="J558" s="330"/>
      <c r="K558" s="432"/>
      <c r="L558" s="250">
        <v>2171</v>
      </c>
      <c r="M558" s="463">
        <v>1704</v>
      </c>
      <c r="N558" s="464">
        <v>1704</v>
      </c>
      <c r="O558" s="446"/>
      <c r="P558" s="331"/>
      <c r="Q558" s="332"/>
      <c r="R558" s="250">
        <v>1872</v>
      </c>
      <c r="S558" s="496"/>
      <c r="T558" s="330"/>
      <c r="U558" s="334"/>
      <c r="V558" s="469"/>
      <c r="W558" s="315"/>
    </row>
    <row r="559" spans="1:23" x14ac:dyDescent="0.2">
      <c r="A559" s="512">
        <v>43807</v>
      </c>
      <c r="B559" s="415" t="s">
        <v>55</v>
      </c>
      <c r="C559" s="409">
        <v>1.53</v>
      </c>
      <c r="D559" s="249"/>
      <c r="E559" s="250">
        <v>1.61</v>
      </c>
      <c r="F559" s="250">
        <v>1.71</v>
      </c>
      <c r="G559" s="250">
        <v>1.93</v>
      </c>
      <c r="H559" s="249"/>
      <c r="I559" s="249"/>
      <c r="J559" s="330"/>
      <c r="K559" s="432"/>
      <c r="L559" s="250">
        <v>2.0099999999999998</v>
      </c>
      <c r="M559" s="463">
        <v>1.71</v>
      </c>
      <c r="N559" s="464">
        <v>1.71</v>
      </c>
      <c r="O559" s="443"/>
      <c r="P559" s="334"/>
      <c r="Q559" s="335"/>
      <c r="R559" s="250">
        <v>1.87</v>
      </c>
      <c r="S559" s="469"/>
      <c r="T559" s="333"/>
      <c r="U559" s="334"/>
      <c r="V559" s="497"/>
      <c r="W559" s="315"/>
    </row>
    <row r="560" spans="1:23" x14ac:dyDescent="0.2">
      <c r="A560" s="512">
        <v>43807</v>
      </c>
      <c r="B560" s="415" t="s">
        <v>56</v>
      </c>
      <c r="C560" s="410">
        <f>(C558-C557)/C558</f>
        <v>1.5778316172016933E-2</v>
      </c>
      <c r="D560" s="336"/>
      <c r="E560" s="336">
        <f>(E558-E557)/E558</f>
        <v>6.1360505166475371E-2</v>
      </c>
      <c r="F560" s="336">
        <f>(F558-F557)/F558</f>
        <v>5.6966413867822363E-2</v>
      </c>
      <c r="G560" s="336">
        <f>(G558-G557)/G558</f>
        <v>0.14803631151457233</v>
      </c>
      <c r="H560" s="336"/>
      <c r="I560" s="336"/>
      <c r="J560" s="338"/>
      <c r="K560" s="433"/>
      <c r="L560" s="336">
        <f>(L558-L557)/L558</f>
        <v>0.13623675725472131</v>
      </c>
      <c r="M560" s="465">
        <f>(M558-M557)/M558</f>
        <v>6.4019953051643139E-2</v>
      </c>
      <c r="N560" s="466">
        <f>(N558-N557)/N558</f>
        <v>5.5228873239436559E-2</v>
      </c>
      <c r="O560" s="444"/>
      <c r="P560" s="340"/>
      <c r="Q560" s="341"/>
      <c r="R560" s="336">
        <f>(R558-R557)/R558</f>
        <v>0.10301282051282047</v>
      </c>
      <c r="S560" s="470"/>
      <c r="T560" s="339"/>
      <c r="U560" s="340"/>
      <c r="V560" s="470"/>
      <c r="W560" s="315"/>
    </row>
    <row r="561" spans="1:23" x14ac:dyDescent="0.2">
      <c r="A561" s="512">
        <v>43807</v>
      </c>
      <c r="B561" s="415" t="s">
        <v>57</v>
      </c>
      <c r="C561" s="410">
        <f>(C558-C557)/C557</f>
        <v>1.6031262500384599E-2</v>
      </c>
      <c r="D561" s="336"/>
      <c r="E561" s="336">
        <f>(E558-E557)/E557</f>
        <v>6.5371748689690673E-2</v>
      </c>
      <c r="F561" s="336">
        <f>(F558-F557)/F557</f>
        <v>6.0407619310218104E-2</v>
      </c>
      <c r="G561" s="336">
        <f>(G558-G557)/G557</f>
        <v>0.17375894479463419</v>
      </c>
      <c r="H561" s="336"/>
      <c r="I561" s="336"/>
      <c r="J561" s="338"/>
      <c r="K561" s="433"/>
      <c r="L561" s="336">
        <f>(L558-L557)/L557</f>
        <v>0.1577246524426337</v>
      </c>
      <c r="M561" s="465">
        <f>(M558-M557)/M557</f>
        <v>6.8398843821908389E-2</v>
      </c>
      <c r="N561" s="466">
        <f>(N558-N557)/N557</f>
        <v>5.8457410133611547E-2</v>
      </c>
      <c r="O561" s="444"/>
      <c r="P561" s="340"/>
      <c r="Q561" s="341"/>
      <c r="R561" s="336">
        <f>(R558-R557)/R557</f>
        <v>0.11484313585364105</v>
      </c>
      <c r="S561" s="470"/>
      <c r="T561" s="339"/>
      <c r="U561" s="340"/>
      <c r="V561" s="470"/>
      <c r="W561" s="315"/>
    </row>
    <row r="562" spans="1:23" ht="13.3" thickBot="1" x14ac:dyDescent="0.25">
      <c r="A562" s="512">
        <v>43807</v>
      </c>
      <c r="B562" s="418" t="s">
        <v>58</v>
      </c>
      <c r="C562" s="411">
        <f>C559/C553-1</f>
        <v>6.5789473684210176E-3</v>
      </c>
      <c r="D562" s="353"/>
      <c r="E562" s="353">
        <f>E559/E553-1</f>
        <v>6.2500000000000888E-3</v>
      </c>
      <c r="F562" s="353">
        <f>F559/F553-1</f>
        <v>5.8823529411764497E-3</v>
      </c>
      <c r="G562" s="353">
        <f>G559/G553-1</f>
        <v>5.2083333333332593E-3</v>
      </c>
      <c r="H562" s="353"/>
      <c r="I562" s="353"/>
      <c r="J562" s="355"/>
      <c r="K562" s="434"/>
      <c r="L562" s="353">
        <f>L559/L553-1</f>
        <v>4.9999999999998934E-3</v>
      </c>
      <c r="M562" s="467">
        <f>M559/M553-1</f>
        <v>5.8823529411764497E-3</v>
      </c>
      <c r="N562" s="292">
        <f>N559/N553-1</f>
        <v>5.8823529411764497E-3</v>
      </c>
      <c r="O562" s="445"/>
      <c r="P562" s="357"/>
      <c r="Q562" s="358"/>
      <c r="R562" s="353">
        <f>R559/R553-1</f>
        <v>5.3763440860215006E-3</v>
      </c>
      <c r="S562" s="471"/>
      <c r="T562" s="356"/>
      <c r="U562" s="357"/>
      <c r="V562" s="471"/>
      <c r="W562" s="359"/>
    </row>
    <row r="563" spans="1:23" x14ac:dyDescent="0.2">
      <c r="A563" s="512">
        <v>43814</v>
      </c>
      <c r="B563" s="419" t="s">
        <v>53</v>
      </c>
      <c r="C563" s="408">
        <v>1635.37</v>
      </c>
      <c r="D563" s="347"/>
      <c r="E563" s="346">
        <v>1645.07</v>
      </c>
      <c r="F563" s="346">
        <v>1750.84</v>
      </c>
      <c r="G563" s="346">
        <v>1792.24</v>
      </c>
      <c r="H563" s="347"/>
      <c r="I563" s="347"/>
      <c r="J563" s="290"/>
      <c r="K563" s="431"/>
      <c r="L563" s="346">
        <v>1884.41</v>
      </c>
      <c r="M563" s="256">
        <v>1604.06</v>
      </c>
      <c r="N563" s="462">
        <v>1619.12</v>
      </c>
      <c r="O563" s="442"/>
      <c r="P563" s="348"/>
      <c r="Q563" s="349"/>
      <c r="R563" s="346">
        <v>1687.97</v>
      </c>
      <c r="S563" s="346"/>
      <c r="T563" s="290"/>
      <c r="U563" s="348"/>
      <c r="V563" s="347"/>
      <c r="W563" s="346">
        <v>1269.06</v>
      </c>
    </row>
    <row r="564" spans="1:23" x14ac:dyDescent="0.2">
      <c r="A564" s="512">
        <v>43814</v>
      </c>
      <c r="B564" s="415" t="s">
        <v>54</v>
      </c>
      <c r="C564" s="409">
        <v>1664</v>
      </c>
      <c r="D564" s="249"/>
      <c r="E564" s="250">
        <v>1755</v>
      </c>
      <c r="F564" s="250">
        <v>1859</v>
      </c>
      <c r="G564" s="250">
        <v>2106</v>
      </c>
      <c r="H564" s="249"/>
      <c r="I564" s="249"/>
      <c r="J564" s="330"/>
      <c r="K564" s="432"/>
      <c r="L564" s="250">
        <v>2184</v>
      </c>
      <c r="M564" s="463">
        <v>1716</v>
      </c>
      <c r="N564" s="464">
        <v>1716</v>
      </c>
      <c r="O564" s="446"/>
      <c r="P564" s="331"/>
      <c r="Q564" s="332"/>
      <c r="R564" s="250">
        <v>1884</v>
      </c>
      <c r="S564" s="496"/>
      <c r="T564" s="330"/>
      <c r="U564" s="334"/>
      <c r="V564" s="469"/>
      <c r="W564" s="315"/>
    </row>
    <row r="565" spans="1:23" x14ac:dyDescent="0.2">
      <c r="A565" s="512">
        <v>43814</v>
      </c>
      <c r="B565" s="415" t="s">
        <v>55</v>
      </c>
      <c r="C565" s="409">
        <v>1.54</v>
      </c>
      <c r="D565" s="249"/>
      <c r="E565" s="250">
        <v>1.62</v>
      </c>
      <c r="F565" s="250">
        <v>1.72</v>
      </c>
      <c r="G565" s="250">
        <v>1.94</v>
      </c>
      <c r="H565" s="249"/>
      <c r="I565" s="249"/>
      <c r="J565" s="330"/>
      <c r="K565" s="432"/>
      <c r="L565" s="250">
        <v>2.02</v>
      </c>
      <c r="M565" s="463">
        <v>1.72</v>
      </c>
      <c r="N565" s="464">
        <v>1.72</v>
      </c>
      <c r="O565" s="443"/>
      <c r="P565" s="334"/>
      <c r="Q565" s="335"/>
      <c r="R565" s="250">
        <v>1.88</v>
      </c>
      <c r="S565" s="469"/>
      <c r="T565" s="333"/>
      <c r="U565" s="334"/>
      <c r="V565" s="497"/>
      <c r="W565" s="315"/>
    </row>
    <row r="566" spans="1:23" x14ac:dyDescent="0.2">
      <c r="A566" s="512">
        <v>43814</v>
      </c>
      <c r="B566" s="415" t="s">
        <v>56</v>
      </c>
      <c r="C566" s="410">
        <f>(C564-C563)/C564</f>
        <v>1.7205528846153912E-2</v>
      </c>
      <c r="D566" s="336"/>
      <c r="E566" s="336">
        <f>(E564-E563)/E564</f>
        <v>6.2638176638176668E-2</v>
      </c>
      <c r="F566" s="336">
        <f>(F564-F563)/F564</f>
        <v>5.8181818181818223E-2</v>
      </c>
      <c r="G566" s="336">
        <f>(G564-G563)/G564</f>
        <v>0.1489838556505223</v>
      </c>
      <c r="H566" s="336"/>
      <c r="I566" s="336"/>
      <c r="J566" s="338"/>
      <c r="K566" s="433"/>
      <c r="L566" s="336">
        <f>(L564-L563)/L564</f>
        <v>0.1371749084249084</v>
      </c>
      <c r="M566" s="465">
        <f>(M564-M563)/M564</f>
        <v>6.5233100233100264E-2</v>
      </c>
      <c r="N566" s="466">
        <f>(N564-N563)/N564</f>
        <v>5.6456876456876519E-2</v>
      </c>
      <c r="O566" s="444"/>
      <c r="P566" s="340"/>
      <c r="Q566" s="341"/>
      <c r="R566" s="336">
        <f>(R564-R563)/R564</f>
        <v>0.10404989384288746</v>
      </c>
      <c r="S566" s="470"/>
      <c r="T566" s="339"/>
      <c r="U566" s="340"/>
      <c r="V566" s="470"/>
      <c r="W566" s="315"/>
    </row>
    <row r="567" spans="1:23" x14ac:dyDescent="0.2">
      <c r="A567" s="512">
        <v>43814</v>
      </c>
      <c r="B567" s="415" t="s">
        <v>57</v>
      </c>
      <c r="C567" s="410">
        <f>(C564-C563)/C563</f>
        <v>1.7506741593645542E-2</v>
      </c>
      <c r="D567" s="336"/>
      <c r="E567" s="336">
        <f>(E564-E563)/E563</f>
        <v>6.6823904149975424E-2</v>
      </c>
      <c r="F567" s="336">
        <f>(F564-F563)/F563</f>
        <v>6.1776061776061826E-2</v>
      </c>
      <c r="G567" s="336">
        <f>(G564-G563)/G563</f>
        <v>0.17506583939650938</v>
      </c>
      <c r="H567" s="336"/>
      <c r="I567" s="336"/>
      <c r="J567" s="338"/>
      <c r="K567" s="433"/>
      <c r="L567" s="336">
        <f>(L564-L563)/L563</f>
        <v>0.15898344840029499</v>
      </c>
      <c r="M567" s="465">
        <f>(M564-M563)/M563</f>
        <v>6.9785419498023804E-2</v>
      </c>
      <c r="N567" s="466">
        <f>(N564-N563)/N563</f>
        <v>5.9834972083601043E-2</v>
      </c>
      <c r="O567" s="444"/>
      <c r="P567" s="340"/>
      <c r="Q567" s="341"/>
      <c r="R567" s="336">
        <f>(R564-R563)/R563</f>
        <v>0.11613358057311443</v>
      </c>
      <c r="S567" s="470"/>
      <c r="T567" s="339"/>
      <c r="U567" s="340"/>
      <c r="V567" s="470"/>
      <c r="W567" s="315"/>
    </row>
    <row r="568" spans="1:23" ht="13.3" thickBot="1" x14ac:dyDescent="0.25">
      <c r="A568" s="512">
        <v>43814</v>
      </c>
      <c r="B568" s="418" t="s">
        <v>58</v>
      </c>
      <c r="C568" s="411">
        <f>C565/C559-1</f>
        <v>6.5359477124182774E-3</v>
      </c>
      <c r="D568" s="353"/>
      <c r="E568" s="353">
        <f>E565/E559-1</f>
        <v>6.2111801242235032E-3</v>
      </c>
      <c r="F568" s="353">
        <f>F565/F559-1</f>
        <v>5.8479532163742132E-3</v>
      </c>
      <c r="G568" s="353">
        <f>G565/G559-1</f>
        <v>5.1813471502590858E-3</v>
      </c>
      <c r="H568" s="353"/>
      <c r="I568" s="353"/>
      <c r="J568" s="355"/>
      <c r="K568" s="434"/>
      <c r="L568" s="353">
        <f>L565/L559-1</f>
        <v>4.9751243781095411E-3</v>
      </c>
      <c r="M568" s="467">
        <f>M565/M559-1</f>
        <v>5.8479532163742132E-3</v>
      </c>
      <c r="N568" s="292">
        <f>N565/N559-1</f>
        <v>5.8479532163742132E-3</v>
      </c>
      <c r="O568" s="445"/>
      <c r="P568" s="357"/>
      <c r="Q568" s="358"/>
      <c r="R568" s="353">
        <f>R565/R559-1</f>
        <v>5.3475935828874999E-3</v>
      </c>
      <c r="S568" s="471"/>
      <c r="T568" s="356"/>
      <c r="U568" s="357"/>
      <c r="V568" s="471"/>
      <c r="W568" s="359"/>
    </row>
    <row r="569" spans="1:23" x14ac:dyDescent="0.2">
      <c r="A569" s="512">
        <v>43821</v>
      </c>
      <c r="B569" s="419" t="s">
        <v>53</v>
      </c>
      <c r="C569" s="408">
        <v>1645.79</v>
      </c>
      <c r="D569" s="347"/>
      <c r="E569" s="346">
        <v>1655.03</v>
      </c>
      <c r="F569" s="346">
        <v>1760.84</v>
      </c>
      <c r="G569" s="346">
        <v>1801.32</v>
      </c>
      <c r="H569" s="347"/>
      <c r="I569" s="347"/>
      <c r="J569" s="290"/>
      <c r="K569" s="431"/>
      <c r="L569" s="346">
        <v>1893.59</v>
      </c>
      <c r="M569" s="256">
        <v>1613.21</v>
      </c>
      <c r="N569" s="462">
        <v>1628.35</v>
      </c>
      <c r="O569" s="442"/>
      <c r="P569" s="348"/>
      <c r="Q569" s="349"/>
      <c r="R569" s="346">
        <v>1696.78</v>
      </c>
      <c r="S569" s="346"/>
      <c r="T569" s="290"/>
      <c r="U569" s="348"/>
      <c r="V569" s="347"/>
      <c r="W569" s="346">
        <v>1269.06</v>
      </c>
    </row>
    <row r="570" spans="1:23" x14ac:dyDescent="0.2">
      <c r="A570" s="512">
        <v>43821</v>
      </c>
      <c r="B570" s="415" t="s">
        <v>54</v>
      </c>
      <c r="C570" s="409">
        <v>1677</v>
      </c>
      <c r="D570" s="249"/>
      <c r="E570" s="250">
        <v>1768</v>
      </c>
      <c r="F570" s="250">
        <v>1872</v>
      </c>
      <c r="G570" s="250">
        <v>2106</v>
      </c>
      <c r="H570" s="249"/>
      <c r="I570" s="249"/>
      <c r="J570" s="330"/>
      <c r="K570" s="432"/>
      <c r="L570" s="250">
        <v>2197</v>
      </c>
      <c r="M570" s="463">
        <v>1728</v>
      </c>
      <c r="N570" s="464">
        <v>1728</v>
      </c>
      <c r="O570" s="446"/>
      <c r="P570" s="331"/>
      <c r="Q570" s="332"/>
      <c r="R570" s="250">
        <v>1884</v>
      </c>
      <c r="S570" s="496"/>
      <c r="T570" s="330"/>
      <c r="U570" s="334"/>
      <c r="V570" s="469"/>
      <c r="W570" s="315"/>
    </row>
    <row r="571" spans="1:23" x14ac:dyDescent="0.2">
      <c r="A571" s="512">
        <v>43821</v>
      </c>
      <c r="B571" s="415" t="s">
        <v>55</v>
      </c>
      <c r="C571" s="409">
        <v>1.55</v>
      </c>
      <c r="D571" s="249"/>
      <c r="E571" s="250">
        <v>1.63</v>
      </c>
      <c r="F571" s="250">
        <v>1.73</v>
      </c>
      <c r="G571" s="250">
        <v>1.95</v>
      </c>
      <c r="H571" s="249"/>
      <c r="I571" s="249"/>
      <c r="J571" s="330"/>
      <c r="K571" s="432"/>
      <c r="L571" s="250">
        <v>2.0299999999999998</v>
      </c>
      <c r="M571" s="463">
        <v>1.73</v>
      </c>
      <c r="N571" s="464">
        <v>1.73</v>
      </c>
      <c r="O571" s="443"/>
      <c r="P571" s="334"/>
      <c r="Q571" s="335"/>
      <c r="R571" s="250">
        <v>1.89</v>
      </c>
      <c r="S571" s="469"/>
      <c r="T571" s="333"/>
      <c r="U571" s="334"/>
      <c r="V571" s="497"/>
      <c r="W571" s="315"/>
    </row>
    <row r="572" spans="1:23" x14ac:dyDescent="0.2">
      <c r="A572" s="512">
        <v>43821</v>
      </c>
      <c r="B572" s="415" t="s">
        <v>56</v>
      </c>
      <c r="C572" s="410">
        <f>(C570-C569)/C570</f>
        <v>1.8610614192009562E-2</v>
      </c>
      <c r="D572" s="336"/>
      <c r="E572" s="336">
        <f>(E570-E569)/E570</f>
        <v>6.3897058823529432E-2</v>
      </c>
      <c r="F572" s="336">
        <f>(F570-F569)/F570</f>
        <v>5.9380341880341928E-2</v>
      </c>
      <c r="G572" s="336">
        <f>(G570-G569)/G570</f>
        <v>0.14467236467236469</v>
      </c>
      <c r="H572" s="336"/>
      <c r="I572" s="336"/>
      <c r="J572" s="338"/>
      <c r="K572" s="433"/>
      <c r="L572" s="336">
        <f>(L570-L569)/L570</f>
        <v>0.13810195721438329</v>
      </c>
      <c r="M572" s="465">
        <f>(M570-M569)/M570</f>
        <v>6.6429398148148133E-2</v>
      </c>
      <c r="N572" s="466">
        <f>(N570-N569)/N570</f>
        <v>5.7667824074074128E-2</v>
      </c>
      <c r="O572" s="444"/>
      <c r="P572" s="340"/>
      <c r="Q572" s="341"/>
      <c r="R572" s="336">
        <f>(R570-R569)/R570</f>
        <v>9.937367303609343E-2</v>
      </c>
      <c r="S572" s="470"/>
      <c r="T572" s="339"/>
      <c r="U572" s="340"/>
      <c r="V572" s="470"/>
      <c r="W572" s="315"/>
    </row>
    <row r="573" spans="1:23" x14ac:dyDescent="0.2">
      <c r="A573" s="512">
        <v>43821</v>
      </c>
      <c r="B573" s="415" t="s">
        <v>57</v>
      </c>
      <c r="C573" s="410">
        <f>(C570-C569)/C569</f>
        <v>1.8963537267816695E-2</v>
      </c>
      <c r="D573" s="336"/>
      <c r="E573" s="336">
        <f>(E570-E569)/E569</f>
        <v>6.8258581415442637E-2</v>
      </c>
      <c r="F573" s="336">
        <f>(F570-F569)/F569</f>
        <v>6.3128961177619819E-2</v>
      </c>
      <c r="G573" s="336">
        <f>(G570-G569)/G569</f>
        <v>0.16914262873892483</v>
      </c>
      <c r="H573" s="336"/>
      <c r="I573" s="336"/>
      <c r="J573" s="338"/>
      <c r="K573" s="433"/>
      <c r="L573" s="336">
        <f>(L570-L569)/L569</f>
        <v>0.16023003923763862</v>
      </c>
      <c r="M573" s="465">
        <f>(M570-M569)/M569</f>
        <v>7.1156266078191907E-2</v>
      </c>
      <c r="N573" s="466">
        <f>(N570-N569)/N569</f>
        <v>6.119691712469684E-2</v>
      </c>
      <c r="O573" s="444"/>
      <c r="P573" s="340"/>
      <c r="Q573" s="341"/>
      <c r="R573" s="336">
        <f>(R570-R569)/R569</f>
        <v>0.11033840568606421</v>
      </c>
      <c r="S573" s="470"/>
      <c r="T573" s="339"/>
      <c r="U573" s="340"/>
      <c r="V573" s="470"/>
      <c r="W573" s="315"/>
    </row>
    <row r="574" spans="1:23" ht="13.3" thickBot="1" x14ac:dyDescent="0.25">
      <c r="A574" s="512">
        <v>43821</v>
      </c>
      <c r="B574" s="418" t="s">
        <v>58</v>
      </c>
      <c r="C574" s="411">
        <f>C571/C565-1</f>
        <v>6.4935064935065512E-3</v>
      </c>
      <c r="D574" s="353"/>
      <c r="E574" s="353">
        <f>E571/E565-1</f>
        <v>6.1728395061726449E-3</v>
      </c>
      <c r="F574" s="353">
        <f>F571/F565-1</f>
        <v>5.8139534883721034E-3</v>
      </c>
      <c r="G574" s="353">
        <f>G571/G565-1</f>
        <v>5.1546391752577136E-3</v>
      </c>
      <c r="H574" s="353"/>
      <c r="I574" s="353"/>
      <c r="J574" s="355"/>
      <c r="K574" s="434"/>
      <c r="L574" s="353">
        <f>L571/L565-1</f>
        <v>4.9504950495049549E-3</v>
      </c>
      <c r="M574" s="467">
        <f>M571/M565-1</f>
        <v>5.8139534883721034E-3</v>
      </c>
      <c r="N574" s="292">
        <f>N571/N565-1</f>
        <v>5.8139534883721034E-3</v>
      </c>
      <c r="O574" s="445"/>
      <c r="P574" s="357"/>
      <c r="Q574" s="358"/>
      <c r="R574" s="353">
        <f>R571/R565-1</f>
        <v>5.3191489361701372E-3</v>
      </c>
      <c r="S574" s="471"/>
      <c r="T574" s="356"/>
      <c r="U574" s="357"/>
      <c r="V574" s="471"/>
      <c r="W574" s="359"/>
    </row>
    <row r="575" spans="1:23" x14ac:dyDescent="0.2">
      <c r="A575" s="512">
        <v>43828</v>
      </c>
      <c r="B575" s="419" t="s">
        <v>53</v>
      </c>
      <c r="C575" s="408">
        <v>1656.21</v>
      </c>
      <c r="D575" s="347"/>
      <c r="E575" s="346">
        <v>1664.99</v>
      </c>
      <c r="F575" s="346">
        <v>1770.84</v>
      </c>
      <c r="G575" s="346">
        <v>1810.4</v>
      </c>
      <c r="H575" s="347"/>
      <c r="I575" s="347"/>
      <c r="J575" s="290"/>
      <c r="K575" s="431"/>
      <c r="L575" s="346">
        <v>1902.77</v>
      </c>
      <c r="M575" s="256">
        <v>1622.36</v>
      </c>
      <c r="N575" s="462">
        <v>1637.58</v>
      </c>
      <c r="O575" s="442"/>
      <c r="P575" s="348"/>
      <c r="Q575" s="349"/>
      <c r="R575" s="346">
        <v>1705.59</v>
      </c>
      <c r="S575" s="346"/>
      <c r="T575" s="290"/>
      <c r="U575" s="348"/>
      <c r="V575" s="347"/>
      <c r="W575" s="346">
        <v>1269.06</v>
      </c>
    </row>
    <row r="576" spans="1:23" x14ac:dyDescent="0.2">
      <c r="A576" s="512">
        <v>43828</v>
      </c>
      <c r="B576" s="415" t="s">
        <v>54</v>
      </c>
      <c r="C576" s="409">
        <v>1690</v>
      </c>
      <c r="D576" s="249"/>
      <c r="E576" s="250">
        <v>1781</v>
      </c>
      <c r="F576" s="250">
        <v>1885</v>
      </c>
      <c r="G576" s="250">
        <v>2119</v>
      </c>
      <c r="H576" s="249"/>
      <c r="I576" s="249"/>
      <c r="J576" s="330"/>
      <c r="K576" s="432"/>
      <c r="L576" s="250">
        <v>2210</v>
      </c>
      <c r="M576" s="463">
        <v>1740</v>
      </c>
      <c r="N576" s="464">
        <v>1740</v>
      </c>
      <c r="O576" s="446"/>
      <c r="P576" s="331"/>
      <c r="Q576" s="332"/>
      <c r="R576" s="250">
        <v>1896</v>
      </c>
      <c r="S576" s="496"/>
      <c r="T576" s="330"/>
      <c r="U576" s="334"/>
      <c r="V576" s="469"/>
      <c r="W576" s="315"/>
    </row>
    <row r="577" spans="1:23" x14ac:dyDescent="0.2">
      <c r="A577" s="512">
        <v>43828</v>
      </c>
      <c r="B577" s="415" t="s">
        <v>55</v>
      </c>
      <c r="C577" s="409">
        <v>1.56</v>
      </c>
      <c r="D577" s="249"/>
      <c r="E577" s="250">
        <v>1.64</v>
      </c>
      <c r="F577" s="250">
        <v>1.74</v>
      </c>
      <c r="G577" s="250">
        <v>1.96</v>
      </c>
      <c r="H577" s="249"/>
      <c r="I577" s="249"/>
      <c r="J577" s="330"/>
      <c r="K577" s="432"/>
      <c r="L577" s="250">
        <v>2.04</v>
      </c>
      <c r="M577" s="463">
        <v>1.74</v>
      </c>
      <c r="N577" s="464">
        <v>1.74</v>
      </c>
      <c r="O577" s="443"/>
      <c r="P577" s="334"/>
      <c r="Q577" s="335"/>
      <c r="R577" s="250">
        <v>1.9</v>
      </c>
      <c r="S577" s="469"/>
      <c r="T577" s="333"/>
      <c r="U577" s="334"/>
      <c r="V577" s="497"/>
      <c r="W577" s="315"/>
    </row>
    <row r="578" spans="1:23" x14ac:dyDescent="0.2">
      <c r="A578" s="512">
        <v>43828</v>
      </c>
      <c r="B578" s="415" t="s">
        <v>56</v>
      </c>
      <c r="C578" s="410">
        <f>(C576-C575)/C576</f>
        <v>1.9994082840236665E-2</v>
      </c>
      <c r="D578" s="336"/>
      <c r="E578" s="336">
        <f>(E576-E575)/E576</f>
        <v>6.513756316676024E-2</v>
      </c>
      <c r="F578" s="336">
        <f>(F576-F575)/F576</f>
        <v>6.0562334217506675E-2</v>
      </c>
      <c r="G578" s="336">
        <f>(G576-G575)/G576</f>
        <v>0.14563473336479468</v>
      </c>
      <c r="H578" s="336"/>
      <c r="I578" s="336"/>
      <c r="J578" s="338"/>
      <c r="K578" s="433"/>
      <c r="L578" s="336">
        <f>(L576-L575)/L576</f>
        <v>0.13901809954751132</v>
      </c>
      <c r="M578" s="465">
        <f>(M576-M575)/M576</f>
        <v>6.7609195402298913E-2</v>
      </c>
      <c r="N578" s="466">
        <f>(N576-N575)/N576</f>
        <v>5.8862068965517281E-2</v>
      </c>
      <c r="O578" s="444"/>
      <c r="P578" s="340"/>
      <c r="Q578" s="341"/>
      <c r="R578" s="336">
        <f>(R576-R575)/R576</f>
        <v>0.10042721518987346</v>
      </c>
      <c r="S578" s="470"/>
      <c r="T578" s="339"/>
      <c r="U578" s="340"/>
      <c r="V578" s="470"/>
      <c r="W578" s="315"/>
    </row>
    <row r="579" spans="1:23" x14ac:dyDescent="0.2">
      <c r="A579" s="512">
        <v>43828</v>
      </c>
      <c r="B579" s="415" t="s">
        <v>57</v>
      </c>
      <c r="C579" s="410">
        <f>(C576-C575)/C575</f>
        <v>2.0402002161561614E-2</v>
      </c>
      <c r="D579" s="336"/>
      <c r="E579" s="336">
        <f>(E576-E575)/E575</f>
        <v>6.9676094150715615E-2</v>
      </c>
      <c r="F579" s="336">
        <f>(F576-F575)/F575</f>
        <v>6.4466580831695736E-2</v>
      </c>
      <c r="G579" s="336">
        <f>(G576-G575)/G575</f>
        <v>0.17045956694653108</v>
      </c>
      <c r="H579" s="336"/>
      <c r="I579" s="336"/>
      <c r="J579" s="338"/>
      <c r="K579" s="433"/>
      <c r="L579" s="336">
        <f>(L576-L575)/L575</f>
        <v>0.16146460160713066</v>
      </c>
      <c r="M579" s="465">
        <f>(M576-M575)/M575</f>
        <v>7.2511649695505373E-2</v>
      </c>
      <c r="N579" s="466">
        <f>(N576-N575)/N575</f>
        <v>6.2543509324735333E-2</v>
      </c>
      <c r="O579" s="444"/>
      <c r="P579" s="340"/>
      <c r="Q579" s="341"/>
      <c r="R579" s="336">
        <f>(R576-R575)/R575</f>
        <v>0.11163878775086632</v>
      </c>
      <c r="S579" s="470"/>
      <c r="T579" s="339"/>
      <c r="U579" s="340"/>
      <c r="V579" s="470"/>
      <c r="W579" s="315"/>
    </row>
    <row r="580" spans="1:23" ht="13.3" thickBot="1" x14ac:dyDescent="0.25">
      <c r="A580" s="512">
        <v>43828</v>
      </c>
      <c r="B580" s="418" t="s">
        <v>58</v>
      </c>
      <c r="C580" s="411">
        <f>C577/C571-1</f>
        <v>6.4516129032257119E-3</v>
      </c>
      <c r="D580" s="353"/>
      <c r="E580" s="353">
        <f>E577/E571-1</f>
        <v>6.1349693251533388E-3</v>
      </c>
      <c r="F580" s="353">
        <f>F577/F571-1</f>
        <v>5.7803468208093012E-3</v>
      </c>
      <c r="G580" s="353">
        <f>G577/G571-1</f>
        <v>5.12820512820511E-3</v>
      </c>
      <c r="H580" s="353"/>
      <c r="I580" s="353"/>
      <c r="J580" s="355"/>
      <c r="K580" s="434"/>
      <c r="L580" s="353">
        <f>L577/L571-1</f>
        <v>4.9261083743843415E-3</v>
      </c>
      <c r="M580" s="467">
        <f>M577/M571-1</f>
        <v>5.7803468208093012E-3</v>
      </c>
      <c r="N580" s="292">
        <f>N577/N571-1</f>
        <v>5.7803468208093012E-3</v>
      </c>
      <c r="O580" s="445"/>
      <c r="P580" s="357"/>
      <c r="Q580" s="358"/>
      <c r="R580" s="353">
        <f>R577/R571-1</f>
        <v>5.2910052910053462E-3</v>
      </c>
      <c r="S580" s="471"/>
      <c r="T580" s="356"/>
      <c r="U580" s="357"/>
      <c r="V580" s="471"/>
      <c r="W580" s="359"/>
    </row>
    <row r="581" spans="1:23" x14ac:dyDescent="0.2">
      <c r="A581" s="512">
        <v>43835</v>
      </c>
      <c r="B581" s="419" t="s">
        <v>53</v>
      </c>
      <c r="C581" s="408">
        <v>1666.63</v>
      </c>
      <c r="D581" s="347"/>
      <c r="E581" s="346">
        <v>1674.95</v>
      </c>
      <c r="F581" s="346">
        <v>1780.84</v>
      </c>
      <c r="G581" s="346">
        <v>1819.48</v>
      </c>
      <c r="H581" s="347"/>
      <c r="I581" s="347"/>
      <c r="J581" s="290"/>
      <c r="K581" s="431"/>
      <c r="L581" s="346">
        <v>1911.95</v>
      </c>
      <c r="M581" s="256">
        <v>1631.51</v>
      </c>
      <c r="N581" s="462">
        <v>1646.81</v>
      </c>
      <c r="O581" s="442"/>
      <c r="P581" s="348"/>
      <c r="Q581" s="349"/>
      <c r="R581" s="346">
        <v>1714.4</v>
      </c>
      <c r="S581" s="346"/>
      <c r="T581" s="290"/>
      <c r="U581" s="348"/>
      <c r="V581" s="347"/>
      <c r="W581" s="346">
        <v>1269.06</v>
      </c>
    </row>
    <row r="582" spans="1:23" x14ac:dyDescent="0.2">
      <c r="A582" s="512">
        <v>43835</v>
      </c>
      <c r="B582" s="415" t="s">
        <v>54</v>
      </c>
      <c r="C582" s="409">
        <v>1703</v>
      </c>
      <c r="D582" s="249"/>
      <c r="E582" s="250">
        <v>1781</v>
      </c>
      <c r="F582" s="250">
        <v>1898</v>
      </c>
      <c r="G582" s="250">
        <v>2132</v>
      </c>
      <c r="H582" s="249"/>
      <c r="I582" s="249"/>
      <c r="J582" s="330"/>
      <c r="K582" s="432"/>
      <c r="L582" s="250">
        <v>2223</v>
      </c>
      <c r="M582" s="463">
        <v>1752</v>
      </c>
      <c r="N582" s="464">
        <v>1752</v>
      </c>
      <c r="O582" s="446"/>
      <c r="P582" s="331"/>
      <c r="Q582" s="332"/>
      <c r="R582" s="250">
        <v>1908</v>
      </c>
      <c r="S582" s="496"/>
      <c r="T582" s="330"/>
      <c r="U582" s="334"/>
      <c r="V582" s="469"/>
      <c r="W582" s="315"/>
    </row>
    <row r="583" spans="1:23" x14ac:dyDescent="0.2">
      <c r="A583" s="512">
        <v>43835</v>
      </c>
      <c r="B583" s="415" t="s">
        <v>55</v>
      </c>
      <c r="C583" s="409">
        <v>1.57</v>
      </c>
      <c r="D583" s="249"/>
      <c r="E583" s="250">
        <v>1.65</v>
      </c>
      <c r="F583" s="250">
        <v>1.75</v>
      </c>
      <c r="G583" s="250">
        <v>1.97</v>
      </c>
      <c r="H583" s="249"/>
      <c r="I583" s="249"/>
      <c r="J583" s="330"/>
      <c r="K583" s="432"/>
      <c r="L583" s="250">
        <v>2.0499999999999998</v>
      </c>
      <c r="M583" s="463">
        <v>1.75</v>
      </c>
      <c r="N583" s="464">
        <v>1.75</v>
      </c>
      <c r="O583" s="443"/>
      <c r="P583" s="334"/>
      <c r="Q583" s="335"/>
      <c r="R583" s="250">
        <v>1.91</v>
      </c>
      <c r="S583" s="469"/>
      <c r="T583" s="333"/>
      <c r="U583" s="334"/>
      <c r="V583" s="497"/>
      <c r="W583" s="315"/>
    </row>
    <row r="584" spans="1:23" x14ac:dyDescent="0.2">
      <c r="A584" s="512">
        <v>43835</v>
      </c>
      <c r="B584" s="415" t="s">
        <v>56</v>
      </c>
      <c r="C584" s="410">
        <f>(C582-C581)/C582</f>
        <v>2.1356429829712208E-2</v>
      </c>
      <c r="D584" s="336"/>
      <c r="E584" s="336">
        <f>(E582-E581)/E582</f>
        <v>5.9545199326221196E-2</v>
      </c>
      <c r="F584" s="336">
        <f>(F582-F581)/F582</f>
        <v>6.1728134878819854E-2</v>
      </c>
      <c r="G584" s="336">
        <f>(G582-G581)/G582</f>
        <v>0.14658536585365853</v>
      </c>
      <c r="H584" s="336"/>
      <c r="I584" s="336"/>
      <c r="J584" s="338"/>
      <c r="K584" s="433"/>
      <c r="L584" s="336">
        <f>(L582-L581)/L582</f>
        <v>0.13992352676563199</v>
      </c>
      <c r="M584" s="465">
        <f>(M582-M581)/M582</f>
        <v>6.8772831050228314E-2</v>
      </c>
      <c r="N584" s="466">
        <f>(N582-N581)/N582</f>
        <v>6.0039954337899576E-2</v>
      </c>
      <c r="O584" s="444"/>
      <c r="P584" s="340"/>
      <c r="Q584" s="341"/>
      <c r="R584" s="336">
        <f>(R582-R581)/R582</f>
        <v>0.10146750524109011</v>
      </c>
      <c r="S584" s="470"/>
      <c r="T584" s="339"/>
      <c r="U584" s="340"/>
      <c r="V584" s="470"/>
      <c r="W584" s="315"/>
    </row>
    <row r="585" spans="1:23" x14ac:dyDescent="0.2">
      <c r="A585" s="512">
        <v>43835</v>
      </c>
      <c r="B585" s="415" t="s">
        <v>57</v>
      </c>
      <c r="C585" s="410">
        <f>(C582-C581)/C581</f>
        <v>2.1822480094562013E-2</v>
      </c>
      <c r="D585" s="336"/>
      <c r="E585" s="336">
        <f>(E582-E581)/E581</f>
        <v>6.3315322845458044E-2</v>
      </c>
      <c r="F585" s="336">
        <f>(F582-F581)/F581</f>
        <v>6.5789178140652771E-2</v>
      </c>
      <c r="G585" s="336">
        <f>(G582-G581)/G581</f>
        <v>0.17176336096027436</v>
      </c>
      <c r="H585" s="336"/>
      <c r="I585" s="336"/>
      <c r="J585" s="338"/>
      <c r="K585" s="433"/>
      <c r="L585" s="336">
        <f>(L582-L581)/L581</f>
        <v>0.16268730876853471</v>
      </c>
      <c r="M585" s="465">
        <f>(M582-M581)/M581</f>
        <v>7.3851830512837807E-2</v>
      </c>
      <c r="N585" s="466">
        <f>(N582-N581)/N581</f>
        <v>6.3875006831389206E-2</v>
      </c>
      <c r="O585" s="444"/>
      <c r="P585" s="340"/>
      <c r="Q585" s="341"/>
      <c r="R585" s="336">
        <f>(R582-R581)/R581</f>
        <v>0.11292580494633685</v>
      </c>
      <c r="S585" s="470"/>
      <c r="T585" s="339"/>
      <c r="U585" s="340"/>
      <c r="V585" s="470"/>
      <c r="W585" s="315"/>
    </row>
    <row r="586" spans="1:23" ht="13.3" thickBot="1" x14ac:dyDescent="0.25">
      <c r="A586" s="512">
        <v>43835</v>
      </c>
      <c r="B586" s="418" t="s">
        <v>58</v>
      </c>
      <c r="C586" s="411">
        <f>C583/C577-1</f>
        <v>6.4102564102563875E-3</v>
      </c>
      <c r="D586" s="353"/>
      <c r="E586" s="353">
        <f>E583/E577-1</f>
        <v>6.0975609756097615E-3</v>
      </c>
      <c r="F586" s="353">
        <f>F583/F577-1</f>
        <v>5.7471264367816577E-3</v>
      </c>
      <c r="G586" s="353">
        <f>G583/G577-1</f>
        <v>5.1020408163264808E-3</v>
      </c>
      <c r="H586" s="353"/>
      <c r="I586" s="353"/>
      <c r="J586" s="355"/>
      <c r="K586" s="434"/>
      <c r="L586" s="353">
        <f>L583/L577-1</f>
        <v>4.9019607843137081E-3</v>
      </c>
      <c r="M586" s="467">
        <f>M583/M577-1</f>
        <v>5.7471264367816577E-3</v>
      </c>
      <c r="N586" s="292">
        <f>N583/N577-1</f>
        <v>5.7471264367816577E-3</v>
      </c>
      <c r="O586" s="445"/>
      <c r="P586" s="357"/>
      <c r="Q586" s="358"/>
      <c r="R586" s="353">
        <f>R583/R577-1</f>
        <v>5.2631578947368585E-3</v>
      </c>
      <c r="S586" s="471"/>
      <c r="T586" s="356"/>
      <c r="U586" s="357"/>
      <c r="V586" s="471"/>
      <c r="W586" s="359"/>
    </row>
    <row r="587" spans="1:23" x14ac:dyDescent="0.2">
      <c r="A587" s="512">
        <v>43842</v>
      </c>
      <c r="B587" s="419" t="s">
        <v>53</v>
      </c>
      <c r="C587" s="408">
        <v>1677.05</v>
      </c>
      <c r="D587" s="347"/>
      <c r="E587" s="346">
        <v>1684.91</v>
      </c>
      <c r="F587" s="346">
        <v>1790.84</v>
      </c>
      <c r="G587" s="346">
        <v>1828.56</v>
      </c>
      <c r="H587" s="347"/>
      <c r="I587" s="347"/>
      <c r="J587" s="290"/>
      <c r="K587" s="431"/>
      <c r="L587" s="346">
        <v>1921.13</v>
      </c>
      <c r="M587" s="256">
        <v>1640.66</v>
      </c>
      <c r="N587" s="462">
        <v>1656.04</v>
      </c>
      <c r="O587" s="442"/>
      <c r="P587" s="348"/>
      <c r="Q587" s="349"/>
      <c r="R587" s="346">
        <v>1714.4</v>
      </c>
      <c r="S587" s="346"/>
      <c r="T587" s="290"/>
      <c r="U587" s="348"/>
      <c r="V587" s="347"/>
      <c r="W587" s="346">
        <v>1269.06</v>
      </c>
    </row>
    <row r="588" spans="1:23" x14ac:dyDescent="0.2">
      <c r="A588" s="512">
        <v>43842</v>
      </c>
      <c r="B588" s="415" t="s">
        <v>54</v>
      </c>
      <c r="C588" s="409">
        <v>1716</v>
      </c>
      <c r="D588" s="249"/>
      <c r="E588" s="250">
        <v>1794</v>
      </c>
      <c r="F588" s="250">
        <v>1911</v>
      </c>
      <c r="G588" s="250">
        <v>2145</v>
      </c>
      <c r="H588" s="249"/>
      <c r="I588" s="249"/>
      <c r="J588" s="330"/>
      <c r="K588" s="432"/>
      <c r="L588" s="250">
        <v>2236</v>
      </c>
      <c r="M588" s="463">
        <v>1764</v>
      </c>
      <c r="N588" s="464">
        <v>1764</v>
      </c>
      <c r="O588" s="446"/>
      <c r="P588" s="331"/>
      <c r="Q588" s="332"/>
      <c r="R588" s="250">
        <v>1920</v>
      </c>
      <c r="S588" s="496"/>
      <c r="T588" s="330"/>
      <c r="U588" s="334"/>
      <c r="V588" s="469"/>
      <c r="W588" s="315"/>
    </row>
    <row r="589" spans="1:23" x14ac:dyDescent="0.2">
      <c r="A589" s="512">
        <v>43842</v>
      </c>
      <c r="B589" s="415" t="s">
        <v>55</v>
      </c>
      <c r="C589" s="409">
        <v>1.58</v>
      </c>
      <c r="D589" s="249"/>
      <c r="E589" s="250">
        <v>1.66</v>
      </c>
      <c r="F589" s="250">
        <v>1.76</v>
      </c>
      <c r="G589" s="250">
        <v>1.98</v>
      </c>
      <c r="H589" s="249"/>
      <c r="I589" s="249"/>
      <c r="J589" s="330"/>
      <c r="K589" s="432"/>
      <c r="L589" s="250">
        <v>2.06</v>
      </c>
      <c r="M589" s="463">
        <v>1.76</v>
      </c>
      <c r="N589" s="464">
        <v>1.76</v>
      </c>
      <c r="O589" s="443"/>
      <c r="P589" s="334"/>
      <c r="Q589" s="335"/>
      <c r="R589" s="250">
        <v>1.92</v>
      </c>
      <c r="S589" s="469"/>
      <c r="T589" s="333"/>
      <c r="U589" s="334"/>
      <c r="V589" s="497"/>
      <c r="W589" s="315"/>
    </row>
    <row r="590" spans="1:23" x14ac:dyDescent="0.2">
      <c r="A590" s="512">
        <v>43842</v>
      </c>
      <c r="B590" s="415" t="s">
        <v>56</v>
      </c>
      <c r="C590" s="410">
        <f>(C588-C587)/C588</f>
        <v>2.2698135198135225E-2</v>
      </c>
      <c r="D590" s="336"/>
      <c r="E590" s="336">
        <f>(E588-E587)/E588</f>
        <v>6.0808249721293152E-2</v>
      </c>
      <c r="F590" s="336">
        <f>(F588-F587)/F588</f>
        <v>6.2878074306645784E-2</v>
      </c>
      <c r="G590" s="336">
        <f>(G588-G587)/G588</f>
        <v>0.14752447552447556</v>
      </c>
      <c r="H590" s="336"/>
      <c r="I590" s="336"/>
      <c r="J590" s="338"/>
      <c r="K590" s="433"/>
      <c r="L590" s="336">
        <f>(L588-L587)/L588</f>
        <v>0.14081842576028616</v>
      </c>
      <c r="M590" s="465">
        <f>(M588-M587)/M588</f>
        <v>6.9920634920634869E-2</v>
      </c>
      <c r="N590" s="466">
        <f>(N588-N587)/N588</f>
        <v>6.1201814058956937E-2</v>
      </c>
      <c r="O590" s="444"/>
      <c r="P590" s="340"/>
      <c r="Q590" s="341"/>
      <c r="R590" s="336">
        <f>(R588-R587)/R588</f>
        <v>0.10708333333333328</v>
      </c>
      <c r="S590" s="470"/>
      <c r="T590" s="339"/>
      <c r="U590" s="340"/>
      <c r="V590" s="470"/>
      <c r="W590" s="315"/>
    </row>
    <row r="591" spans="1:23" x14ac:dyDescent="0.2">
      <c r="A591" s="512">
        <v>43842</v>
      </c>
      <c r="B591" s="415" t="s">
        <v>57</v>
      </c>
      <c r="C591" s="410">
        <f>(C588-C587)/C587</f>
        <v>2.322530634149253E-2</v>
      </c>
      <c r="D591" s="336"/>
      <c r="E591" s="336">
        <f>(E588-E587)/E587</f>
        <v>6.4745297968437435E-2</v>
      </c>
      <c r="F591" s="336">
        <f>(F588-F587)/F587</f>
        <v>6.7097004757544002E-2</v>
      </c>
      <c r="G591" s="336">
        <f>(G588-G587)/G587</f>
        <v>0.17305420658879123</v>
      </c>
      <c r="H591" s="336"/>
      <c r="I591" s="336"/>
      <c r="J591" s="338"/>
      <c r="K591" s="433"/>
      <c r="L591" s="336">
        <f>(L588-L587)/L587</f>
        <v>0.1638983306699702</v>
      </c>
      <c r="M591" s="465">
        <f>(M588-M587)/M587</f>
        <v>7.5177062889324978E-2</v>
      </c>
      <c r="N591" s="466">
        <f>(N588-N587)/N587</f>
        <v>6.5191662037148879E-2</v>
      </c>
      <c r="O591" s="444"/>
      <c r="P591" s="340"/>
      <c r="Q591" s="341"/>
      <c r="R591" s="336">
        <f>(R588-R587)/R587</f>
        <v>0.11992533831077923</v>
      </c>
      <c r="S591" s="470"/>
      <c r="T591" s="339"/>
      <c r="U591" s="340"/>
      <c r="V591" s="470"/>
      <c r="W591" s="315"/>
    </row>
    <row r="592" spans="1:23" ht="13.3" thickBot="1" x14ac:dyDescent="0.25">
      <c r="A592" s="512">
        <v>43842</v>
      </c>
      <c r="B592" s="418" t="s">
        <v>58</v>
      </c>
      <c r="C592" s="411">
        <f>C589/C583-1</f>
        <v>6.3694267515923553E-3</v>
      </c>
      <c r="D592" s="353"/>
      <c r="E592" s="353">
        <f>E589/E583-1</f>
        <v>6.0606060606060996E-3</v>
      </c>
      <c r="F592" s="353">
        <f>F589/F583-1</f>
        <v>5.7142857142857828E-3</v>
      </c>
      <c r="G592" s="353">
        <f>G589/G583-1</f>
        <v>5.0761421319795996E-3</v>
      </c>
      <c r="H592" s="353"/>
      <c r="I592" s="353"/>
      <c r="J592" s="355"/>
      <c r="K592" s="434"/>
      <c r="L592" s="353">
        <f>L589/L583-1</f>
        <v>4.8780487804878092E-3</v>
      </c>
      <c r="M592" s="467">
        <f>M589/M583-1</f>
        <v>5.7142857142857828E-3</v>
      </c>
      <c r="N592" s="292">
        <f>N589/N583-1</f>
        <v>5.7142857142857828E-3</v>
      </c>
      <c r="O592" s="445"/>
      <c r="P592" s="357"/>
      <c r="Q592" s="358"/>
      <c r="R592" s="353">
        <f>R589/R583-1</f>
        <v>5.2356020942407877E-3</v>
      </c>
      <c r="S592" s="471"/>
      <c r="T592" s="356"/>
      <c r="U592" s="357"/>
      <c r="V592" s="471"/>
      <c r="W592" s="359"/>
    </row>
    <row r="593" spans="1:23" x14ac:dyDescent="0.2">
      <c r="A593" s="512">
        <v>43849</v>
      </c>
      <c r="B593" s="419" t="s">
        <v>53</v>
      </c>
      <c r="C593" s="408">
        <v>1687.47</v>
      </c>
      <c r="D593" s="347"/>
      <c r="E593" s="346">
        <v>1694.87</v>
      </c>
      <c r="F593" s="346">
        <v>1800.84</v>
      </c>
      <c r="G593" s="346">
        <v>1827.64</v>
      </c>
      <c r="H593" s="347"/>
      <c r="I593" s="347"/>
      <c r="J593" s="290"/>
      <c r="K593" s="431"/>
      <c r="L593" s="346">
        <v>1930.31</v>
      </c>
      <c r="M593" s="256">
        <v>1649.81</v>
      </c>
      <c r="N593" s="462">
        <v>1665.27</v>
      </c>
      <c r="O593" s="442"/>
      <c r="P593" s="348"/>
      <c r="Q593" s="349"/>
      <c r="R593" s="346">
        <v>1732.02</v>
      </c>
      <c r="S593" s="346"/>
      <c r="T593" s="290"/>
      <c r="U593" s="348"/>
      <c r="V593" s="347"/>
      <c r="W593" s="346">
        <v>1269.06</v>
      </c>
    </row>
    <row r="594" spans="1:23" x14ac:dyDescent="0.2">
      <c r="A594" s="512">
        <v>43849</v>
      </c>
      <c r="B594" s="415" t="s">
        <v>54</v>
      </c>
      <c r="C594" s="409">
        <v>1716</v>
      </c>
      <c r="D594" s="249"/>
      <c r="E594" s="250">
        <v>1807</v>
      </c>
      <c r="F594" s="250">
        <v>1911</v>
      </c>
      <c r="G594" s="250">
        <v>2158</v>
      </c>
      <c r="H594" s="249"/>
      <c r="I594" s="249"/>
      <c r="J594" s="330"/>
      <c r="K594" s="432"/>
      <c r="L594" s="250">
        <v>2236</v>
      </c>
      <c r="M594" s="463">
        <v>1764</v>
      </c>
      <c r="N594" s="464">
        <v>1764</v>
      </c>
      <c r="O594" s="446"/>
      <c r="P594" s="331"/>
      <c r="Q594" s="332"/>
      <c r="R594" s="250">
        <v>1932</v>
      </c>
      <c r="S594" s="496"/>
      <c r="T594" s="330"/>
      <c r="U594" s="334"/>
      <c r="V594" s="469"/>
      <c r="W594" s="315"/>
    </row>
    <row r="595" spans="1:23" x14ac:dyDescent="0.2">
      <c r="A595" s="512">
        <v>43849</v>
      </c>
      <c r="B595" s="415" t="s">
        <v>55</v>
      </c>
      <c r="C595" s="409">
        <v>1.59</v>
      </c>
      <c r="D595" s="249"/>
      <c r="E595" s="250">
        <v>1.67</v>
      </c>
      <c r="F595" s="250">
        <v>1.77</v>
      </c>
      <c r="G595" s="250">
        <v>1.99</v>
      </c>
      <c r="H595" s="249"/>
      <c r="I595" s="249"/>
      <c r="J595" s="330"/>
      <c r="K595" s="432"/>
      <c r="L595" s="250">
        <v>2.0699999999999998</v>
      </c>
      <c r="M595" s="463">
        <v>1.77</v>
      </c>
      <c r="N595" s="464">
        <v>1.77</v>
      </c>
      <c r="O595" s="443"/>
      <c r="P595" s="334"/>
      <c r="Q595" s="335"/>
      <c r="R595" s="250">
        <v>1.93</v>
      </c>
      <c r="S595" s="469"/>
      <c r="T595" s="333"/>
      <c r="U595" s="334"/>
      <c r="V595" s="497"/>
      <c r="W595" s="315"/>
    </row>
    <row r="596" spans="1:23" x14ac:dyDescent="0.2">
      <c r="A596" s="512">
        <v>43849</v>
      </c>
      <c r="B596" s="415" t="s">
        <v>56</v>
      </c>
      <c r="C596" s="410">
        <f>(C594-C593)/C594</f>
        <v>1.6625874125874109E-2</v>
      </c>
      <c r="D596" s="336"/>
      <c r="E596" s="336">
        <f>(E594-E593)/E594</f>
        <v>6.2053126729385781E-2</v>
      </c>
      <c r="F596" s="336">
        <f>(F594-F593)/F594</f>
        <v>5.7645211930926261E-2</v>
      </c>
      <c r="G596" s="336">
        <f>(G594-G593)/G594</f>
        <v>0.15308619091751619</v>
      </c>
      <c r="H596" s="336"/>
      <c r="I596" s="336"/>
      <c r="J596" s="338"/>
      <c r="K596" s="433"/>
      <c r="L596" s="336">
        <f>(L594-L593)/L594</f>
        <v>0.13671288014311272</v>
      </c>
      <c r="M596" s="465">
        <f>(M594-M593)/M594</f>
        <v>6.4733560090702982E-2</v>
      </c>
      <c r="N596" s="466">
        <f>(N594-N593)/N594</f>
        <v>5.5969387755102053E-2</v>
      </c>
      <c r="O596" s="444"/>
      <c r="P596" s="340"/>
      <c r="Q596" s="341"/>
      <c r="R596" s="336">
        <f>(R594-R593)/R594</f>
        <v>0.10350931677018635</v>
      </c>
      <c r="S596" s="470"/>
      <c r="T596" s="339"/>
      <c r="U596" s="340"/>
      <c r="V596" s="470"/>
      <c r="W596" s="315"/>
    </row>
    <row r="597" spans="1:23" x14ac:dyDescent="0.2">
      <c r="A597" s="512">
        <v>43849</v>
      </c>
      <c r="B597" s="415" t="s">
        <v>57</v>
      </c>
      <c r="C597" s="410">
        <f>(C594-C593)/C593</f>
        <v>1.690696723497305E-2</v>
      </c>
      <c r="D597" s="336"/>
      <c r="E597" s="336">
        <f>(E594-E593)/E593</f>
        <v>6.6158466431053775E-2</v>
      </c>
      <c r="F597" s="336">
        <f>(F594-F593)/F593</f>
        <v>6.1171453321783219E-2</v>
      </c>
      <c r="G597" s="336">
        <f>(G594-G593)/G593</f>
        <v>0.18075769845264925</v>
      </c>
      <c r="H597" s="336"/>
      <c r="I597" s="336"/>
      <c r="J597" s="338"/>
      <c r="K597" s="433"/>
      <c r="L597" s="336">
        <f>(L594-L593)/L593</f>
        <v>0.15836316446581122</v>
      </c>
      <c r="M597" s="465">
        <f>(M594-M593)/M593</f>
        <v>6.9214030706566246E-2</v>
      </c>
      <c r="N597" s="466">
        <f>(N594-N593)/N593</f>
        <v>5.928768307841973E-2</v>
      </c>
      <c r="O597" s="444"/>
      <c r="P597" s="340"/>
      <c r="Q597" s="341"/>
      <c r="R597" s="336">
        <f>(R594-R593)/R593</f>
        <v>0.11546056050161085</v>
      </c>
      <c r="S597" s="470"/>
      <c r="T597" s="339"/>
      <c r="U597" s="340"/>
      <c r="V597" s="470"/>
      <c r="W597" s="315"/>
    </row>
    <row r="598" spans="1:23" ht="13.3" thickBot="1" x14ac:dyDescent="0.25">
      <c r="A598" s="512">
        <v>43849</v>
      </c>
      <c r="B598" s="418" t="s">
        <v>58</v>
      </c>
      <c r="C598" s="411">
        <f>C595/C589-1</f>
        <v>6.3291139240506666E-3</v>
      </c>
      <c r="D598" s="353"/>
      <c r="E598" s="353">
        <f>E595/E589-1</f>
        <v>6.0240963855422436E-3</v>
      </c>
      <c r="F598" s="353">
        <f>F595/F589-1</f>
        <v>5.6818181818181213E-3</v>
      </c>
      <c r="G598" s="353">
        <f>G595/G589-1</f>
        <v>5.050505050504972E-3</v>
      </c>
      <c r="H598" s="353"/>
      <c r="I598" s="353"/>
      <c r="J598" s="355"/>
      <c r="K598" s="434"/>
      <c r="L598" s="353">
        <f>L595/L589-1</f>
        <v>4.8543689320388328E-3</v>
      </c>
      <c r="M598" s="467">
        <f>M595/M589-1</f>
        <v>5.6818181818181213E-3</v>
      </c>
      <c r="N598" s="292">
        <f>N595/N589-1</f>
        <v>5.6818181818181213E-3</v>
      </c>
      <c r="O598" s="445"/>
      <c r="P598" s="357"/>
      <c r="Q598" s="358"/>
      <c r="R598" s="353">
        <f>R595/R589-1</f>
        <v>5.2083333333332593E-3</v>
      </c>
      <c r="S598" s="471"/>
      <c r="T598" s="356"/>
      <c r="U598" s="357"/>
      <c r="V598" s="471"/>
      <c r="W598" s="359"/>
    </row>
    <row r="599" spans="1:23" x14ac:dyDescent="0.2">
      <c r="A599" s="512">
        <v>43856</v>
      </c>
      <c r="B599" s="419" t="s">
        <v>53</v>
      </c>
      <c r="C599" s="408">
        <v>1697.89</v>
      </c>
      <c r="D599" s="347"/>
      <c r="E599" s="346">
        <v>1704.83</v>
      </c>
      <c r="F599" s="346">
        <v>1810.84</v>
      </c>
      <c r="G599" s="346">
        <v>1846.72</v>
      </c>
      <c r="H599" s="347"/>
      <c r="I599" s="347"/>
      <c r="J599" s="290"/>
      <c r="K599" s="431"/>
      <c r="L599" s="346">
        <v>1939.49</v>
      </c>
      <c r="M599" s="256">
        <v>1658.96</v>
      </c>
      <c r="N599" s="462">
        <v>1674.5</v>
      </c>
      <c r="O599" s="442"/>
      <c r="P599" s="348"/>
      <c r="Q599" s="349"/>
      <c r="R599" s="346">
        <v>1740.83</v>
      </c>
      <c r="S599" s="346"/>
      <c r="T599" s="290"/>
      <c r="U599" s="348"/>
      <c r="V599" s="347"/>
      <c r="W599" s="346">
        <v>1269.06</v>
      </c>
    </row>
    <row r="600" spans="1:23" x14ac:dyDescent="0.2">
      <c r="A600" s="512">
        <v>43856</v>
      </c>
      <c r="B600" s="415" t="s">
        <v>54</v>
      </c>
      <c r="C600" s="409">
        <v>1729</v>
      </c>
      <c r="D600" s="249"/>
      <c r="E600" s="250">
        <v>1820</v>
      </c>
      <c r="F600" s="250">
        <v>1924</v>
      </c>
      <c r="G600" s="250">
        <v>2171</v>
      </c>
      <c r="H600" s="249"/>
      <c r="I600" s="249"/>
      <c r="J600" s="330"/>
      <c r="K600" s="432"/>
      <c r="L600" s="250">
        <v>2249</v>
      </c>
      <c r="M600" s="463">
        <v>1776</v>
      </c>
      <c r="N600" s="464">
        <v>1776</v>
      </c>
      <c r="O600" s="446"/>
      <c r="P600" s="331"/>
      <c r="Q600" s="332"/>
      <c r="R600" s="250">
        <v>1944</v>
      </c>
      <c r="S600" s="496"/>
      <c r="T600" s="330"/>
      <c r="U600" s="334"/>
      <c r="V600" s="469"/>
      <c r="W600" s="315"/>
    </row>
    <row r="601" spans="1:23" x14ac:dyDescent="0.2">
      <c r="A601" s="512">
        <v>43856</v>
      </c>
      <c r="B601" s="415" t="s">
        <v>55</v>
      </c>
      <c r="C601" s="409">
        <v>1.6</v>
      </c>
      <c r="D601" s="249"/>
      <c r="E601" s="250">
        <v>1.68</v>
      </c>
      <c r="F601" s="250">
        <v>1.78</v>
      </c>
      <c r="G601" s="250">
        <v>2</v>
      </c>
      <c r="H601" s="249"/>
      <c r="I601" s="249"/>
      <c r="J601" s="330"/>
      <c r="K601" s="432"/>
      <c r="L601" s="250">
        <v>2.08</v>
      </c>
      <c r="M601" s="463">
        <v>1.78</v>
      </c>
      <c r="N601" s="464">
        <v>1.78</v>
      </c>
      <c r="O601" s="443"/>
      <c r="P601" s="334"/>
      <c r="Q601" s="335"/>
      <c r="R601" s="250">
        <v>1.94</v>
      </c>
      <c r="S601" s="469"/>
      <c r="T601" s="333"/>
      <c r="U601" s="334"/>
      <c r="V601" s="497"/>
      <c r="W601" s="315"/>
    </row>
    <row r="602" spans="1:23" x14ac:dyDescent="0.2">
      <c r="A602" s="512">
        <v>43856</v>
      </c>
      <c r="B602" s="415" t="s">
        <v>56</v>
      </c>
      <c r="C602" s="410">
        <f>(C600-C599)/C600</f>
        <v>1.7993059572006882E-2</v>
      </c>
      <c r="D602" s="336"/>
      <c r="E602" s="336">
        <f>(E600-E599)/E600</f>
        <v>6.3280219780219818E-2</v>
      </c>
      <c r="F602" s="336">
        <f>(F600-F599)/F600</f>
        <v>5.8814968814968858E-2</v>
      </c>
      <c r="G602" s="336">
        <f>(G600-G599)/G600</f>
        <v>0.1493689543988945</v>
      </c>
      <c r="H602" s="336"/>
      <c r="I602" s="336"/>
      <c r="J602" s="338"/>
      <c r="K602" s="433"/>
      <c r="L602" s="336">
        <f>(L600-L599)/L600</f>
        <v>0.13762116496220542</v>
      </c>
      <c r="M602" s="465">
        <f>(M600-M599)/M600</f>
        <v>6.590090090090088E-2</v>
      </c>
      <c r="N602" s="466">
        <f>(N600-N599)/N600</f>
        <v>5.71509009009009E-2</v>
      </c>
      <c r="O602" s="444"/>
      <c r="P602" s="340"/>
      <c r="Q602" s="341"/>
      <c r="R602" s="336">
        <f>(R600-R599)/R600</f>
        <v>0.10451131687242803</v>
      </c>
      <c r="S602" s="470"/>
      <c r="T602" s="339"/>
      <c r="U602" s="340"/>
      <c r="V602" s="470"/>
      <c r="W602" s="315"/>
    </row>
    <row r="603" spans="1:23" x14ac:dyDescent="0.2">
      <c r="A603" s="512">
        <v>43856</v>
      </c>
      <c r="B603" s="415" t="s">
        <v>57</v>
      </c>
      <c r="C603" s="410">
        <f>(C600-C599)/C599</f>
        <v>1.8322741755944082E-2</v>
      </c>
      <c r="D603" s="336"/>
      <c r="E603" s="336">
        <f>(E600-E599)/E599</f>
        <v>6.7555122798167611E-2</v>
      </c>
      <c r="F603" s="336">
        <f>(F600-F599)/F599</f>
        <v>6.2490335976673854E-2</v>
      </c>
      <c r="G603" s="336">
        <f>(G600-G599)/G599</f>
        <v>0.17559781666955465</v>
      </c>
      <c r="H603" s="336"/>
      <c r="I603" s="336"/>
      <c r="J603" s="338"/>
      <c r="K603" s="433"/>
      <c r="L603" s="336">
        <f>(L600-L599)/L599</f>
        <v>0.15958318939515026</v>
      </c>
      <c r="M603" s="465">
        <f>(M600-M599)/M599</f>
        <v>7.0550224236871267E-2</v>
      </c>
      <c r="N603" s="466">
        <f>(N600-N599)/N599</f>
        <v>6.0615108987757536E-2</v>
      </c>
      <c r="O603" s="444"/>
      <c r="P603" s="340"/>
      <c r="Q603" s="341"/>
      <c r="R603" s="336">
        <f>(R600-R599)/R599</f>
        <v>0.11670869642641733</v>
      </c>
      <c r="S603" s="470"/>
      <c r="T603" s="339"/>
      <c r="U603" s="340"/>
      <c r="V603" s="470"/>
      <c r="W603" s="315"/>
    </row>
    <row r="604" spans="1:23" ht="13.3" thickBot="1" x14ac:dyDescent="0.25">
      <c r="A604" s="512">
        <v>43856</v>
      </c>
      <c r="B604" s="418" t="s">
        <v>58</v>
      </c>
      <c r="C604" s="411">
        <f>C601/C595-1</f>
        <v>6.2893081761006275E-3</v>
      </c>
      <c r="D604" s="353"/>
      <c r="E604" s="353">
        <f>E601/E595-1</f>
        <v>5.9880239520957446E-3</v>
      </c>
      <c r="F604" s="353">
        <f>F601/F595-1</f>
        <v>5.6497175141243527E-3</v>
      </c>
      <c r="G604" s="353">
        <f>G601/G595-1</f>
        <v>5.0251256281406143E-3</v>
      </c>
      <c r="H604" s="353"/>
      <c r="I604" s="353"/>
      <c r="J604" s="355"/>
      <c r="K604" s="434"/>
      <c r="L604" s="353">
        <f>L601/L595-1</f>
        <v>4.8309178743961567E-3</v>
      </c>
      <c r="M604" s="467">
        <f>M601/M595-1</f>
        <v>5.6497175141243527E-3</v>
      </c>
      <c r="N604" s="292">
        <f>N601/N595-1</f>
        <v>5.6497175141243527E-3</v>
      </c>
      <c r="O604" s="445"/>
      <c r="P604" s="357"/>
      <c r="Q604" s="358"/>
      <c r="R604" s="353">
        <f>R601/R595-1</f>
        <v>5.1813471502590858E-3</v>
      </c>
      <c r="S604" s="471"/>
      <c r="T604" s="356"/>
      <c r="U604" s="357"/>
      <c r="V604" s="471"/>
      <c r="W604" s="359"/>
    </row>
    <row r="605" spans="1:23" x14ac:dyDescent="0.2">
      <c r="A605" s="512">
        <v>43863</v>
      </c>
      <c r="B605" s="419" t="s">
        <v>53</v>
      </c>
      <c r="C605" s="408">
        <v>1708.31</v>
      </c>
      <c r="D605" s="347"/>
      <c r="E605" s="346">
        <v>1714.79</v>
      </c>
      <c r="F605" s="346">
        <v>1820.84</v>
      </c>
      <c r="G605" s="346">
        <v>1855.8</v>
      </c>
      <c r="H605" s="347"/>
      <c r="I605" s="347"/>
      <c r="J605" s="290"/>
      <c r="K605" s="431"/>
      <c r="L605" s="346">
        <v>1948.67</v>
      </c>
      <c r="M605" s="256">
        <v>1668.11</v>
      </c>
      <c r="N605" s="462">
        <v>1683.73</v>
      </c>
      <c r="O605" s="442"/>
      <c r="P605" s="348"/>
      <c r="Q605" s="349"/>
      <c r="R605" s="346">
        <v>1749.64</v>
      </c>
      <c r="S605" s="346"/>
      <c r="T605" s="290"/>
      <c r="U605" s="348"/>
      <c r="V605" s="347"/>
      <c r="W605" s="346">
        <v>1269.06</v>
      </c>
    </row>
    <row r="606" spans="1:23" x14ac:dyDescent="0.2">
      <c r="A606" s="512">
        <v>43863</v>
      </c>
      <c r="B606" s="415" t="s">
        <v>54</v>
      </c>
      <c r="C606" s="409">
        <v>1742</v>
      </c>
      <c r="D606" s="249"/>
      <c r="E606" s="250">
        <v>1833</v>
      </c>
      <c r="F606" s="250">
        <v>1937</v>
      </c>
      <c r="G606" s="250">
        <v>2171</v>
      </c>
      <c r="H606" s="249"/>
      <c r="I606" s="249"/>
      <c r="J606" s="330"/>
      <c r="K606" s="432"/>
      <c r="L606" s="250">
        <v>2262</v>
      </c>
      <c r="M606" s="463">
        <v>1788</v>
      </c>
      <c r="N606" s="464">
        <v>1788</v>
      </c>
      <c r="O606" s="446"/>
      <c r="P606" s="331"/>
      <c r="Q606" s="332"/>
      <c r="R606" s="250">
        <v>1944</v>
      </c>
      <c r="S606" s="496"/>
      <c r="T606" s="330"/>
      <c r="U606" s="334"/>
      <c r="V606" s="469"/>
      <c r="W606" s="315"/>
    </row>
    <row r="607" spans="1:23" x14ac:dyDescent="0.2">
      <c r="A607" s="512">
        <v>43863</v>
      </c>
      <c r="B607" s="415" t="s">
        <v>55</v>
      </c>
      <c r="C607" s="409">
        <v>1.61</v>
      </c>
      <c r="D607" s="249"/>
      <c r="E607" s="250">
        <v>1.69</v>
      </c>
      <c r="F607" s="250">
        <v>1.79</v>
      </c>
      <c r="G607" s="250">
        <v>2.0099999999999998</v>
      </c>
      <c r="H607" s="249"/>
      <c r="I607" s="249"/>
      <c r="J607" s="330"/>
      <c r="K607" s="432"/>
      <c r="L607" s="250">
        <v>2.09</v>
      </c>
      <c r="M607" s="463">
        <v>1.79</v>
      </c>
      <c r="N607" s="464">
        <v>1.79</v>
      </c>
      <c r="O607" s="443"/>
      <c r="P607" s="334"/>
      <c r="Q607" s="335"/>
      <c r="R607" s="250">
        <v>1.95</v>
      </c>
      <c r="S607" s="469"/>
      <c r="T607" s="333"/>
      <c r="U607" s="334"/>
      <c r="V607" s="497"/>
      <c r="W607" s="315"/>
    </row>
    <row r="608" spans="1:23" x14ac:dyDescent="0.2">
      <c r="A608" s="512">
        <v>43863</v>
      </c>
      <c r="B608" s="415" t="s">
        <v>56</v>
      </c>
      <c r="C608" s="410">
        <f>(C606-C605)/C606</f>
        <v>1.9339839265212429E-2</v>
      </c>
      <c r="D608" s="336"/>
      <c r="E608" s="336">
        <f>(E606-E605)/E606</f>
        <v>6.4489907255864717E-2</v>
      </c>
      <c r="F608" s="336">
        <f>(F606-F605)/F606</f>
        <v>5.996902426432632E-2</v>
      </c>
      <c r="G608" s="336">
        <f>(G606-G605)/G606</f>
        <v>0.14518654997696917</v>
      </c>
      <c r="H608" s="336"/>
      <c r="I608" s="336"/>
      <c r="J608" s="338"/>
      <c r="K608" s="433"/>
      <c r="L608" s="336">
        <f>(L606-L605)/L606</f>
        <v>0.13851900972590625</v>
      </c>
      <c r="M608" s="465">
        <f>(M606-M605)/M606</f>
        <v>6.7052572706935182E-2</v>
      </c>
      <c r="N608" s="466">
        <f>(N606-N605)/N606</f>
        <v>5.8316554809843393E-2</v>
      </c>
      <c r="O608" s="444"/>
      <c r="P608" s="340"/>
      <c r="Q608" s="341"/>
      <c r="R608" s="336">
        <f>(R606-R605)/R606</f>
        <v>9.9979423868312711E-2</v>
      </c>
      <c r="S608" s="470"/>
      <c r="T608" s="339"/>
      <c r="U608" s="340"/>
      <c r="V608" s="470"/>
      <c r="W608" s="315"/>
    </row>
    <row r="609" spans="1:23" x14ac:dyDescent="0.2">
      <c r="A609" s="512">
        <v>43863</v>
      </c>
      <c r="B609" s="415" t="s">
        <v>57</v>
      </c>
      <c r="C609" s="410">
        <f>(C606-C605)/C605</f>
        <v>1.9721244973102105E-2</v>
      </c>
      <c r="D609" s="336"/>
      <c r="E609" s="336">
        <f>(E606-E605)/E605</f>
        <v>6.8935554790965678E-2</v>
      </c>
      <c r="F609" s="336">
        <f>(F606-F605)/F605</f>
        <v>6.3794732101667403E-2</v>
      </c>
      <c r="G609" s="336">
        <f>(G606-G605)/G605</f>
        <v>0.16984588856557822</v>
      </c>
      <c r="H609" s="336"/>
      <c r="I609" s="336"/>
      <c r="J609" s="338"/>
      <c r="K609" s="433"/>
      <c r="L609" s="336">
        <f>(L606-L605)/L605</f>
        <v>0.16079171948046611</v>
      </c>
      <c r="M609" s="465">
        <f>(M606-M605)/M605</f>
        <v>7.1871759056657006E-2</v>
      </c>
      <c r="N609" s="466">
        <f>(N606-N605)/N605</f>
        <v>6.19279813271724E-2</v>
      </c>
      <c r="O609" s="444"/>
      <c r="P609" s="340"/>
      <c r="Q609" s="341"/>
      <c r="R609" s="336">
        <f>(R606-R605)/R605</f>
        <v>0.11108570906014946</v>
      </c>
      <c r="S609" s="470"/>
      <c r="T609" s="339"/>
      <c r="U609" s="340"/>
      <c r="V609" s="470"/>
      <c r="W609" s="315"/>
    </row>
    <row r="610" spans="1:23" ht="13.3" thickBot="1" x14ac:dyDescent="0.25">
      <c r="A610" s="512">
        <v>43863</v>
      </c>
      <c r="B610" s="418" t="s">
        <v>58</v>
      </c>
      <c r="C610" s="411">
        <f>C607/C601-1</f>
        <v>6.2500000000000888E-3</v>
      </c>
      <c r="D610" s="353"/>
      <c r="E610" s="353">
        <f>E607/E601-1</f>
        <v>5.9523809523809312E-3</v>
      </c>
      <c r="F610" s="353">
        <f>F607/F601-1</f>
        <v>5.6179775280897903E-3</v>
      </c>
      <c r="G610" s="353">
        <f>G607/G601-1</f>
        <v>4.9999999999998934E-3</v>
      </c>
      <c r="H610" s="353"/>
      <c r="I610" s="353"/>
      <c r="J610" s="355"/>
      <c r="K610" s="434"/>
      <c r="L610" s="353">
        <f>L607/L601-1</f>
        <v>4.8076923076922906E-3</v>
      </c>
      <c r="M610" s="467">
        <f>M607/M601-1</f>
        <v>5.6179775280897903E-3</v>
      </c>
      <c r="N610" s="292">
        <f>N607/N601-1</f>
        <v>5.6179775280897903E-3</v>
      </c>
      <c r="O610" s="445"/>
      <c r="P610" s="357"/>
      <c r="Q610" s="358"/>
      <c r="R610" s="353">
        <f>R607/R601-1</f>
        <v>5.1546391752577136E-3</v>
      </c>
      <c r="S610" s="471"/>
      <c r="T610" s="356"/>
      <c r="U610" s="357"/>
      <c r="V610" s="471"/>
      <c r="W610" s="359"/>
    </row>
    <row r="611" spans="1:23" x14ac:dyDescent="0.2">
      <c r="A611" s="512">
        <v>43870</v>
      </c>
      <c r="B611" s="419" t="s">
        <v>53</v>
      </c>
      <c r="C611" s="408">
        <v>1718.73</v>
      </c>
      <c r="D611" s="347"/>
      <c r="E611" s="346">
        <v>1724.75</v>
      </c>
      <c r="F611" s="346">
        <v>1830.84</v>
      </c>
      <c r="G611" s="346">
        <v>1864.88</v>
      </c>
      <c r="H611" s="347"/>
      <c r="I611" s="347"/>
      <c r="J611" s="290"/>
      <c r="K611" s="431"/>
      <c r="L611" s="346">
        <v>1957.85</v>
      </c>
      <c r="M611" s="256">
        <v>1677.26</v>
      </c>
      <c r="N611" s="462">
        <v>1692.96</v>
      </c>
      <c r="O611" s="442"/>
      <c r="P611" s="348"/>
      <c r="Q611" s="349"/>
      <c r="R611" s="346">
        <v>1758.45</v>
      </c>
      <c r="S611" s="346"/>
      <c r="T611" s="290"/>
      <c r="U611" s="348"/>
      <c r="V611" s="347"/>
      <c r="W611" s="346">
        <v>1269.06</v>
      </c>
    </row>
    <row r="612" spans="1:23" x14ac:dyDescent="0.2">
      <c r="A612" s="512">
        <v>43870</v>
      </c>
      <c r="B612" s="415" t="s">
        <v>54</v>
      </c>
      <c r="C612" s="409">
        <v>1755</v>
      </c>
      <c r="D612" s="249"/>
      <c r="E612" s="250">
        <v>1846</v>
      </c>
      <c r="F612" s="250">
        <v>1950</v>
      </c>
      <c r="G612" s="250">
        <v>2184</v>
      </c>
      <c r="H612" s="249"/>
      <c r="I612" s="249"/>
      <c r="J612" s="330"/>
      <c r="K612" s="432"/>
      <c r="L612" s="250">
        <v>2275</v>
      </c>
      <c r="M612" s="463">
        <v>1800</v>
      </c>
      <c r="N612" s="464">
        <v>1800</v>
      </c>
      <c r="O612" s="446"/>
      <c r="P612" s="331"/>
      <c r="Q612" s="332"/>
      <c r="R612" s="250">
        <v>1956</v>
      </c>
      <c r="S612" s="496"/>
      <c r="T612" s="330"/>
      <c r="U612" s="334"/>
      <c r="V612" s="469"/>
      <c r="W612" s="315"/>
    </row>
    <row r="613" spans="1:23" x14ac:dyDescent="0.2">
      <c r="A613" s="512">
        <v>43870</v>
      </c>
      <c r="B613" s="415" t="s">
        <v>55</v>
      </c>
      <c r="C613" s="409">
        <v>1.62</v>
      </c>
      <c r="D613" s="249"/>
      <c r="E613" s="250">
        <v>1.7</v>
      </c>
      <c r="F613" s="250">
        <v>1.8</v>
      </c>
      <c r="G613" s="250">
        <v>2.02</v>
      </c>
      <c r="H613" s="249"/>
      <c r="I613" s="249"/>
      <c r="J613" s="330"/>
      <c r="K613" s="432"/>
      <c r="L613" s="250">
        <v>2.1</v>
      </c>
      <c r="M613" s="463">
        <v>1.8</v>
      </c>
      <c r="N613" s="464">
        <v>1.8</v>
      </c>
      <c r="O613" s="443"/>
      <c r="P613" s="334"/>
      <c r="Q613" s="335"/>
      <c r="R613" s="250">
        <v>1.96</v>
      </c>
      <c r="S613" s="469"/>
      <c r="T613" s="333"/>
      <c r="U613" s="334"/>
      <c r="V613" s="497"/>
      <c r="W613" s="315"/>
    </row>
    <row r="614" spans="1:23" x14ac:dyDescent="0.2">
      <c r="A614" s="512">
        <v>43870</v>
      </c>
      <c r="B614" s="415" t="s">
        <v>56</v>
      </c>
      <c r="C614" s="410">
        <f>(C612-C611)/C612</f>
        <v>2.0666666666666656E-2</v>
      </c>
      <c r="D614" s="336"/>
      <c r="E614" s="336">
        <f>(E612-E611)/E612</f>
        <v>6.5682556879739978E-2</v>
      </c>
      <c r="F614" s="336">
        <f>(F612-F611)/F612</f>
        <v>6.1107692307692349E-2</v>
      </c>
      <c r="G614" s="336">
        <f>(G612-G611)/G612</f>
        <v>0.14611721611721606</v>
      </c>
      <c r="H614" s="336"/>
      <c r="I614" s="336"/>
      <c r="J614" s="338"/>
      <c r="K614" s="433"/>
      <c r="L614" s="336">
        <f>(L612-L611)/L612</f>
        <v>0.13940659340659345</v>
      </c>
      <c r="M614" s="465">
        <f>(M612-M611)/M612</f>
        <v>6.8188888888888896E-2</v>
      </c>
      <c r="N614" s="466">
        <f>(N612-N611)/N612</f>
        <v>5.9466666666666647E-2</v>
      </c>
      <c r="O614" s="444"/>
      <c r="P614" s="340"/>
      <c r="Q614" s="341"/>
      <c r="R614" s="336">
        <f>(R612-R611)/R612</f>
        <v>0.1009969325153374</v>
      </c>
      <c r="S614" s="470"/>
      <c r="T614" s="339"/>
      <c r="U614" s="340"/>
      <c r="V614" s="470"/>
      <c r="W614" s="315"/>
    </row>
    <row r="615" spans="1:23" x14ac:dyDescent="0.2">
      <c r="A615" s="512">
        <v>43870</v>
      </c>
      <c r="B615" s="415" t="s">
        <v>57</v>
      </c>
      <c r="C615" s="410">
        <f>(C612-C611)/C611</f>
        <v>2.1102791014295429E-2</v>
      </c>
      <c r="D615" s="336"/>
      <c r="E615" s="336">
        <f>(E612-E611)/E611</f>
        <v>7.030004348456298E-2</v>
      </c>
      <c r="F615" s="336">
        <f>(F612-F611)/F611</f>
        <v>6.5084879071901469E-2</v>
      </c>
      <c r="G615" s="336">
        <f>(G612-G611)/G611</f>
        <v>0.17112093003303155</v>
      </c>
      <c r="H615" s="336"/>
      <c r="I615" s="336"/>
      <c r="J615" s="338"/>
      <c r="K615" s="433"/>
      <c r="L615" s="336">
        <f>(L612-L611)/L611</f>
        <v>0.16198891641341273</v>
      </c>
      <c r="M615" s="465">
        <f>(M612-M611)/M611</f>
        <v>7.3178875070054744E-2</v>
      </c>
      <c r="N615" s="466">
        <f>(N612-N611)/N611</f>
        <v>6.3226538134391816E-2</v>
      </c>
      <c r="O615" s="444"/>
      <c r="P615" s="340"/>
      <c r="Q615" s="341"/>
      <c r="R615" s="336">
        <f>(R612-R611)/R611</f>
        <v>0.11234325684551733</v>
      </c>
      <c r="S615" s="470"/>
      <c r="T615" s="339"/>
      <c r="U615" s="340"/>
      <c r="V615" s="470"/>
      <c r="W615" s="315"/>
    </row>
    <row r="616" spans="1:23" ht="13.3" thickBot="1" x14ac:dyDescent="0.25">
      <c r="A616" s="512">
        <v>43870</v>
      </c>
      <c r="B616" s="418" t="s">
        <v>58</v>
      </c>
      <c r="C616" s="411">
        <f>C613/C607-1</f>
        <v>6.2111801242235032E-3</v>
      </c>
      <c r="D616" s="353"/>
      <c r="E616" s="353">
        <f>E613/E607-1</f>
        <v>5.9171597633136397E-3</v>
      </c>
      <c r="F616" s="353">
        <f>F613/F607-1</f>
        <v>5.5865921787709993E-3</v>
      </c>
      <c r="G616" s="353">
        <f>G613/G607-1</f>
        <v>4.9751243781095411E-3</v>
      </c>
      <c r="H616" s="353"/>
      <c r="I616" s="353"/>
      <c r="J616" s="355"/>
      <c r="K616" s="434"/>
      <c r="L616" s="353">
        <f>L613/L607-1</f>
        <v>4.784688995215447E-3</v>
      </c>
      <c r="M616" s="467">
        <f>M613/M607-1</f>
        <v>5.5865921787709993E-3</v>
      </c>
      <c r="N616" s="292">
        <f>N613/N607-1</f>
        <v>5.5865921787709993E-3</v>
      </c>
      <c r="O616" s="445"/>
      <c r="P616" s="357"/>
      <c r="Q616" s="358"/>
      <c r="R616" s="353">
        <f>R613/R607-1</f>
        <v>5.12820512820511E-3</v>
      </c>
      <c r="S616" s="471"/>
      <c r="T616" s="356"/>
      <c r="U616" s="357"/>
      <c r="V616" s="471"/>
      <c r="W616" s="359"/>
    </row>
    <row r="617" spans="1:23" x14ac:dyDescent="0.2">
      <c r="A617" s="512">
        <v>43877</v>
      </c>
      <c r="B617" s="419" t="s">
        <v>53</v>
      </c>
      <c r="C617" s="408">
        <v>1729.15</v>
      </c>
      <c r="D617" s="347"/>
      <c r="E617" s="346">
        <v>1734.71</v>
      </c>
      <c r="F617" s="346">
        <v>1840.84</v>
      </c>
      <c r="G617" s="346">
        <v>1873.96</v>
      </c>
      <c r="H617" s="347"/>
      <c r="I617" s="347"/>
      <c r="J617" s="290"/>
      <c r="K617" s="431"/>
      <c r="L617" s="346">
        <v>1967.03</v>
      </c>
      <c r="M617" s="256">
        <v>1686.41</v>
      </c>
      <c r="N617" s="462">
        <v>1702.19</v>
      </c>
      <c r="O617" s="442"/>
      <c r="P617" s="348"/>
      <c r="Q617" s="349"/>
      <c r="R617" s="346">
        <v>1767.26</v>
      </c>
      <c r="S617" s="346"/>
      <c r="T617" s="290"/>
      <c r="U617" s="348"/>
      <c r="V617" s="347"/>
      <c r="W617" s="346">
        <v>1269.06</v>
      </c>
    </row>
    <row r="618" spans="1:23" x14ac:dyDescent="0.2">
      <c r="A618" s="512">
        <v>43877</v>
      </c>
      <c r="B618" s="415" t="s">
        <v>54</v>
      </c>
      <c r="C618" s="409">
        <v>1768</v>
      </c>
      <c r="D618" s="249"/>
      <c r="E618" s="250">
        <v>1846</v>
      </c>
      <c r="F618" s="250">
        <v>1963</v>
      </c>
      <c r="G618" s="250">
        <v>2197</v>
      </c>
      <c r="H618" s="249"/>
      <c r="I618" s="249"/>
      <c r="J618" s="330"/>
      <c r="K618" s="432"/>
      <c r="L618" s="250">
        <v>2288</v>
      </c>
      <c r="M618" s="463">
        <v>1812</v>
      </c>
      <c r="N618" s="464">
        <v>1812</v>
      </c>
      <c r="O618" s="446"/>
      <c r="P618" s="331"/>
      <c r="Q618" s="332"/>
      <c r="R618" s="250">
        <v>1968</v>
      </c>
      <c r="S618" s="496"/>
      <c r="T618" s="330"/>
      <c r="U618" s="334"/>
      <c r="V618" s="469"/>
      <c r="W618" s="315"/>
    </row>
    <row r="619" spans="1:23" x14ac:dyDescent="0.2">
      <c r="A619" s="512">
        <v>43877</v>
      </c>
      <c r="B619" s="415" t="s">
        <v>55</v>
      </c>
      <c r="C619" s="409">
        <v>1.63</v>
      </c>
      <c r="D619" s="249"/>
      <c r="E619" s="250">
        <v>1.71</v>
      </c>
      <c r="F619" s="250">
        <v>1.81</v>
      </c>
      <c r="G619" s="250">
        <v>2.0299999999999998</v>
      </c>
      <c r="H619" s="249"/>
      <c r="I619" s="249"/>
      <c r="J619" s="330"/>
      <c r="K619" s="432"/>
      <c r="L619" s="250">
        <v>2.11</v>
      </c>
      <c r="M619" s="463">
        <v>1.81</v>
      </c>
      <c r="N619" s="464">
        <v>1.81</v>
      </c>
      <c r="O619" s="443"/>
      <c r="P619" s="334"/>
      <c r="Q619" s="335"/>
      <c r="R619" s="250">
        <v>1.97</v>
      </c>
      <c r="S619" s="469"/>
      <c r="T619" s="333"/>
      <c r="U619" s="334"/>
      <c r="V619" s="497"/>
      <c r="W619" s="315"/>
    </row>
    <row r="620" spans="1:23" x14ac:dyDescent="0.2">
      <c r="A620" s="512">
        <v>43877</v>
      </c>
      <c r="B620" s="415" t="s">
        <v>56</v>
      </c>
      <c r="C620" s="410">
        <f>(C618-C617)/C618</f>
        <v>2.1973981900452438E-2</v>
      </c>
      <c r="D620" s="336"/>
      <c r="E620" s="336">
        <f>(E618-E617)/E618</f>
        <v>6.0287107258938225E-2</v>
      </c>
      <c r="F620" s="336">
        <f>(F618-F617)/F618</f>
        <v>6.2231278655119758E-2</v>
      </c>
      <c r="G620" s="336">
        <f>(G618-G617)/G618</f>
        <v>0.1470368684569868</v>
      </c>
      <c r="H620" s="336"/>
      <c r="I620" s="336"/>
      <c r="J620" s="338"/>
      <c r="K620" s="433"/>
      <c r="L620" s="336">
        <f>(L618-L617)/L618</f>
        <v>0.14028409090909091</v>
      </c>
      <c r="M620" s="465">
        <f>(M618-M617)/M618</f>
        <v>6.9310154525386275E-2</v>
      </c>
      <c r="N620" s="466">
        <f>(N618-N617)/N618</f>
        <v>6.0601545253863104E-2</v>
      </c>
      <c r="O620" s="444"/>
      <c r="P620" s="340"/>
      <c r="Q620" s="341"/>
      <c r="R620" s="336">
        <f>(R618-R617)/R618</f>
        <v>0.10200203252032521</v>
      </c>
      <c r="S620" s="470"/>
      <c r="T620" s="339"/>
      <c r="U620" s="340"/>
      <c r="V620" s="470"/>
      <c r="W620" s="315"/>
    </row>
    <row r="621" spans="1:23" x14ac:dyDescent="0.2">
      <c r="A621" s="512">
        <v>43877</v>
      </c>
      <c r="B621" s="415" t="s">
        <v>57</v>
      </c>
      <c r="C621" s="410">
        <f>(C618-C617)/C617</f>
        <v>2.2467686435531854E-2</v>
      </c>
      <c r="D621" s="336"/>
      <c r="E621" s="336">
        <f>(E618-E617)/E617</f>
        <v>6.4154815502302953E-2</v>
      </c>
      <c r="F621" s="336">
        <f>(F618-F617)/F617</f>
        <v>6.6361009104539279E-2</v>
      </c>
      <c r="G621" s="336">
        <f>(G618-G617)/G617</f>
        <v>0.17238361544536701</v>
      </c>
      <c r="H621" s="336"/>
      <c r="I621" s="336"/>
      <c r="J621" s="338"/>
      <c r="K621" s="433"/>
      <c r="L621" s="336">
        <f>(L618-L617)/L617</f>
        <v>0.16317493886722623</v>
      </c>
      <c r="M621" s="465">
        <f>(M618-M617)/M617</f>
        <v>7.4471806974579086E-2</v>
      </c>
      <c r="N621" s="466">
        <f>(N618-N617)/N617</f>
        <v>6.4511012284175051E-2</v>
      </c>
      <c r="O621" s="444"/>
      <c r="P621" s="340"/>
      <c r="Q621" s="341"/>
      <c r="R621" s="336">
        <f>(R618-R617)/R617</f>
        <v>0.11358826658216675</v>
      </c>
      <c r="S621" s="470"/>
      <c r="T621" s="339"/>
      <c r="U621" s="340"/>
      <c r="V621" s="470"/>
      <c r="W621" s="315"/>
    </row>
    <row r="622" spans="1:23" ht="13.3" thickBot="1" x14ac:dyDescent="0.25">
      <c r="A622" s="512">
        <v>43877</v>
      </c>
      <c r="B622" s="418" t="s">
        <v>58</v>
      </c>
      <c r="C622" s="411">
        <f>C619/C613-1</f>
        <v>6.1728395061726449E-3</v>
      </c>
      <c r="D622" s="353"/>
      <c r="E622" s="353">
        <f>E619/E613-1</f>
        <v>5.8823529411764497E-3</v>
      </c>
      <c r="F622" s="353">
        <f>F619/F613-1</f>
        <v>5.5555555555555358E-3</v>
      </c>
      <c r="G622" s="353">
        <f>G619/G613-1</f>
        <v>4.9504950495049549E-3</v>
      </c>
      <c r="H622" s="353"/>
      <c r="I622" s="353"/>
      <c r="J622" s="355"/>
      <c r="K622" s="434"/>
      <c r="L622" s="353">
        <f>L619/L613-1</f>
        <v>4.761904761904745E-3</v>
      </c>
      <c r="M622" s="467">
        <f>M619/M613-1</f>
        <v>5.5555555555555358E-3</v>
      </c>
      <c r="N622" s="292">
        <f>N619/N613-1</f>
        <v>5.5555555555555358E-3</v>
      </c>
      <c r="O622" s="445"/>
      <c r="P622" s="357"/>
      <c r="Q622" s="358"/>
      <c r="R622" s="353">
        <f>R619/R613-1</f>
        <v>5.1020408163264808E-3</v>
      </c>
      <c r="S622" s="471"/>
      <c r="T622" s="356"/>
      <c r="U622" s="357"/>
      <c r="V622" s="471"/>
      <c r="W622" s="359"/>
    </row>
    <row r="623" spans="1:23" x14ac:dyDescent="0.2">
      <c r="A623" s="512">
        <v>43884</v>
      </c>
      <c r="B623" s="419" t="s">
        <v>53</v>
      </c>
      <c r="C623" s="408">
        <v>1739.57</v>
      </c>
      <c r="D623" s="347"/>
      <c r="E623" s="346">
        <v>1744.67</v>
      </c>
      <c r="F623" s="346">
        <v>1850.84</v>
      </c>
      <c r="G623" s="346">
        <v>1883.04</v>
      </c>
      <c r="H623" s="347"/>
      <c r="I623" s="347"/>
      <c r="J623" s="290"/>
      <c r="K623" s="431"/>
      <c r="L623" s="346">
        <v>1976.21</v>
      </c>
      <c r="M623" s="256">
        <v>1695.56</v>
      </c>
      <c r="N623" s="462">
        <v>1711.42</v>
      </c>
      <c r="O623" s="442"/>
      <c r="P623" s="348"/>
      <c r="Q623" s="349"/>
      <c r="R623" s="346">
        <v>1776.07</v>
      </c>
      <c r="S623" s="346"/>
      <c r="T623" s="290"/>
      <c r="U623" s="348"/>
      <c r="V623" s="347"/>
      <c r="W623" s="346">
        <v>1269.06</v>
      </c>
    </row>
    <row r="624" spans="1:23" x14ac:dyDescent="0.2">
      <c r="A624" s="512">
        <v>43884</v>
      </c>
      <c r="B624" s="415" t="s">
        <v>54</v>
      </c>
      <c r="C624" s="409">
        <v>1781</v>
      </c>
      <c r="D624" s="249"/>
      <c r="E624" s="250">
        <v>1859</v>
      </c>
      <c r="F624" s="250">
        <v>1976</v>
      </c>
      <c r="G624" s="250">
        <v>2210</v>
      </c>
      <c r="H624" s="249"/>
      <c r="I624" s="249"/>
      <c r="J624" s="330"/>
      <c r="K624" s="432"/>
      <c r="L624" s="250">
        <v>2301</v>
      </c>
      <c r="M624" s="463">
        <v>1824</v>
      </c>
      <c r="N624" s="464">
        <v>1824</v>
      </c>
      <c r="O624" s="446"/>
      <c r="P624" s="331"/>
      <c r="Q624" s="332"/>
      <c r="R624" s="250">
        <v>1980</v>
      </c>
      <c r="S624" s="496"/>
      <c r="T624" s="330"/>
      <c r="U624" s="334"/>
      <c r="V624" s="469"/>
      <c r="W624" s="315"/>
    </row>
    <row r="625" spans="1:23" x14ac:dyDescent="0.2">
      <c r="A625" s="512">
        <v>43884</v>
      </c>
      <c r="B625" s="415" t="s">
        <v>55</v>
      </c>
      <c r="C625" s="409">
        <v>1.64</v>
      </c>
      <c r="D625" s="249"/>
      <c r="E625" s="250">
        <v>1.72</v>
      </c>
      <c r="F625" s="250">
        <v>1.82</v>
      </c>
      <c r="G625" s="250">
        <v>2.04</v>
      </c>
      <c r="H625" s="249"/>
      <c r="I625" s="249"/>
      <c r="J625" s="330"/>
      <c r="K625" s="432"/>
      <c r="L625" s="250">
        <v>2.12</v>
      </c>
      <c r="M625" s="463">
        <v>1.82</v>
      </c>
      <c r="N625" s="464">
        <v>1.82</v>
      </c>
      <c r="O625" s="443"/>
      <c r="P625" s="334"/>
      <c r="Q625" s="335"/>
      <c r="R625" s="250">
        <v>1.98</v>
      </c>
      <c r="S625" s="469"/>
      <c r="T625" s="333"/>
      <c r="U625" s="334"/>
      <c r="V625" s="497"/>
      <c r="W625" s="315"/>
    </row>
    <row r="626" spans="1:23" x14ac:dyDescent="0.2">
      <c r="A626" s="512">
        <v>43884</v>
      </c>
      <c r="B626" s="415" t="s">
        <v>56</v>
      </c>
      <c r="C626" s="410">
        <f>(C624-C623)/C624</f>
        <v>2.3262212240314467E-2</v>
      </c>
      <c r="D626" s="336"/>
      <c r="E626" s="336">
        <f>(E624-E623)/E624</f>
        <v>6.1500806885422234E-2</v>
      </c>
      <c r="F626" s="336">
        <f>(F624-F623)/F624</f>
        <v>6.3340080971659954E-2</v>
      </c>
      <c r="G626" s="336">
        <f>(G624-G623)/G624</f>
        <v>0.14794570135746607</v>
      </c>
      <c r="H626" s="336"/>
      <c r="I626" s="336"/>
      <c r="J626" s="338"/>
      <c r="K626" s="433"/>
      <c r="L626" s="336">
        <f>(L624-L623)/L624</f>
        <v>0.14115167318557148</v>
      </c>
      <c r="M626" s="465">
        <f>(M624-M623)/M624</f>
        <v>7.0416666666666697E-2</v>
      </c>
      <c r="N626" s="466">
        <f>(N624-N623)/N624</f>
        <v>6.1721491228070136E-2</v>
      </c>
      <c r="O626" s="444"/>
      <c r="P626" s="340"/>
      <c r="Q626" s="341"/>
      <c r="R626" s="336">
        <f>(R624-R623)/R624</f>
        <v>0.10299494949494953</v>
      </c>
      <c r="S626" s="470"/>
      <c r="T626" s="339"/>
      <c r="U626" s="340"/>
      <c r="V626" s="470"/>
      <c r="W626" s="315"/>
    </row>
    <row r="627" spans="1:23" x14ac:dyDescent="0.2">
      <c r="A627" s="512">
        <v>43884</v>
      </c>
      <c r="B627" s="415" t="s">
        <v>57</v>
      </c>
      <c r="C627" s="410">
        <f>(C624-C623)/C623</f>
        <v>2.3816230447754369E-2</v>
      </c>
      <c r="D627" s="336"/>
      <c r="E627" s="336">
        <f>(E624-E623)/E623</f>
        <v>6.5531017327058946E-2</v>
      </c>
      <c r="F627" s="336">
        <f>(F624-F623)/F623</f>
        <v>6.7623349398111168E-2</v>
      </c>
      <c r="G627" s="336">
        <f>(G624-G623)/G623</f>
        <v>0.17363412354490612</v>
      </c>
      <c r="H627" s="336"/>
      <c r="I627" s="336"/>
      <c r="J627" s="338"/>
      <c r="K627" s="433"/>
      <c r="L627" s="336">
        <f>(L624-L623)/L623</f>
        <v>0.16434994256683244</v>
      </c>
      <c r="M627" s="465">
        <f>(M624-M623)/M623</f>
        <v>7.5750784401613661E-2</v>
      </c>
      <c r="N627" s="466">
        <f>(N624-N623)/N623</f>
        <v>6.5781631627537321E-2</v>
      </c>
      <c r="O627" s="444"/>
      <c r="P627" s="340"/>
      <c r="Q627" s="341"/>
      <c r="R627" s="336">
        <f>(R624-R623)/R623</f>
        <v>0.11482092485093497</v>
      </c>
      <c r="S627" s="470"/>
      <c r="T627" s="339"/>
      <c r="U627" s="340"/>
      <c r="V627" s="470"/>
      <c r="W627" s="315"/>
    </row>
    <row r="628" spans="1:23" ht="13.3" thickBot="1" x14ac:dyDescent="0.25">
      <c r="A628" s="512">
        <v>43884</v>
      </c>
      <c r="B628" s="418" t="s">
        <v>58</v>
      </c>
      <c r="C628" s="411">
        <f>C625/C619-1</f>
        <v>6.1349693251533388E-3</v>
      </c>
      <c r="D628" s="353"/>
      <c r="E628" s="353">
        <f>E625/E619-1</f>
        <v>5.8479532163742132E-3</v>
      </c>
      <c r="F628" s="353">
        <f>F625/F619-1</f>
        <v>5.5248618784531356E-3</v>
      </c>
      <c r="G628" s="353">
        <f>G625/G619-1</f>
        <v>4.9261083743843415E-3</v>
      </c>
      <c r="H628" s="353"/>
      <c r="I628" s="353"/>
      <c r="J628" s="355"/>
      <c r="K628" s="434"/>
      <c r="L628" s="353">
        <f>L625/L619-1</f>
        <v>4.7393364928911552E-3</v>
      </c>
      <c r="M628" s="467">
        <f>M625/M619-1</f>
        <v>5.5248618784531356E-3</v>
      </c>
      <c r="N628" s="292">
        <f>N625/N619-1</f>
        <v>5.5248618784531356E-3</v>
      </c>
      <c r="O628" s="445"/>
      <c r="P628" s="357"/>
      <c r="Q628" s="358"/>
      <c r="R628" s="353">
        <f>R625/R619-1</f>
        <v>5.0761421319795996E-3</v>
      </c>
      <c r="S628" s="471"/>
      <c r="T628" s="356"/>
      <c r="U628" s="357"/>
      <c r="V628" s="471"/>
      <c r="W628" s="359"/>
    </row>
    <row r="629" spans="1:23" x14ac:dyDescent="0.2">
      <c r="A629" s="512">
        <v>43891</v>
      </c>
      <c r="B629" s="419" t="s">
        <v>53</v>
      </c>
      <c r="C629" s="408">
        <v>1749.99</v>
      </c>
      <c r="D629" s="347"/>
      <c r="E629" s="346">
        <v>1754.63</v>
      </c>
      <c r="F629" s="346">
        <v>1860.84</v>
      </c>
      <c r="G629" s="346">
        <v>1892.12</v>
      </c>
      <c r="H629" s="347"/>
      <c r="I629" s="347"/>
      <c r="J629" s="290"/>
      <c r="K629" s="431"/>
      <c r="L629" s="346">
        <v>1985.39</v>
      </c>
      <c r="M629" s="256">
        <v>1704.71</v>
      </c>
      <c r="N629" s="462">
        <v>1720.65</v>
      </c>
      <c r="O629" s="442"/>
      <c r="P629" s="348"/>
      <c r="Q629" s="349"/>
      <c r="R629" s="346">
        <v>1784.88</v>
      </c>
      <c r="S629" s="346"/>
      <c r="T629" s="290"/>
      <c r="U629" s="348"/>
      <c r="V629" s="347"/>
      <c r="W629" s="346">
        <v>1269.06</v>
      </c>
    </row>
    <row r="630" spans="1:23" x14ac:dyDescent="0.2">
      <c r="A630" s="512">
        <v>43891</v>
      </c>
      <c r="B630" s="415" t="s">
        <v>54</v>
      </c>
      <c r="C630" s="517">
        <v>1781</v>
      </c>
      <c r="D630" s="249"/>
      <c r="E630" s="250">
        <v>1872</v>
      </c>
      <c r="F630" s="514">
        <v>1976</v>
      </c>
      <c r="G630" s="514">
        <v>2223</v>
      </c>
      <c r="H630" s="518"/>
      <c r="I630" s="518"/>
      <c r="J630" s="518"/>
      <c r="K630" s="519"/>
      <c r="L630" s="514">
        <v>2301</v>
      </c>
      <c r="M630" s="515">
        <v>1824</v>
      </c>
      <c r="N630" s="516">
        <v>1824</v>
      </c>
      <c r="O630" s="446"/>
      <c r="P630" s="331"/>
      <c r="Q630" s="332"/>
      <c r="R630" s="250">
        <v>1992</v>
      </c>
      <c r="S630" s="496"/>
      <c r="T630" s="330"/>
      <c r="U630" s="334"/>
      <c r="V630" s="469"/>
      <c r="W630" s="315"/>
    </row>
    <row r="631" spans="1:23" x14ac:dyDescent="0.2">
      <c r="A631" s="512">
        <v>43891</v>
      </c>
      <c r="B631" s="415" t="s">
        <v>55</v>
      </c>
      <c r="C631" s="409">
        <v>1.65</v>
      </c>
      <c r="D631" s="249"/>
      <c r="E631" s="250">
        <v>1.73</v>
      </c>
      <c r="F631" s="250">
        <v>1.83</v>
      </c>
      <c r="G631" s="250">
        <v>2.0499999999999998</v>
      </c>
      <c r="H631" s="249"/>
      <c r="I631" s="249"/>
      <c r="J631" s="330"/>
      <c r="K631" s="432"/>
      <c r="L631" s="250">
        <v>2.13</v>
      </c>
      <c r="M631" s="463">
        <v>1.83</v>
      </c>
      <c r="N631" s="464">
        <v>1.83</v>
      </c>
      <c r="O631" s="443"/>
      <c r="P631" s="334"/>
      <c r="Q631" s="335"/>
      <c r="R631" s="250">
        <v>1.99</v>
      </c>
      <c r="S631" s="469"/>
      <c r="T631" s="333"/>
      <c r="U631" s="334"/>
      <c r="V631" s="497"/>
      <c r="W631" s="315"/>
    </row>
    <row r="632" spans="1:23" x14ac:dyDescent="0.2">
      <c r="A632" s="512">
        <v>43891</v>
      </c>
      <c r="B632" s="415" t="s">
        <v>56</v>
      </c>
      <c r="C632" s="410">
        <f>(C630-C629)/C630</f>
        <v>1.7411566535654122E-2</v>
      </c>
      <c r="D632" s="336"/>
      <c r="E632" s="336">
        <f>(E630-E629)/E630</f>
        <v>6.2697649572649519E-2</v>
      </c>
      <c r="F632" s="336">
        <f>(F630-F629)/F630</f>
        <v>5.827935222672069E-2</v>
      </c>
      <c r="G632" s="336">
        <f>(G630-G629)/G630</f>
        <v>0.14884390463337838</v>
      </c>
      <c r="H632" s="336"/>
      <c r="I632" s="336"/>
      <c r="J632" s="338"/>
      <c r="K632" s="433"/>
      <c r="L632" s="336">
        <f>(L630-L629)/L630</f>
        <v>0.13716210343328983</v>
      </c>
      <c r="M632" s="465">
        <f>(M630-M629)/M630</f>
        <v>6.540021929824559E-2</v>
      </c>
      <c r="N632" s="466">
        <f>(N630-N629)/N630</f>
        <v>5.6661184210526266E-2</v>
      </c>
      <c r="O632" s="444"/>
      <c r="P632" s="340"/>
      <c r="Q632" s="341"/>
      <c r="R632" s="336">
        <f>(R630-R629)/R630</f>
        <v>0.10397590361445777</v>
      </c>
      <c r="S632" s="470"/>
      <c r="T632" s="339"/>
      <c r="U632" s="340"/>
      <c r="V632" s="470"/>
      <c r="W632" s="315"/>
    </row>
    <row r="633" spans="1:23" x14ac:dyDescent="0.2">
      <c r="A633" s="512">
        <v>43891</v>
      </c>
      <c r="B633" s="415" t="s">
        <v>57</v>
      </c>
      <c r="C633" s="410">
        <f>(C630-C629)/C629</f>
        <v>1.7720101257721468E-2</v>
      </c>
      <c r="D633" s="336"/>
      <c r="E633" s="336">
        <f>(E630-E629)/E629</f>
        <v>6.6891595379082708E-2</v>
      </c>
      <c r="F633" s="336">
        <f>(F630-F629)/F629</f>
        <v>6.1886029964962105E-2</v>
      </c>
      <c r="G633" s="336">
        <f>(G630-G629)/G629</f>
        <v>0.17487262964294026</v>
      </c>
      <c r="H633" s="336"/>
      <c r="I633" s="336"/>
      <c r="J633" s="338"/>
      <c r="K633" s="433"/>
      <c r="L633" s="336">
        <f>(L630-L629)/L629</f>
        <v>0.15896624844488985</v>
      </c>
      <c r="M633" s="465">
        <f>(M630-M629)/M629</f>
        <v>6.9976711581441989E-2</v>
      </c>
      <c r="N633" s="466">
        <f>(N630-N629)/N629</f>
        <v>6.0064510504751055E-2</v>
      </c>
      <c r="O633" s="444"/>
      <c r="P633" s="340"/>
      <c r="Q633" s="341"/>
      <c r="R633" s="336">
        <f>(R630-R629)/R629</f>
        <v>0.11604141454887716</v>
      </c>
      <c r="S633" s="470"/>
      <c r="T633" s="339"/>
      <c r="U633" s="340"/>
      <c r="V633" s="470"/>
      <c r="W633" s="315"/>
    </row>
    <row r="634" spans="1:23" ht="13.3" thickBot="1" x14ac:dyDescent="0.25">
      <c r="A634" s="512">
        <v>43891</v>
      </c>
      <c r="B634" s="418" t="s">
        <v>58</v>
      </c>
      <c r="C634" s="411">
        <f>C631/C625-1</f>
        <v>6.0975609756097615E-3</v>
      </c>
      <c r="D634" s="353"/>
      <c r="E634" s="353">
        <f>E631/E625-1</f>
        <v>5.8139534883721034E-3</v>
      </c>
      <c r="F634" s="353">
        <f>F631/F625-1</f>
        <v>5.494505494505475E-3</v>
      </c>
      <c r="G634" s="353">
        <f>G631/G625-1</f>
        <v>4.9019607843137081E-3</v>
      </c>
      <c r="H634" s="353"/>
      <c r="I634" s="353"/>
      <c r="J634" s="355"/>
      <c r="K634" s="434"/>
      <c r="L634" s="353">
        <f>L631/L625-1</f>
        <v>4.7169811320753041E-3</v>
      </c>
      <c r="M634" s="467">
        <f>M631/M625-1</f>
        <v>5.494505494505475E-3</v>
      </c>
      <c r="N634" s="292">
        <f>N631/N625-1</f>
        <v>5.494505494505475E-3</v>
      </c>
      <c r="O634" s="445"/>
      <c r="P634" s="357"/>
      <c r="Q634" s="358"/>
      <c r="R634" s="353">
        <f>R631/R625-1</f>
        <v>5.050505050504972E-3</v>
      </c>
      <c r="S634" s="471"/>
      <c r="T634" s="356"/>
      <c r="U634" s="357"/>
      <c r="V634" s="471"/>
      <c r="W634" s="359"/>
    </row>
    <row r="635" spans="1:23" x14ac:dyDescent="0.2">
      <c r="A635" s="512">
        <v>43933</v>
      </c>
      <c r="B635" s="419" t="s">
        <v>53</v>
      </c>
      <c r="C635" s="408">
        <v>1739.57</v>
      </c>
      <c r="D635" s="347"/>
      <c r="E635" s="346">
        <v>1744.67</v>
      </c>
      <c r="F635" s="346">
        <v>1850.84</v>
      </c>
      <c r="G635" s="346">
        <v>1883.04</v>
      </c>
      <c r="H635" s="347"/>
      <c r="I635" s="347"/>
      <c r="J635" s="290"/>
      <c r="K635" s="431"/>
      <c r="L635" s="346">
        <v>1976.21</v>
      </c>
      <c r="M635" s="256">
        <v>1695.56</v>
      </c>
      <c r="N635" s="462">
        <v>1711.42</v>
      </c>
      <c r="O635" s="442"/>
      <c r="P635" s="348"/>
      <c r="Q635" s="349"/>
      <c r="R635" s="346">
        <v>1776.07</v>
      </c>
      <c r="S635" s="346"/>
      <c r="T635" s="290"/>
      <c r="U635" s="348"/>
      <c r="V635" s="347"/>
      <c r="W635" s="346">
        <v>1262.5</v>
      </c>
    </row>
    <row r="636" spans="1:23" x14ac:dyDescent="0.2">
      <c r="A636" s="512">
        <v>43933</v>
      </c>
      <c r="B636" s="415" t="s">
        <v>54</v>
      </c>
      <c r="C636" s="409">
        <v>1781</v>
      </c>
      <c r="D636" s="249"/>
      <c r="E636" s="250">
        <v>1859</v>
      </c>
      <c r="F636" s="250">
        <v>1976</v>
      </c>
      <c r="G636" s="250">
        <v>2210</v>
      </c>
      <c r="H636" s="249"/>
      <c r="I636" s="249"/>
      <c r="J636" s="330"/>
      <c r="K636" s="432"/>
      <c r="L636" s="250">
        <v>2301</v>
      </c>
      <c r="M636" s="245">
        <v>1824</v>
      </c>
      <c r="N636" s="520">
        <v>1824</v>
      </c>
      <c r="O636" s="446"/>
      <c r="P636" s="331"/>
      <c r="Q636" s="332"/>
      <c r="R636" s="250">
        <v>1980</v>
      </c>
      <c r="S636" s="496"/>
      <c r="T636" s="330"/>
      <c r="U636" s="334"/>
      <c r="V636" s="469"/>
      <c r="W636" s="315"/>
    </row>
    <row r="637" spans="1:23" x14ac:dyDescent="0.2">
      <c r="A637" s="512">
        <v>43933</v>
      </c>
      <c r="B637" s="415" t="s">
        <v>55</v>
      </c>
      <c r="C637" s="409">
        <v>1.64</v>
      </c>
      <c r="D637" s="249"/>
      <c r="E637" s="250">
        <v>1.72</v>
      </c>
      <c r="F637" s="250">
        <v>1.82</v>
      </c>
      <c r="G637" s="250">
        <v>2.04</v>
      </c>
      <c r="H637" s="249"/>
      <c r="I637" s="249"/>
      <c r="J637" s="330"/>
      <c r="K637" s="432"/>
      <c r="L637" s="250">
        <v>2.12</v>
      </c>
      <c r="M637" s="463">
        <v>1.82</v>
      </c>
      <c r="N637" s="464">
        <v>1.82</v>
      </c>
      <c r="O637" s="443"/>
      <c r="P637" s="334"/>
      <c r="Q637" s="335"/>
      <c r="R637" s="250">
        <v>1.98</v>
      </c>
      <c r="S637" s="469"/>
      <c r="T637" s="333"/>
      <c r="U637" s="334"/>
      <c r="V637" s="497"/>
      <c r="W637" s="315"/>
    </row>
    <row r="638" spans="1:23" x14ac:dyDescent="0.2">
      <c r="A638" s="512">
        <v>43933</v>
      </c>
      <c r="B638" s="415" t="s">
        <v>56</v>
      </c>
      <c r="C638" s="410">
        <f>(C636-C635)/C636</f>
        <v>2.3262212240314467E-2</v>
      </c>
      <c r="D638" s="336"/>
      <c r="E638" s="336">
        <f>(E636-E635)/E636</f>
        <v>6.1500806885422234E-2</v>
      </c>
      <c r="F638" s="336">
        <f>(F636-F635)/F636</f>
        <v>6.3340080971659954E-2</v>
      </c>
      <c r="G638" s="336">
        <f>(G636-G635)/G636</f>
        <v>0.14794570135746607</v>
      </c>
      <c r="H638" s="336"/>
      <c r="I638" s="336"/>
      <c r="J638" s="338"/>
      <c r="K638" s="433"/>
      <c r="L638" s="336">
        <f>(L636-L635)/L636</f>
        <v>0.14115167318557148</v>
      </c>
      <c r="M638" s="465">
        <f>(M636-M635)/M636</f>
        <v>7.0416666666666697E-2</v>
      </c>
      <c r="N638" s="466">
        <f>(N636-N635)/N636</f>
        <v>6.1721491228070136E-2</v>
      </c>
      <c r="O638" s="444"/>
      <c r="P638" s="340"/>
      <c r="Q638" s="341"/>
      <c r="R638" s="336">
        <f>(R636-R635)/R636</f>
        <v>0.10299494949494953</v>
      </c>
      <c r="S638" s="470"/>
      <c r="T638" s="339"/>
      <c r="U638" s="340"/>
      <c r="V638" s="470"/>
      <c r="W638" s="315"/>
    </row>
    <row r="639" spans="1:23" x14ac:dyDescent="0.2">
      <c r="A639" s="512">
        <v>43933</v>
      </c>
      <c r="B639" s="415" t="s">
        <v>57</v>
      </c>
      <c r="C639" s="410">
        <f>(C636-C635)/C635</f>
        <v>2.3816230447754369E-2</v>
      </c>
      <c r="D639" s="336"/>
      <c r="E639" s="336">
        <f>(E636-E635)/E635</f>
        <v>6.5531017327058946E-2</v>
      </c>
      <c r="F639" s="336">
        <f>(F636-F635)/F635</f>
        <v>6.7623349398111168E-2</v>
      </c>
      <c r="G639" s="336">
        <f>(G636-G635)/G635</f>
        <v>0.17363412354490612</v>
      </c>
      <c r="H639" s="336"/>
      <c r="I639" s="336"/>
      <c r="J639" s="338"/>
      <c r="K639" s="433"/>
      <c r="L639" s="336">
        <f>(L636-L635)/L635</f>
        <v>0.16434994256683244</v>
      </c>
      <c r="M639" s="465">
        <f>(M636-M635)/M635</f>
        <v>7.5750784401613661E-2</v>
      </c>
      <c r="N639" s="466">
        <f>(N636-N635)/N635</f>
        <v>6.5781631627537321E-2</v>
      </c>
      <c r="O639" s="444"/>
      <c r="P639" s="340"/>
      <c r="Q639" s="341"/>
      <c r="R639" s="336">
        <f>(R636-R635)/R635</f>
        <v>0.11482092485093497</v>
      </c>
      <c r="S639" s="470"/>
      <c r="T639" s="339"/>
      <c r="U639" s="340"/>
      <c r="V639" s="470"/>
      <c r="W639" s="315"/>
    </row>
    <row r="640" spans="1:23" ht="13.3" thickBot="1" x14ac:dyDescent="0.25">
      <c r="A640" s="512">
        <v>43933</v>
      </c>
      <c r="B640" s="418" t="s">
        <v>58</v>
      </c>
      <c r="C640" s="411">
        <f>C637/C631-1</f>
        <v>-6.0606060606060996E-3</v>
      </c>
      <c r="D640" s="353"/>
      <c r="E640" s="353">
        <f>E637/E631-1</f>
        <v>-5.7803468208093012E-3</v>
      </c>
      <c r="F640" s="353">
        <f>F637/F631-1</f>
        <v>-5.464480874316946E-3</v>
      </c>
      <c r="G640" s="353">
        <f>G637/G631-1</f>
        <v>-4.8780487804876982E-3</v>
      </c>
      <c r="H640" s="353"/>
      <c r="I640" s="353"/>
      <c r="J640" s="355"/>
      <c r="K640" s="434"/>
      <c r="L640" s="353">
        <f>L637/L631-1</f>
        <v>-4.6948356807510194E-3</v>
      </c>
      <c r="M640" s="467">
        <f>M637/M631-1</f>
        <v>-5.464480874316946E-3</v>
      </c>
      <c r="N640" s="292">
        <f>N637/N631-1</f>
        <v>-5.464480874316946E-3</v>
      </c>
      <c r="O640" s="445"/>
      <c r="P640" s="357"/>
      <c r="Q640" s="358"/>
      <c r="R640" s="353">
        <f>R637/R631-1</f>
        <v>-5.0251256281407253E-3</v>
      </c>
      <c r="S640" s="471"/>
      <c r="T640" s="356"/>
      <c r="U640" s="357"/>
      <c r="V640" s="471"/>
      <c r="W640" s="359"/>
    </row>
    <row r="641" spans="1:23" x14ac:dyDescent="0.2">
      <c r="A641" s="512">
        <v>43940</v>
      </c>
      <c r="B641" s="419" t="s">
        <v>53</v>
      </c>
      <c r="C641" s="408">
        <v>1726.57</v>
      </c>
      <c r="D641" s="521"/>
      <c r="E641" s="346">
        <v>1731.67</v>
      </c>
      <c r="F641" s="346">
        <v>1837.84</v>
      </c>
      <c r="G641" s="346">
        <v>1870.04</v>
      </c>
      <c r="H641" s="521"/>
      <c r="I641" s="521"/>
      <c r="J641" s="522"/>
      <c r="K641" s="523"/>
      <c r="L641" s="346">
        <v>1963.21</v>
      </c>
      <c r="M641" s="256">
        <v>1683.56</v>
      </c>
      <c r="N641" s="462">
        <v>1699.32</v>
      </c>
      <c r="O641" s="524"/>
      <c r="P641" s="525"/>
      <c r="Q641" s="526"/>
      <c r="R641" s="346">
        <v>1764.07</v>
      </c>
      <c r="S641" s="346"/>
      <c r="T641" s="290"/>
      <c r="U641" s="348"/>
      <c r="V641" s="347"/>
      <c r="W641" s="346">
        <v>1507.02</v>
      </c>
    </row>
    <row r="642" spans="1:23" x14ac:dyDescent="0.2">
      <c r="A642" s="512">
        <v>43940</v>
      </c>
      <c r="B642" s="415" t="s">
        <v>54</v>
      </c>
      <c r="C642" s="409">
        <v>1798</v>
      </c>
      <c r="D642" s="527"/>
      <c r="E642" s="250">
        <v>1846</v>
      </c>
      <c r="F642" s="250">
        <v>1963</v>
      </c>
      <c r="G642" s="250">
        <v>2197</v>
      </c>
      <c r="H642" s="527"/>
      <c r="I642" s="527"/>
      <c r="J642" s="528"/>
      <c r="K642" s="529"/>
      <c r="L642" s="250">
        <v>2288</v>
      </c>
      <c r="M642" s="245">
        <v>1812</v>
      </c>
      <c r="N642" s="520">
        <v>1812</v>
      </c>
      <c r="O642" s="530"/>
      <c r="P642" s="531"/>
      <c r="Q642" s="532"/>
      <c r="R642" s="250">
        <v>1968</v>
      </c>
      <c r="S642" s="496"/>
      <c r="T642" s="330"/>
      <c r="U642" s="334"/>
      <c r="V642" s="469"/>
      <c r="W642" s="315"/>
    </row>
    <row r="643" spans="1:23" x14ac:dyDescent="0.2">
      <c r="A643" s="512">
        <v>43940</v>
      </c>
      <c r="B643" s="415" t="s">
        <v>55</v>
      </c>
      <c r="C643" s="409">
        <v>1.63</v>
      </c>
      <c r="D643" s="527"/>
      <c r="E643" s="250">
        <v>1.71</v>
      </c>
      <c r="F643" s="250">
        <v>1.81</v>
      </c>
      <c r="G643" s="250">
        <v>2.0299999999999998</v>
      </c>
      <c r="H643" s="527"/>
      <c r="I643" s="527"/>
      <c r="J643" s="528"/>
      <c r="K643" s="529"/>
      <c r="L643" s="250">
        <v>2.11</v>
      </c>
      <c r="M643" s="463">
        <v>1.81</v>
      </c>
      <c r="N643" s="464">
        <v>1.81</v>
      </c>
      <c r="O643" s="530"/>
      <c r="P643" s="531"/>
      <c r="Q643" s="532"/>
      <c r="R643" s="250">
        <v>1.97</v>
      </c>
      <c r="S643" s="469"/>
      <c r="T643" s="333"/>
      <c r="U643" s="334"/>
      <c r="V643" s="497"/>
      <c r="W643" s="315"/>
    </row>
    <row r="644" spans="1:23" x14ac:dyDescent="0.2">
      <c r="A644" s="512">
        <v>43940</v>
      </c>
      <c r="B644" s="415" t="s">
        <v>56</v>
      </c>
      <c r="C644" s="410">
        <f>(C642-C641)/C642</f>
        <v>3.9727474972191361E-2</v>
      </c>
      <c r="D644" s="336"/>
      <c r="E644" s="336">
        <f>(E642-E641)/E642</f>
        <v>6.1933911159263236E-2</v>
      </c>
      <c r="F644" s="336">
        <f>(F642-F641)/F642</f>
        <v>6.3759551706571618E-2</v>
      </c>
      <c r="G644" s="336">
        <f>(G642-G641)/G642</f>
        <v>0.14882111970869369</v>
      </c>
      <c r="H644" s="336"/>
      <c r="I644" s="336"/>
      <c r="J644" s="338"/>
      <c r="K644" s="433"/>
      <c r="L644" s="336">
        <f>(L642-L641)/L642</f>
        <v>0.14195367132867132</v>
      </c>
      <c r="M644" s="465">
        <f>(M642-M641)/M642</f>
        <v>7.0883002207505555E-2</v>
      </c>
      <c r="N644" s="466">
        <f>(N642-N641)/N642</f>
        <v>6.2185430463576191E-2</v>
      </c>
      <c r="O644" s="444"/>
      <c r="P644" s="340"/>
      <c r="Q644" s="341"/>
      <c r="R644" s="336">
        <f>(R642-R641)/R642</f>
        <v>0.10362296747967482</v>
      </c>
      <c r="S644" s="470"/>
      <c r="T644" s="339"/>
      <c r="U644" s="340"/>
      <c r="V644" s="470"/>
      <c r="W644" s="315"/>
    </row>
    <row r="645" spans="1:23" x14ac:dyDescent="0.2">
      <c r="A645" s="512">
        <v>43940</v>
      </c>
      <c r="B645" s="415" t="s">
        <v>57</v>
      </c>
      <c r="C645" s="410">
        <f>(C642-C641)/C641</f>
        <v>4.1371042008143351E-2</v>
      </c>
      <c r="D645" s="336"/>
      <c r="E645" s="336">
        <f>(E642-E641)/E641</f>
        <v>6.6022972044327111E-2</v>
      </c>
      <c r="F645" s="336">
        <f>(F642-F641)/F641</f>
        <v>6.8101684586253472E-2</v>
      </c>
      <c r="G645" s="336">
        <f>(G642-G641)/G641</f>
        <v>0.17484117986781034</v>
      </c>
      <c r="H645" s="336"/>
      <c r="I645" s="336"/>
      <c r="J645" s="338"/>
      <c r="K645" s="433"/>
      <c r="L645" s="336">
        <f>(L642-L641)/L641</f>
        <v>0.16543823635780175</v>
      </c>
      <c r="M645" s="465">
        <f>(M642-M641)/M641</f>
        <v>7.6290717289553125E-2</v>
      </c>
      <c r="N645" s="466">
        <f>(N642-N641)/N641</f>
        <v>6.6308876491773222E-2</v>
      </c>
      <c r="O645" s="444"/>
      <c r="P645" s="340"/>
      <c r="Q645" s="341"/>
      <c r="R645" s="336">
        <f>(R642-R641)/R641</f>
        <v>0.11560198858321953</v>
      </c>
      <c r="S645" s="470"/>
      <c r="T645" s="339"/>
      <c r="U645" s="340"/>
      <c r="V645" s="470"/>
      <c r="W645" s="315"/>
    </row>
    <row r="646" spans="1:23" ht="13.3" thickBot="1" x14ac:dyDescent="0.25">
      <c r="A646" s="512">
        <v>43940</v>
      </c>
      <c r="B646" s="418" t="s">
        <v>58</v>
      </c>
      <c r="C646" s="411">
        <f>C643/C637-1</f>
        <v>-6.0975609756097615E-3</v>
      </c>
      <c r="D646" s="353"/>
      <c r="E646" s="353">
        <f>E643/E637-1</f>
        <v>-5.8139534883721034E-3</v>
      </c>
      <c r="F646" s="353">
        <f>F643/F637-1</f>
        <v>-5.494505494505475E-3</v>
      </c>
      <c r="G646" s="353">
        <f>G643/G637-1</f>
        <v>-4.9019607843138191E-3</v>
      </c>
      <c r="H646" s="353"/>
      <c r="I646" s="353"/>
      <c r="J646" s="355"/>
      <c r="K646" s="434"/>
      <c r="L646" s="353">
        <f>L643/L637-1</f>
        <v>-4.7169811320755262E-3</v>
      </c>
      <c r="M646" s="467">
        <f>M643/M637-1</f>
        <v>-5.494505494505475E-3</v>
      </c>
      <c r="N646" s="292">
        <f>N643/N637-1</f>
        <v>-5.494505494505475E-3</v>
      </c>
      <c r="O646" s="445"/>
      <c r="P646" s="357"/>
      <c r="Q646" s="358"/>
      <c r="R646" s="353">
        <f>R643/R637-1</f>
        <v>-5.050505050505083E-3</v>
      </c>
      <c r="S646" s="471"/>
      <c r="T646" s="356"/>
      <c r="U646" s="357"/>
      <c r="V646" s="471"/>
      <c r="W646" s="359"/>
    </row>
    <row r="647" spans="1:23" x14ac:dyDescent="0.2">
      <c r="A647" s="512">
        <v>43947</v>
      </c>
      <c r="B647" s="419" t="s">
        <v>53</v>
      </c>
      <c r="C647" s="408">
        <v>1713.57</v>
      </c>
      <c r="D647" s="521"/>
      <c r="E647" s="346">
        <v>1731.67</v>
      </c>
      <c r="F647" s="346">
        <v>1824.84</v>
      </c>
      <c r="G647" s="346">
        <v>1857.04</v>
      </c>
      <c r="H647" s="521"/>
      <c r="I647" s="521"/>
      <c r="J647" s="522"/>
      <c r="K647" s="523"/>
      <c r="L647" s="346">
        <v>1950.21</v>
      </c>
      <c r="M647" s="256">
        <v>1671.56</v>
      </c>
      <c r="N647" s="462">
        <v>1687.14</v>
      </c>
      <c r="O647" s="524"/>
      <c r="P647" s="525"/>
      <c r="Q647" s="526"/>
      <c r="R647" s="346">
        <v>1752.07</v>
      </c>
      <c r="S647" s="346"/>
      <c r="T647" s="290"/>
      <c r="U647" s="348"/>
      <c r="V647" s="347"/>
      <c r="W647" s="346">
        <v>1249.24</v>
      </c>
    </row>
    <row r="648" spans="1:23" x14ac:dyDescent="0.2">
      <c r="A648" s="512">
        <v>43947</v>
      </c>
      <c r="B648" s="415" t="s">
        <v>54</v>
      </c>
      <c r="C648" s="409">
        <v>1755</v>
      </c>
      <c r="D648" s="527"/>
      <c r="E648" s="250">
        <v>1846</v>
      </c>
      <c r="F648" s="250">
        <v>1950</v>
      </c>
      <c r="G648" s="250">
        <v>2184</v>
      </c>
      <c r="H648" s="527"/>
      <c r="I648" s="527"/>
      <c r="J648" s="528"/>
      <c r="K648" s="529"/>
      <c r="L648" s="250">
        <v>2275</v>
      </c>
      <c r="M648" s="245">
        <v>1800</v>
      </c>
      <c r="N648" s="520">
        <v>1800</v>
      </c>
      <c r="O648" s="530"/>
      <c r="P648" s="531"/>
      <c r="Q648" s="532"/>
      <c r="R648" s="250">
        <v>1956</v>
      </c>
      <c r="S648" s="496"/>
      <c r="T648" s="330"/>
      <c r="U648" s="334"/>
      <c r="V648" s="469"/>
      <c r="W648" s="315"/>
    </row>
    <row r="649" spans="1:23" x14ac:dyDescent="0.2">
      <c r="A649" s="512">
        <v>43947</v>
      </c>
      <c r="B649" s="415" t="s">
        <v>55</v>
      </c>
      <c r="C649" s="409">
        <v>1.62</v>
      </c>
      <c r="D649" s="527"/>
      <c r="E649" s="250">
        <v>1.7</v>
      </c>
      <c r="F649" s="250">
        <v>1.8</v>
      </c>
      <c r="G649" s="250">
        <v>2.02</v>
      </c>
      <c r="H649" s="527"/>
      <c r="I649" s="527"/>
      <c r="J649" s="528"/>
      <c r="K649" s="529"/>
      <c r="L649" s="250">
        <v>2.1</v>
      </c>
      <c r="M649" s="463">
        <v>1.8</v>
      </c>
      <c r="N649" s="464">
        <v>1.8</v>
      </c>
      <c r="O649" s="530"/>
      <c r="P649" s="531"/>
      <c r="Q649" s="532"/>
      <c r="R649" s="250">
        <v>1.96</v>
      </c>
      <c r="S649" s="469"/>
      <c r="T649" s="333"/>
      <c r="U649" s="334"/>
      <c r="V649" s="497"/>
      <c r="W649" s="315"/>
    </row>
    <row r="650" spans="1:23" x14ac:dyDescent="0.2">
      <c r="A650" s="512">
        <v>43947</v>
      </c>
      <c r="B650" s="415" t="s">
        <v>56</v>
      </c>
      <c r="C650" s="410">
        <f>(C648-C647)/C648</f>
        <v>2.3606837606837645E-2</v>
      </c>
      <c r="D650" s="336"/>
      <c r="E650" s="336">
        <f>(E648-E647)/E648</f>
        <v>6.1933911159263236E-2</v>
      </c>
      <c r="F650" s="336">
        <f>(F648-F647)/F648</f>
        <v>6.4184615384615423E-2</v>
      </c>
      <c r="G650" s="336">
        <f>(G648-G647)/G648</f>
        <v>0.14970695970695971</v>
      </c>
      <c r="H650" s="336"/>
      <c r="I650" s="336"/>
      <c r="J650" s="338"/>
      <c r="K650" s="433"/>
      <c r="L650" s="336">
        <f>(L648-L647)/L648</f>
        <v>0.14276483516483515</v>
      </c>
      <c r="M650" s="465">
        <f>(M648-M647)/M648</f>
        <v>7.1355555555555589E-2</v>
      </c>
      <c r="N650" s="466">
        <f>(N648-N647)/N648</f>
        <v>6.269999999999995E-2</v>
      </c>
      <c r="O650" s="444"/>
      <c r="P650" s="340"/>
      <c r="Q650" s="341"/>
      <c r="R650" s="336">
        <f>(R648-R647)/R648</f>
        <v>0.104258691206544</v>
      </c>
      <c r="S650" s="470"/>
      <c r="T650" s="339"/>
      <c r="U650" s="340"/>
      <c r="V650" s="470"/>
      <c r="W650" s="315"/>
    </row>
    <row r="651" spans="1:23" x14ac:dyDescent="0.2">
      <c r="A651" s="512">
        <v>43947</v>
      </c>
      <c r="B651" s="415" t="s">
        <v>57</v>
      </c>
      <c r="C651" s="410">
        <f>(C648-C647)/C647</f>
        <v>2.4177594145555807E-2</v>
      </c>
      <c r="D651" s="336"/>
      <c r="E651" s="336">
        <f>(E648-E647)/E647</f>
        <v>6.6022972044327111E-2</v>
      </c>
      <c r="F651" s="336">
        <f>(F648-F647)/F647</f>
        <v>6.858683501019272E-2</v>
      </c>
      <c r="G651" s="336">
        <f>(G648-G647)/G647</f>
        <v>0.17606513591521994</v>
      </c>
      <c r="H651" s="336"/>
      <c r="I651" s="336"/>
      <c r="J651" s="338"/>
      <c r="K651" s="433"/>
      <c r="L651" s="336">
        <f>(L648-L647)/L647</f>
        <v>0.16654103917014063</v>
      </c>
      <c r="M651" s="465">
        <f>(M648-M647)/M647</f>
        <v>7.6838402450405643E-2</v>
      </c>
      <c r="N651" s="466">
        <f>(N648-N647)/N647</f>
        <v>6.6894270777765857E-2</v>
      </c>
      <c r="O651" s="444"/>
      <c r="P651" s="340"/>
      <c r="Q651" s="341"/>
      <c r="R651" s="336">
        <f>(R648-R647)/R647</f>
        <v>0.11639375139121158</v>
      </c>
      <c r="S651" s="470"/>
      <c r="T651" s="339"/>
      <c r="U651" s="340"/>
      <c r="V651" s="470"/>
      <c r="W651" s="315"/>
    </row>
    <row r="652" spans="1:23" ht="13.3" thickBot="1" x14ac:dyDescent="0.25">
      <c r="A652" s="512">
        <v>43947</v>
      </c>
      <c r="B652" s="418" t="s">
        <v>58</v>
      </c>
      <c r="C652" s="411">
        <f>C649/C643-1</f>
        <v>-6.1349693251532278E-3</v>
      </c>
      <c r="D652" s="353"/>
      <c r="E652" s="353">
        <f>E649/E643-1</f>
        <v>-5.8479532163743242E-3</v>
      </c>
      <c r="F652" s="353">
        <f>F649/F643-1</f>
        <v>-5.5248618784530246E-3</v>
      </c>
      <c r="G652" s="353">
        <f>G649/G643-1</f>
        <v>-4.9261083743841194E-3</v>
      </c>
      <c r="H652" s="353"/>
      <c r="I652" s="353"/>
      <c r="J652" s="355"/>
      <c r="K652" s="434"/>
      <c r="L652" s="353">
        <f>L649/L643-1</f>
        <v>-4.7393364928909332E-3</v>
      </c>
      <c r="M652" s="467">
        <f>M649/M643-1</f>
        <v>-5.5248618784530246E-3</v>
      </c>
      <c r="N652" s="292">
        <f>N649/N643-1</f>
        <v>-5.5248618784530246E-3</v>
      </c>
      <c r="O652" s="445"/>
      <c r="P652" s="357"/>
      <c r="Q652" s="358"/>
      <c r="R652" s="353">
        <f>R649/R643-1</f>
        <v>-5.0761421319797106E-3</v>
      </c>
      <c r="S652" s="471"/>
      <c r="T652" s="356"/>
      <c r="U652" s="357"/>
      <c r="V652" s="471"/>
      <c r="W652" s="359"/>
    </row>
    <row r="653" spans="1:23" x14ac:dyDescent="0.2">
      <c r="A653" s="512">
        <v>43954</v>
      </c>
      <c r="B653" s="419" t="s">
        <v>53</v>
      </c>
      <c r="C653" s="408">
        <v>1700.57</v>
      </c>
      <c r="D653" s="521"/>
      <c r="E653" s="346">
        <v>1718.67</v>
      </c>
      <c r="F653" s="346">
        <v>1811.84</v>
      </c>
      <c r="G653" s="346">
        <v>1844.04</v>
      </c>
      <c r="H653" s="521"/>
      <c r="I653" s="521"/>
      <c r="J653" s="522"/>
      <c r="K653" s="523"/>
      <c r="L653" s="346">
        <v>1937.21</v>
      </c>
      <c r="M653" s="256">
        <v>1659.56</v>
      </c>
      <c r="N653" s="462">
        <v>1675.03</v>
      </c>
      <c r="O653" s="442"/>
      <c r="P653" s="348"/>
      <c r="Q653" s="349"/>
      <c r="R653" s="346">
        <v>1740.07</v>
      </c>
      <c r="S653" s="346"/>
      <c r="T653" s="290"/>
      <c r="U653" s="348"/>
      <c r="V653" s="347"/>
      <c r="W653" s="346">
        <v>1242.6600000000001</v>
      </c>
    </row>
    <row r="654" spans="1:23" x14ac:dyDescent="0.2">
      <c r="A654" s="512">
        <v>43954</v>
      </c>
      <c r="B654" s="415" t="s">
        <v>54</v>
      </c>
      <c r="C654" s="409">
        <v>1742</v>
      </c>
      <c r="D654" s="527"/>
      <c r="E654" s="250">
        <v>1833</v>
      </c>
      <c r="F654" s="250">
        <v>1937</v>
      </c>
      <c r="G654" s="250">
        <v>2171</v>
      </c>
      <c r="H654" s="249"/>
      <c r="I654" s="249"/>
      <c r="J654" s="330"/>
      <c r="K654" s="432"/>
      <c r="L654" s="250">
        <v>2262</v>
      </c>
      <c r="M654" s="245">
        <v>1788</v>
      </c>
      <c r="N654" s="520">
        <v>1788</v>
      </c>
      <c r="O654" s="530"/>
      <c r="P654" s="531"/>
      <c r="Q654" s="532"/>
      <c r="R654" s="250">
        <v>1944</v>
      </c>
      <c r="S654" s="496"/>
      <c r="T654" s="330"/>
      <c r="U654" s="334"/>
      <c r="V654" s="469"/>
      <c r="W654" s="315"/>
    </row>
    <row r="655" spans="1:23" x14ac:dyDescent="0.2">
      <c r="A655" s="512">
        <v>43954</v>
      </c>
      <c r="B655" s="415" t="s">
        <v>55</v>
      </c>
      <c r="C655" s="409">
        <v>1.61</v>
      </c>
      <c r="D655" s="527"/>
      <c r="E655" s="250">
        <v>1.69</v>
      </c>
      <c r="F655" s="250">
        <v>1.79</v>
      </c>
      <c r="G655" s="250">
        <v>2.0099999999999998</v>
      </c>
      <c r="H655" s="249"/>
      <c r="I655" s="249"/>
      <c r="J655" s="330"/>
      <c r="K655" s="432"/>
      <c r="L655" s="250">
        <v>2.09</v>
      </c>
      <c r="M655" s="463">
        <v>1.79</v>
      </c>
      <c r="N655" s="464">
        <v>1.79</v>
      </c>
      <c r="O655" s="530"/>
      <c r="P655" s="531"/>
      <c r="Q655" s="532"/>
      <c r="R655" s="250">
        <v>1.95</v>
      </c>
      <c r="S655" s="469"/>
      <c r="T655" s="333"/>
      <c r="U655" s="334"/>
      <c r="V655" s="497"/>
      <c r="W655" s="315"/>
    </row>
    <row r="656" spans="1:23" x14ac:dyDescent="0.2">
      <c r="A656" s="512">
        <v>43954</v>
      </c>
      <c r="B656" s="415" t="s">
        <v>56</v>
      </c>
      <c r="C656" s="410">
        <f>(C654-C653)/C654</f>
        <v>2.3783008036739415E-2</v>
      </c>
      <c r="D656" s="336"/>
      <c r="E656" s="336">
        <f>(E654-E653)/E654</f>
        <v>6.2373158756137442E-2</v>
      </c>
      <c r="F656" s="336">
        <f>(F654-F653)/F654</f>
        <v>6.4615384615384658E-2</v>
      </c>
      <c r="G656" s="336">
        <f>(G654-G653)/G654</f>
        <v>0.15060340856748045</v>
      </c>
      <c r="H656" s="336"/>
      <c r="I656" s="336"/>
      <c r="J656" s="338"/>
      <c r="K656" s="433"/>
      <c r="L656" s="336">
        <f>(L654-L653)/L654</f>
        <v>0.14358532272325375</v>
      </c>
      <c r="M656" s="465">
        <f>(M654-M653)/M654</f>
        <v>7.1834451901566024E-2</v>
      </c>
      <c r="N656" s="466">
        <f>(N654-N653)/N654</f>
        <v>6.3182326621923954E-2</v>
      </c>
      <c r="O656" s="444"/>
      <c r="P656" s="340"/>
      <c r="Q656" s="341"/>
      <c r="R656" s="336">
        <f>(R654-R653)/R654</f>
        <v>0.10490226337448563</v>
      </c>
      <c r="S656" s="470"/>
      <c r="T656" s="339"/>
      <c r="U656" s="340"/>
      <c r="V656" s="470"/>
      <c r="W656" s="315"/>
    </row>
    <row r="657" spans="1:23" x14ac:dyDescent="0.2">
      <c r="A657" s="512">
        <v>43954</v>
      </c>
      <c r="B657" s="415" t="s">
        <v>57</v>
      </c>
      <c r="C657" s="410">
        <f>(C654-C653)/C653</f>
        <v>2.4362419659290747E-2</v>
      </c>
      <c r="D657" s="336"/>
      <c r="E657" s="336">
        <f>(E654-E653)/E653</f>
        <v>6.6522369041177143E-2</v>
      </c>
      <c r="F657" s="336">
        <f>(F654-F653)/F653</f>
        <v>6.9078947368421101E-2</v>
      </c>
      <c r="G657" s="336">
        <f>(G654-G653)/G653</f>
        <v>0.17730634910305634</v>
      </c>
      <c r="H657" s="336"/>
      <c r="I657" s="336"/>
      <c r="J657" s="338"/>
      <c r="K657" s="433"/>
      <c r="L657" s="336">
        <f>(L654-L653)/L653</f>
        <v>0.16765864310012851</v>
      </c>
      <c r="M657" s="465">
        <f>(M654-M653)/M653</f>
        <v>7.7394008050326632E-2</v>
      </c>
      <c r="N657" s="466">
        <f>(N654-N653)/N653</f>
        <v>6.7443568174898383E-2</v>
      </c>
      <c r="O657" s="444"/>
      <c r="P657" s="340"/>
      <c r="Q657" s="341"/>
      <c r="R657" s="336">
        <f>(R654-R653)/R653</f>
        <v>0.11719643462619324</v>
      </c>
      <c r="S657" s="470"/>
      <c r="T657" s="339"/>
      <c r="U657" s="340"/>
      <c r="V657" s="470"/>
      <c r="W657" s="315"/>
    </row>
    <row r="658" spans="1:23" ht="13.3" thickBot="1" x14ac:dyDescent="0.25">
      <c r="A658" s="512">
        <v>43954</v>
      </c>
      <c r="B658" s="418" t="s">
        <v>58</v>
      </c>
      <c r="C658" s="411">
        <f>C655/C649-1</f>
        <v>-6.1728395061728669E-3</v>
      </c>
      <c r="D658" s="353"/>
      <c r="E658" s="353">
        <f>E655/E649-1</f>
        <v>-5.8823529411764497E-3</v>
      </c>
      <c r="F658" s="353">
        <f>F655/F649-1</f>
        <v>-5.5555555555555358E-3</v>
      </c>
      <c r="G658" s="353">
        <f>G655/G649-1</f>
        <v>-4.9504950495050659E-3</v>
      </c>
      <c r="H658" s="353"/>
      <c r="I658" s="353"/>
      <c r="J658" s="355"/>
      <c r="K658" s="434"/>
      <c r="L658" s="353">
        <f>L655/L649-1</f>
        <v>-4.761904761904856E-3</v>
      </c>
      <c r="M658" s="467">
        <f>M655/M649-1</f>
        <v>-5.5555555555555358E-3</v>
      </c>
      <c r="N658" s="292">
        <f>N655/N649-1</f>
        <v>-5.5555555555555358E-3</v>
      </c>
      <c r="O658" s="445"/>
      <c r="P658" s="357"/>
      <c r="Q658" s="358"/>
      <c r="R658" s="353">
        <f>R655/R649-1</f>
        <v>-5.1020408163264808E-3</v>
      </c>
      <c r="S658" s="471"/>
      <c r="T658" s="356"/>
      <c r="U658" s="357"/>
      <c r="V658" s="471"/>
      <c r="W658" s="359"/>
    </row>
    <row r="659" spans="1:23" x14ac:dyDescent="0.2">
      <c r="A659" s="512">
        <v>43961</v>
      </c>
      <c r="B659" s="419" t="s">
        <v>53</v>
      </c>
      <c r="C659" s="408">
        <v>1687.57</v>
      </c>
      <c r="D659" s="521"/>
      <c r="E659" s="346">
        <v>1705.67</v>
      </c>
      <c r="F659" s="346">
        <v>1798.84</v>
      </c>
      <c r="G659" s="346">
        <v>1844.04</v>
      </c>
      <c r="H659" s="521"/>
      <c r="I659" s="521"/>
      <c r="J659" s="522"/>
      <c r="K659" s="523"/>
      <c r="L659" s="346">
        <v>1924.21</v>
      </c>
      <c r="M659" s="256">
        <v>1647.56</v>
      </c>
      <c r="N659" s="462">
        <v>1662.92</v>
      </c>
      <c r="O659" s="442"/>
      <c r="P659" s="348"/>
      <c r="Q659" s="349"/>
      <c r="R659" s="346">
        <v>1740.07</v>
      </c>
      <c r="S659" s="346"/>
      <c r="T659" s="290"/>
      <c r="U659" s="348"/>
      <c r="V659" s="347"/>
      <c r="W659" s="346">
        <v>1236</v>
      </c>
    </row>
    <row r="660" spans="1:23" x14ac:dyDescent="0.2">
      <c r="A660" s="512">
        <v>43961</v>
      </c>
      <c r="B660" s="415" t="s">
        <v>54</v>
      </c>
      <c r="C660" s="409">
        <v>1729</v>
      </c>
      <c r="D660" s="249"/>
      <c r="E660" s="250">
        <v>1820</v>
      </c>
      <c r="F660" s="250">
        <v>1924</v>
      </c>
      <c r="G660" s="250">
        <v>2171</v>
      </c>
      <c r="H660" s="249"/>
      <c r="I660" s="249"/>
      <c r="J660" s="330"/>
      <c r="K660" s="432"/>
      <c r="L660" s="250">
        <v>2249</v>
      </c>
      <c r="M660" s="245">
        <v>1776</v>
      </c>
      <c r="N660" s="520">
        <v>1776</v>
      </c>
      <c r="O660" s="530"/>
      <c r="P660" s="531"/>
      <c r="Q660" s="532"/>
      <c r="R660" s="250">
        <v>1944</v>
      </c>
      <c r="S660" s="496"/>
      <c r="T660" s="330"/>
      <c r="U660" s="334"/>
      <c r="V660" s="469"/>
      <c r="W660" s="315"/>
    </row>
    <row r="661" spans="1:23" x14ac:dyDescent="0.2">
      <c r="A661" s="512">
        <v>43961</v>
      </c>
      <c r="B661" s="415" t="s">
        <v>55</v>
      </c>
      <c r="C661" s="409">
        <v>1.6</v>
      </c>
      <c r="D661" s="249"/>
      <c r="E661" s="250">
        <v>1.68</v>
      </c>
      <c r="F661" s="250">
        <v>1.78</v>
      </c>
      <c r="G661" s="250">
        <v>2</v>
      </c>
      <c r="H661" s="249"/>
      <c r="I661" s="249"/>
      <c r="J661" s="330"/>
      <c r="K661" s="432"/>
      <c r="L661" s="250">
        <v>2.08</v>
      </c>
      <c r="M661" s="463">
        <v>1.78</v>
      </c>
      <c r="N661" s="464">
        <v>1.78</v>
      </c>
      <c r="O661" s="530"/>
      <c r="P661" s="531"/>
      <c r="Q661" s="532"/>
      <c r="R661" s="250">
        <v>1.94</v>
      </c>
      <c r="S661" s="469"/>
      <c r="T661" s="333"/>
      <c r="U661" s="334"/>
      <c r="V661" s="497"/>
      <c r="W661" s="315"/>
    </row>
    <row r="662" spans="1:23" x14ac:dyDescent="0.2">
      <c r="A662" s="512">
        <v>43961</v>
      </c>
      <c r="B662" s="415" t="s">
        <v>56</v>
      </c>
      <c r="C662" s="410">
        <f>(C660-C659)/C660</f>
        <v>2.3961827646038211E-2</v>
      </c>
      <c r="D662" s="336"/>
      <c r="E662" s="336">
        <f>(E660-E659)/E660</f>
        <v>6.2818681318681277E-2</v>
      </c>
      <c r="F662" s="336">
        <f>(F660-F659)/F660</f>
        <v>6.5051975051975089E-2</v>
      </c>
      <c r="G662" s="336">
        <f>(G660-G659)/G660</f>
        <v>0.15060340856748045</v>
      </c>
      <c r="H662" s="336"/>
      <c r="I662" s="336"/>
      <c r="J662" s="338"/>
      <c r="K662" s="433"/>
      <c r="L662" s="336">
        <f>(L660-L659)/L660</f>
        <v>0.14441529568697198</v>
      </c>
      <c r="M662" s="465">
        <f>(M660-M659)/M660</f>
        <v>7.2319819819819844E-2</v>
      </c>
      <c r="N662" s="466">
        <f>(N660-N659)/N660</f>
        <v>6.3671171171171131E-2</v>
      </c>
      <c r="O662" s="444"/>
      <c r="P662" s="340"/>
      <c r="Q662" s="341"/>
      <c r="R662" s="336">
        <f>(R660-R659)/R660</f>
        <v>0.10490226337448563</v>
      </c>
      <c r="S662" s="470"/>
      <c r="T662" s="339"/>
      <c r="U662" s="340"/>
      <c r="V662" s="470"/>
      <c r="W662" s="315"/>
    </row>
    <row r="663" spans="1:23" x14ac:dyDescent="0.2">
      <c r="A663" s="512">
        <v>43961</v>
      </c>
      <c r="B663" s="415" t="s">
        <v>57</v>
      </c>
      <c r="C663" s="410">
        <f>(C660-C659)/C659</f>
        <v>2.4550092736893916E-2</v>
      </c>
      <c r="D663" s="336"/>
      <c r="E663" s="336">
        <f>(E660-E659)/E659</f>
        <v>6.7029378484700974E-2</v>
      </c>
      <c r="F663" s="336">
        <f>(F660-F659)/F659</f>
        <v>6.9578172600120128E-2</v>
      </c>
      <c r="G663" s="336">
        <f>(G660-G659)/G659</f>
        <v>0.17730634910305634</v>
      </c>
      <c r="H663" s="336"/>
      <c r="I663" s="336"/>
      <c r="J663" s="338"/>
      <c r="K663" s="433"/>
      <c r="L663" s="336">
        <f>(L660-L659)/L659</f>
        <v>0.16879134813767727</v>
      </c>
      <c r="M663" s="465">
        <f>(M660-M659)/M659</f>
        <v>7.7957707154822919E-2</v>
      </c>
      <c r="N663" s="466">
        <f>(N660-N659)/N659</f>
        <v>6.8000865946648018E-2</v>
      </c>
      <c r="O663" s="444"/>
      <c r="P663" s="340"/>
      <c r="Q663" s="341"/>
      <c r="R663" s="336">
        <f>(R660-R659)/R659</f>
        <v>0.11719643462619324</v>
      </c>
      <c r="S663" s="470"/>
      <c r="T663" s="339"/>
      <c r="U663" s="340"/>
      <c r="V663" s="470"/>
      <c r="W663" s="315"/>
    </row>
    <row r="664" spans="1:23" ht="13.3" thickBot="1" x14ac:dyDescent="0.25">
      <c r="A664" s="512">
        <v>43961</v>
      </c>
      <c r="B664" s="418" t="s">
        <v>58</v>
      </c>
      <c r="C664" s="411">
        <f>C661/C655-1</f>
        <v>-6.2111801242236142E-3</v>
      </c>
      <c r="D664" s="353"/>
      <c r="E664" s="353">
        <f>E661/E655-1</f>
        <v>-5.9171597633136397E-3</v>
      </c>
      <c r="F664" s="353">
        <f>F661/F655-1</f>
        <v>-5.5865921787709993E-3</v>
      </c>
      <c r="G664" s="353">
        <f>G661/G655-1</f>
        <v>-4.9751243781093191E-3</v>
      </c>
      <c r="H664" s="353"/>
      <c r="I664" s="353"/>
      <c r="J664" s="355"/>
      <c r="K664" s="434"/>
      <c r="L664" s="353">
        <f>L661/L655-1</f>
        <v>-4.7846889952152249E-3</v>
      </c>
      <c r="M664" s="467">
        <f>M661/M655-1</f>
        <v>-5.5865921787709993E-3</v>
      </c>
      <c r="N664" s="292">
        <f>N661/N655-1</f>
        <v>-5.5865921787709993E-3</v>
      </c>
      <c r="O664" s="445"/>
      <c r="P664" s="357"/>
      <c r="Q664" s="358"/>
      <c r="R664" s="353">
        <f>R661/R655-1</f>
        <v>-5.12820512820511E-3</v>
      </c>
      <c r="S664" s="471"/>
      <c r="T664" s="356"/>
      <c r="U664" s="357"/>
      <c r="V664" s="471"/>
      <c r="W664" s="359"/>
    </row>
    <row r="665" spans="1:23" x14ac:dyDescent="0.2">
      <c r="A665" s="512">
        <v>44124</v>
      </c>
      <c r="B665" s="419" t="s">
        <v>53</v>
      </c>
      <c r="C665" s="408">
        <v>1697.92</v>
      </c>
      <c r="D665" s="521"/>
      <c r="E665" s="346">
        <v>1715.64</v>
      </c>
      <c r="F665" s="346">
        <v>1808.77</v>
      </c>
      <c r="G665" s="346">
        <v>1853.11</v>
      </c>
      <c r="H665" s="521"/>
      <c r="I665" s="521"/>
      <c r="J665" s="522"/>
      <c r="K665" s="523"/>
      <c r="L665" s="346">
        <v>1933.31</v>
      </c>
      <c r="M665" s="256">
        <v>1656.64</v>
      </c>
      <c r="N665" s="462">
        <v>1672.09</v>
      </c>
      <c r="O665" s="442"/>
      <c r="P665" s="348"/>
      <c r="Q665" s="349"/>
      <c r="R665" s="346">
        <v>1748.88</v>
      </c>
      <c r="S665" s="346"/>
      <c r="T665" s="290"/>
      <c r="U665" s="348"/>
      <c r="V665" s="347"/>
      <c r="W665" s="346">
        <v>1236</v>
      </c>
    </row>
    <row r="666" spans="1:23" x14ac:dyDescent="0.2">
      <c r="A666" s="512">
        <v>44124</v>
      </c>
      <c r="B666" s="415" t="s">
        <v>54</v>
      </c>
      <c r="C666" s="409">
        <v>1742</v>
      </c>
      <c r="D666" s="249"/>
      <c r="E666" s="250">
        <v>1833</v>
      </c>
      <c r="F666" s="250">
        <v>1937</v>
      </c>
      <c r="G666" s="250">
        <v>2171</v>
      </c>
      <c r="H666" s="249"/>
      <c r="I666" s="249"/>
      <c r="J666" s="330"/>
      <c r="K666" s="432"/>
      <c r="L666" s="250">
        <v>2262</v>
      </c>
      <c r="M666" s="245">
        <v>1788</v>
      </c>
      <c r="N666" s="520">
        <v>1788</v>
      </c>
      <c r="O666" s="530"/>
      <c r="P666" s="531"/>
      <c r="Q666" s="532"/>
      <c r="R666" s="250">
        <v>1944</v>
      </c>
      <c r="S666" s="496"/>
      <c r="T666" s="330"/>
      <c r="U666" s="334"/>
      <c r="V666" s="469"/>
      <c r="W666" s="315"/>
    </row>
    <row r="667" spans="1:23" x14ac:dyDescent="0.2">
      <c r="A667" s="512">
        <v>44124</v>
      </c>
      <c r="B667" s="415" t="s">
        <v>55</v>
      </c>
      <c r="C667" s="409">
        <v>1.61</v>
      </c>
      <c r="D667" s="249"/>
      <c r="E667" s="250">
        <v>1.69</v>
      </c>
      <c r="F667" s="250">
        <v>1.79</v>
      </c>
      <c r="G667" s="250">
        <v>2.0099999999999998</v>
      </c>
      <c r="H667" s="249"/>
      <c r="I667" s="249"/>
      <c r="J667" s="330"/>
      <c r="K667" s="432"/>
      <c r="L667" s="250">
        <v>2.09</v>
      </c>
      <c r="M667" s="463">
        <v>1.79</v>
      </c>
      <c r="N667" s="464">
        <v>1.79</v>
      </c>
      <c r="O667" s="530"/>
      <c r="P667" s="531"/>
      <c r="Q667" s="532"/>
      <c r="R667" s="250">
        <v>1.95</v>
      </c>
      <c r="S667" s="469"/>
      <c r="T667" s="333"/>
      <c r="U667" s="334"/>
      <c r="V667" s="497"/>
      <c r="W667" s="315"/>
    </row>
    <row r="668" spans="1:23" x14ac:dyDescent="0.2">
      <c r="A668" s="512">
        <v>44124</v>
      </c>
      <c r="B668" s="415" t="s">
        <v>56</v>
      </c>
      <c r="C668" s="410">
        <f>(C666-C665)/C666</f>
        <v>2.5304247990815112E-2</v>
      </c>
      <c r="D668" s="336"/>
      <c r="E668" s="336">
        <f>(E666-E665)/E666</f>
        <v>6.4026186579378017E-2</v>
      </c>
      <c r="F668" s="336">
        <f>(F666-F665)/F666</f>
        <v>6.6200309757356746E-2</v>
      </c>
      <c r="G668" s="336">
        <f>(G666-G665)/G666</f>
        <v>0.14642561031782594</v>
      </c>
      <c r="H668" s="336"/>
      <c r="I668" s="336"/>
      <c r="J668" s="338"/>
      <c r="K668" s="433"/>
      <c r="L668" s="336">
        <f>(L666-L665)/L666</f>
        <v>0.14530946065428826</v>
      </c>
      <c r="M668" s="465">
        <f>(M666-M665)/M666</f>
        <v>7.3467561521252736E-2</v>
      </c>
      <c r="N668" s="466">
        <f>(N666-N665)/N666</f>
        <v>6.48266219239374E-2</v>
      </c>
      <c r="O668" s="444"/>
      <c r="P668" s="340"/>
      <c r="Q668" s="341"/>
      <c r="R668" s="336">
        <f>(R666-R665)/R666</f>
        <v>0.10037037037037032</v>
      </c>
      <c r="S668" s="470"/>
      <c r="T668" s="339"/>
      <c r="U668" s="340"/>
      <c r="V668" s="470"/>
      <c r="W668" s="315"/>
    </row>
    <row r="669" spans="1:23" x14ac:dyDescent="0.2">
      <c r="A669" s="512">
        <v>44124</v>
      </c>
      <c r="B669" s="415" t="s">
        <v>57</v>
      </c>
      <c r="C669" s="410">
        <f>(C666-C665)/C665</f>
        <v>2.5961176027139043E-2</v>
      </c>
      <c r="D669" s="336"/>
      <c r="E669" s="336">
        <f>(E666-E665)/E665</f>
        <v>6.8405959292159133E-2</v>
      </c>
      <c r="F669" s="336">
        <f>(F666-F665)/F665</f>
        <v>7.0893480099736297E-2</v>
      </c>
      <c r="G669" s="336">
        <f>(G666-G665)/G665</f>
        <v>0.17154405297041198</v>
      </c>
      <c r="H669" s="336"/>
      <c r="I669" s="336"/>
      <c r="J669" s="338"/>
      <c r="K669" s="433"/>
      <c r="L669" s="336">
        <f>(L666-L665)/L665</f>
        <v>0.17001412086007939</v>
      </c>
      <c r="M669" s="465">
        <f>(M666-M665)/M665</f>
        <v>7.9293026849526688E-2</v>
      </c>
      <c r="N669" s="466">
        <f>(N666-N665)/N665</f>
        <v>6.9320431316496178E-2</v>
      </c>
      <c r="O669" s="444"/>
      <c r="P669" s="340"/>
      <c r="Q669" s="341"/>
      <c r="R669" s="336">
        <f>(R666-R665)/R665</f>
        <v>0.11156854672704809</v>
      </c>
      <c r="S669" s="470"/>
      <c r="T669" s="339"/>
      <c r="U669" s="340"/>
      <c r="V669" s="470"/>
      <c r="W669" s="315"/>
    </row>
    <row r="670" spans="1:23" ht="13.3" thickBot="1" x14ac:dyDescent="0.25">
      <c r="A670" s="512">
        <v>44124</v>
      </c>
      <c r="B670" s="418" t="s">
        <v>58</v>
      </c>
      <c r="C670" s="411">
        <f>C667/C661-1</f>
        <v>6.2500000000000888E-3</v>
      </c>
      <c r="D670" s="353"/>
      <c r="E670" s="353">
        <f>E667/E661-1</f>
        <v>5.9523809523809312E-3</v>
      </c>
      <c r="F670" s="353">
        <f>F667/F661-1</f>
        <v>5.6179775280897903E-3</v>
      </c>
      <c r="G670" s="353">
        <f>G667/G661-1</f>
        <v>4.9999999999998934E-3</v>
      </c>
      <c r="H670" s="353"/>
      <c r="I670" s="353"/>
      <c r="J670" s="355"/>
      <c r="K670" s="434"/>
      <c r="L670" s="353">
        <f>L667/L661-1</f>
        <v>4.8076923076922906E-3</v>
      </c>
      <c r="M670" s="467">
        <f>M667/M661-1</f>
        <v>5.6179775280897903E-3</v>
      </c>
      <c r="N670" s="292">
        <f>N667/N661-1</f>
        <v>5.6179775280897903E-3</v>
      </c>
      <c r="O670" s="445"/>
      <c r="P670" s="357"/>
      <c r="Q670" s="358"/>
      <c r="R670" s="353">
        <f>R667/R661-1</f>
        <v>5.1546391752577136E-3</v>
      </c>
      <c r="S670" s="471"/>
      <c r="T670" s="356"/>
      <c r="U670" s="357"/>
      <c r="V670" s="471"/>
      <c r="W670" s="359"/>
    </row>
    <row r="671" spans="1:23" x14ac:dyDescent="0.2">
      <c r="A671" s="512">
        <v>44131</v>
      </c>
      <c r="B671" s="419" t="s">
        <v>53</v>
      </c>
      <c r="C671" s="408">
        <v>1708.27</v>
      </c>
      <c r="D671" s="521"/>
      <c r="E671" s="346">
        <v>1725.61</v>
      </c>
      <c r="F671" s="346">
        <v>1818.7</v>
      </c>
      <c r="G671" s="346">
        <v>1862.18</v>
      </c>
      <c r="H671" s="521"/>
      <c r="I671" s="521"/>
      <c r="J671" s="522"/>
      <c r="K671" s="523"/>
      <c r="L671" s="346">
        <v>1942.41</v>
      </c>
      <c r="M671" s="256">
        <v>1665.72</v>
      </c>
      <c r="N671" s="462">
        <v>1681.26</v>
      </c>
      <c r="O671" s="442"/>
      <c r="P671" s="348"/>
      <c r="Q671" s="349"/>
      <c r="R671" s="346">
        <v>1757.69</v>
      </c>
      <c r="S671" s="346"/>
      <c r="T671" s="290"/>
      <c r="U671" s="348"/>
      <c r="V671" s="347"/>
      <c r="W671" s="346">
        <v>1236</v>
      </c>
    </row>
    <row r="672" spans="1:23" x14ac:dyDescent="0.2">
      <c r="A672" s="512">
        <v>44131</v>
      </c>
      <c r="B672" s="415" t="s">
        <v>54</v>
      </c>
      <c r="C672" s="409">
        <v>1755</v>
      </c>
      <c r="D672" s="249"/>
      <c r="E672" s="250">
        <v>1846</v>
      </c>
      <c r="F672" s="250">
        <v>1950</v>
      </c>
      <c r="G672" s="250">
        <v>2184</v>
      </c>
      <c r="H672" s="249"/>
      <c r="I672" s="249"/>
      <c r="J672" s="330"/>
      <c r="K672" s="432"/>
      <c r="L672" s="250">
        <v>2275</v>
      </c>
      <c r="M672" s="245">
        <v>1800</v>
      </c>
      <c r="N672" s="520">
        <v>1800</v>
      </c>
      <c r="O672" s="530"/>
      <c r="P672" s="531"/>
      <c r="Q672" s="532"/>
      <c r="R672" s="250">
        <v>1956</v>
      </c>
      <c r="S672" s="496"/>
      <c r="T672" s="330"/>
      <c r="U672" s="334"/>
      <c r="V672" s="469"/>
      <c r="W672" s="315"/>
    </row>
    <row r="673" spans="1:23" x14ac:dyDescent="0.2">
      <c r="A673" s="512">
        <v>44131</v>
      </c>
      <c r="B673" s="415" t="s">
        <v>55</v>
      </c>
      <c r="C673" s="409">
        <v>1.62</v>
      </c>
      <c r="D673" s="249"/>
      <c r="E673" s="250">
        <v>1.7</v>
      </c>
      <c r="F673" s="250">
        <v>1.8</v>
      </c>
      <c r="G673" s="250">
        <v>2.02</v>
      </c>
      <c r="H673" s="249"/>
      <c r="I673" s="249"/>
      <c r="J673" s="330"/>
      <c r="K673" s="432"/>
      <c r="L673" s="250">
        <v>2.1</v>
      </c>
      <c r="M673" s="463">
        <v>1.8</v>
      </c>
      <c r="N673" s="464">
        <v>1.8</v>
      </c>
      <c r="O673" s="530"/>
      <c r="P673" s="531"/>
      <c r="Q673" s="532"/>
      <c r="R673" s="250">
        <v>1.96</v>
      </c>
      <c r="S673" s="469"/>
      <c r="T673" s="333"/>
      <c r="U673" s="334"/>
      <c r="V673" s="497"/>
      <c r="W673" s="315"/>
    </row>
    <row r="674" spans="1:23" x14ac:dyDescent="0.2">
      <c r="A674" s="512">
        <v>44131</v>
      </c>
      <c r="B674" s="415" t="s">
        <v>56</v>
      </c>
      <c r="C674" s="410">
        <f>(C672-C671)/C672</f>
        <v>2.6626780626780637E-2</v>
      </c>
      <c r="D674" s="336"/>
      <c r="E674" s="336">
        <f>(E672-E671)/E672</f>
        <v>6.5216684723727034E-2</v>
      </c>
      <c r="F674" s="336">
        <f>(F672-F671)/F672</f>
        <v>6.7333333333333314E-2</v>
      </c>
      <c r="G674" s="336">
        <f>(G672-G671)/G672</f>
        <v>0.14735347985347982</v>
      </c>
      <c r="H674" s="336"/>
      <c r="I674" s="336"/>
      <c r="J674" s="338"/>
      <c r="K674" s="433"/>
      <c r="L674" s="336">
        <f>(L672-L671)/L672</f>
        <v>0.14619340659340654</v>
      </c>
      <c r="M674" s="465">
        <f>(M672-M671)/M672</f>
        <v>7.4599999999999986E-2</v>
      </c>
      <c r="N674" s="466">
        <f>(N672-N671)/N672</f>
        <v>6.5966666666666673E-2</v>
      </c>
      <c r="O674" s="444"/>
      <c r="P674" s="340"/>
      <c r="Q674" s="341"/>
      <c r="R674" s="336">
        <f>(R672-R671)/R672</f>
        <v>0.10138548057259711</v>
      </c>
      <c r="S674" s="470"/>
      <c r="T674" s="339"/>
      <c r="U674" s="340"/>
      <c r="V674" s="470"/>
      <c r="W674" s="315"/>
    </row>
    <row r="675" spans="1:23" x14ac:dyDescent="0.2">
      <c r="A675" s="512">
        <v>44131</v>
      </c>
      <c r="B675" s="415" t="s">
        <v>57</v>
      </c>
      <c r="C675" s="410">
        <f>(C672-C671)/C671</f>
        <v>2.7355160483998442E-2</v>
      </c>
      <c r="D675" s="336"/>
      <c r="E675" s="336">
        <f>(E672-E671)/E671</f>
        <v>6.9766633248532467E-2</v>
      </c>
      <c r="F675" s="336">
        <f>(F672-F671)/F671</f>
        <v>7.2194424588992112E-2</v>
      </c>
      <c r="G675" s="336">
        <f>(G672-G671)/G671</f>
        <v>0.17281895412903153</v>
      </c>
      <c r="H675" s="336"/>
      <c r="I675" s="336"/>
      <c r="J675" s="338"/>
      <c r="K675" s="433"/>
      <c r="L675" s="336">
        <f>(L672-L671)/L671</f>
        <v>0.17122543644235763</v>
      </c>
      <c r="M675" s="465">
        <f>(M672-M671)/M671</f>
        <v>8.061378863194292E-2</v>
      </c>
      <c r="N675" s="466">
        <f>(N672-N671)/N671</f>
        <v>7.0625602226901257E-2</v>
      </c>
      <c r="O675" s="444"/>
      <c r="P675" s="340"/>
      <c r="Q675" s="341"/>
      <c r="R675" s="336">
        <f>(R672-R671)/R671</f>
        <v>0.11282421814995815</v>
      </c>
      <c r="S675" s="470"/>
      <c r="T675" s="339"/>
      <c r="U675" s="340"/>
      <c r="V675" s="470"/>
      <c r="W675" s="315"/>
    </row>
    <row r="676" spans="1:23" ht="13.3" thickBot="1" x14ac:dyDescent="0.25">
      <c r="A676" s="512">
        <v>44131</v>
      </c>
      <c r="B676" s="418" t="s">
        <v>58</v>
      </c>
      <c r="C676" s="411">
        <f>C673/C667-1</f>
        <v>6.2111801242235032E-3</v>
      </c>
      <c r="D676" s="353"/>
      <c r="E676" s="353">
        <f>E673/E667-1</f>
        <v>5.9171597633136397E-3</v>
      </c>
      <c r="F676" s="353">
        <f>F673/F667-1</f>
        <v>5.5865921787709993E-3</v>
      </c>
      <c r="G676" s="353">
        <f>G673/G667-1</f>
        <v>4.9751243781095411E-3</v>
      </c>
      <c r="H676" s="353"/>
      <c r="I676" s="353"/>
      <c r="J676" s="355"/>
      <c r="K676" s="434"/>
      <c r="L676" s="353">
        <f>L673/L667-1</f>
        <v>4.784688995215447E-3</v>
      </c>
      <c r="M676" s="467">
        <f>M673/M667-1</f>
        <v>5.5865921787709993E-3</v>
      </c>
      <c r="N676" s="292">
        <f>N673/N667-1</f>
        <v>5.5865921787709993E-3</v>
      </c>
      <c r="O676" s="445"/>
      <c r="P676" s="357"/>
      <c r="Q676" s="358"/>
      <c r="R676" s="353">
        <f>R673/R667-1</f>
        <v>5.12820512820511E-3</v>
      </c>
      <c r="S676" s="471"/>
      <c r="T676" s="356"/>
      <c r="U676" s="357"/>
      <c r="V676" s="471"/>
      <c r="W676" s="359"/>
    </row>
    <row r="677" spans="1:23" x14ac:dyDescent="0.2">
      <c r="A677" s="580">
        <v>44217</v>
      </c>
      <c r="B677" s="419" t="s">
        <v>53</v>
      </c>
      <c r="C677" s="408">
        <v>1718.62</v>
      </c>
      <c r="D677" s="521"/>
      <c r="E677" s="346">
        <v>1735.58</v>
      </c>
      <c r="F677" s="346">
        <v>1828.63</v>
      </c>
      <c r="G677" s="346">
        <v>1871.25</v>
      </c>
      <c r="H677" s="521"/>
      <c r="I677" s="521"/>
      <c r="J677" s="522"/>
      <c r="K677" s="523"/>
      <c r="L677" s="346">
        <v>1951.51</v>
      </c>
      <c r="M677" s="256">
        <v>1674.8</v>
      </c>
      <c r="N677" s="462">
        <v>1690.43</v>
      </c>
      <c r="O677" s="442"/>
      <c r="P677" s="348"/>
      <c r="Q677" s="349"/>
      <c r="R677" s="346">
        <v>1766.5</v>
      </c>
      <c r="S677" s="346"/>
      <c r="T677" s="290"/>
      <c r="U677" s="348"/>
      <c r="V677" s="347"/>
      <c r="W677" s="346">
        <v>1236</v>
      </c>
    </row>
    <row r="678" spans="1:23" x14ac:dyDescent="0.2">
      <c r="A678" s="580">
        <v>44217</v>
      </c>
      <c r="B678" s="415" t="s">
        <v>54</v>
      </c>
      <c r="C678" s="409">
        <v>1768</v>
      </c>
      <c r="D678" s="249"/>
      <c r="E678" s="250">
        <v>1846</v>
      </c>
      <c r="F678" s="250">
        <v>1963</v>
      </c>
      <c r="G678" s="250">
        <v>2197</v>
      </c>
      <c r="H678" s="249"/>
      <c r="I678" s="249"/>
      <c r="J678" s="330"/>
      <c r="K678" s="432"/>
      <c r="L678" s="250">
        <v>2288</v>
      </c>
      <c r="M678" s="245">
        <v>1812</v>
      </c>
      <c r="N678" s="520">
        <v>1812</v>
      </c>
      <c r="O678" s="530"/>
      <c r="P678" s="531"/>
      <c r="Q678" s="532"/>
      <c r="R678" s="250">
        <v>1968</v>
      </c>
      <c r="S678" s="496"/>
      <c r="T678" s="330"/>
      <c r="U678" s="334"/>
      <c r="V678" s="469"/>
      <c r="W678" s="315"/>
    </row>
    <row r="679" spans="1:23" x14ac:dyDescent="0.2">
      <c r="A679" s="580">
        <v>44217</v>
      </c>
      <c r="B679" s="415" t="s">
        <v>55</v>
      </c>
      <c r="C679" s="409">
        <v>1.63</v>
      </c>
      <c r="D679" s="249"/>
      <c r="E679" s="250">
        <v>1.71</v>
      </c>
      <c r="F679" s="250">
        <v>1.81</v>
      </c>
      <c r="G679" s="250">
        <v>2.0299999999999998</v>
      </c>
      <c r="H679" s="249"/>
      <c r="I679" s="249"/>
      <c r="J679" s="330"/>
      <c r="K679" s="432"/>
      <c r="L679" s="250">
        <v>2.11</v>
      </c>
      <c r="M679" s="463">
        <v>1.81</v>
      </c>
      <c r="N679" s="464">
        <v>1.81</v>
      </c>
      <c r="O679" s="530"/>
      <c r="P679" s="531"/>
      <c r="Q679" s="532"/>
      <c r="R679" s="250">
        <v>1.97</v>
      </c>
      <c r="S679" s="469"/>
      <c r="T679" s="333"/>
      <c r="U679" s="334"/>
      <c r="V679" s="497"/>
      <c r="W679" s="315"/>
    </row>
    <row r="680" spans="1:23" x14ac:dyDescent="0.2">
      <c r="A680" s="580">
        <v>44217</v>
      </c>
      <c r="B680" s="415" t="s">
        <v>56</v>
      </c>
      <c r="C680" s="410">
        <f>(C678-C677)/C678</f>
        <v>2.7929864253393728E-2</v>
      </c>
      <c r="D680" s="336"/>
      <c r="E680" s="336">
        <f>(E678-E677)/E678</f>
        <v>5.9815817984832112E-2</v>
      </c>
      <c r="F680" s="336">
        <f>(F678-F677)/F678</f>
        <v>6.845134997452873E-2</v>
      </c>
      <c r="G680" s="336">
        <f>(G678-G677)/G678</f>
        <v>0.14827036868456986</v>
      </c>
      <c r="H680" s="336"/>
      <c r="I680" s="336"/>
      <c r="J680" s="338"/>
      <c r="K680" s="433"/>
      <c r="L680" s="336">
        <f>(L678-L677)/L678</f>
        <v>0.14706730769230769</v>
      </c>
      <c r="M680" s="465">
        <f>(M678-M677)/M678</f>
        <v>7.5717439293598254E-2</v>
      </c>
      <c r="N680" s="466">
        <f>(N678-N677)/N678</f>
        <v>6.7091611479028659E-2</v>
      </c>
      <c r="O680" s="444"/>
      <c r="P680" s="340"/>
      <c r="Q680" s="341"/>
      <c r="R680" s="336">
        <f>(R678-R677)/R678</f>
        <v>0.10238821138211382</v>
      </c>
      <c r="S680" s="470"/>
      <c r="T680" s="339"/>
      <c r="U680" s="340"/>
      <c r="V680" s="470"/>
      <c r="W680" s="315"/>
    </row>
    <row r="681" spans="1:23" x14ac:dyDescent="0.2">
      <c r="A681" s="580">
        <v>44217</v>
      </c>
      <c r="B681" s="415" t="s">
        <v>57</v>
      </c>
      <c r="C681" s="410">
        <f>(C678-C677)/C677</f>
        <v>2.8732355029034987E-2</v>
      </c>
      <c r="D681" s="336"/>
      <c r="E681" s="336">
        <f>(E678-E677)/E677</f>
        <v>6.3621383053503774E-2</v>
      </c>
      <c r="F681" s="336">
        <f>(F678-F677)/F677</f>
        <v>7.3481240054029451E-2</v>
      </c>
      <c r="G681" s="336">
        <f>(G678-G677)/G677</f>
        <v>0.1740814963259853</v>
      </c>
      <c r="H681" s="336"/>
      <c r="I681" s="336"/>
      <c r="J681" s="338"/>
      <c r="K681" s="433"/>
      <c r="L681" s="336">
        <f>(L678-L677)/L677</f>
        <v>0.17242545516036301</v>
      </c>
      <c r="M681" s="465">
        <f>(M678-M677)/M677</f>
        <v>8.1920229281108217E-2</v>
      </c>
      <c r="N681" s="466">
        <f>(N678-N677)/N677</f>
        <v>7.1916612932804033E-2</v>
      </c>
      <c r="O681" s="444"/>
      <c r="P681" s="340"/>
      <c r="Q681" s="341"/>
      <c r="R681" s="336">
        <f>(R678-R677)/R677</f>
        <v>0.11406736484574016</v>
      </c>
      <c r="S681" s="470"/>
      <c r="T681" s="339"/>
      <c r="U681" s="340"/>
      <c r="V681" s="470"/>
      <c r="W681" s="315"/>
    </row>
    <row r="682" spans="1:23" ht="13.3" thickBot="1" x14ac:dyDescent="0.25">
      <c r="A682" s="580">
        <v>44217</v>
      </c>
      <c r="B682" s="418" t="s">
        <v>58</v>
      </c>
      <c r="C682" s="411">
        <f>C679/C673-1</f>
        <v>6.1728395061726449E-3</v>
      </c>
      <c r="D682" s="353"/>
      <c r="E682" s="353">
        <f>E679/E673-1</f>
        <v>5.8823529411764497E-3</v>
      </c>
      <c r="F682" s="353">
        <f>F679/F673-1</f>
        <v>5.5555555555555358E-3</v>
      </c>
      <c r="G682" s="353">
        <f>G679/G673-1</f>
        <v>4.9504950495049549E-3</v>
      </c>
      <c r="H682" s="353"/>
      <c r="I682" s="353"/>
      <c r="J682" s="355"/>
      <c r="K682" s="434"/>
      <c r="L682" s="353">
        <f>L679/L673-1</f>
        <v>4.761904761904745E-3</v>
      </c>
      <c r="M682" s="467">
        <f>M679/M673-1</f>
        <v>5.5555555555555358E-3</v>
      </c>
      <c r="N682" s="292">
        <f>N679/N673-1</f>
        <v>5.5555555555555358E-3</v>
      </c>
      <c r="O682" s="445"/>
      <c r="P682" s="357"/>
      <c r="Q682" s="358"/>
      <c r="R682" s="353">
        <f>R679/R673-1</f>
        <v>5.1020408163264808E-3</v>
      </c>
      <c r="S682" s="471"/>
      <c r="T682" s="356"/>
      <c r="U682" s="357"/>
      <c r="V682" s="471"/>
      <c r="W682" s="359"/>
    </row>
    <row r="683" spans="1:23" x14ac:dyDescent="0.2">
      <c r="A683" s="580">
        <v>44224</v>
      </c>
      <c r="B683" s="419" t="s">
        <v>53</v>
      </c>
      <c r="C683" s="408">
        <v>1728.97</v>
      </c>
      <c r="D683" s="521"/>
      <c r="E683" s="346">
        <v>1745.55</v>
      </c>
      <c r="F683" s="346">
        <v>1838.56</v>
      </c>
      <c r="G683" s="346">
        <v>1880.32</v>
      </c>
      <c r="H683" s="521"/>
      <c r="I683" s="521"/>
      <c r="J683" s="522"/>
      <c r="K683" s="523"/>
      <c r="L683" s="346">
        <v>1960.61</v>
      </c>
      <c r="M683" s="256">
        <v>1683.88</v>
      </c>
      <c r="N683" s="462">
        <v>1699.6</v>
      </c>
      <c r="O683" s="442"/>
      <c r="P683" s="348"/>
      <c r="Q683" s="349"/>
      <c r="R683" s="346">
        <v>1775.31</v>
      </c>
      <c r="S683" s="346"/>
      <c r="T683" s="290"/>
      <c r="U683" s="348"/>
      <c r="V683" s="347"/>
      <c r="W683" s="346">
        <v>1242.51</v>
      </c>
    </row>
    <row r="684" spans="1:23" x14ac:dyDescent="0.2">
      <c r="A684" s="580">
        <v>44224</v>
      </c>
      <c r="B684" s="415" t="s">
        <v>54</v>
      </c>
      <c r="C684" s="409">
        <v>1781</v>
      </c>
      <c r="D684" s="249"/>
      <c r="E684" s="250">
        <v>1859</v>
      </c>
      <c r="F684" s="250">
        <v>1976</v>
      </c>
      <c r="G684" s="250">
        <v>2210</v>
      </c>
      <c r="H684" s="249"/>
      <c r="I684" s="249"/>
      <c r="J684" s="330"/>
      <c r="K684" s="432"/>
      <c r="L684" s="250">
        <v>2301</v>
      </c>
      <c r="M684" s="245">
        <v>1824</v>
      </c>
      <c r="N684" s="520">
        <v>1824</v>
      </c>
      <c r="O684" s="530"/>
      <c r="P684" s="531"/>
      <c r="Q684" s="532"/>
      <c r="R684" s="250">
        <v>1980</v>
      </c>
      <c r="S684" s="496"/>
      <c r="T684" s="330"/>
      <c r="U684" s="334"/>
      <c r="V684" s="469"/>
      <c r="W684" s="315"/>
    </row>
    <row r="685" spans="1:23" x14ac:dyDescent="0.2">
      <c r="A685" s="580">
        <v>44224</v>
      </c>
      <c r="B685" s="415" t="s">
        <v>55</v>
      </c>
      <c r="C685" s="409">
        <v>1.64</v>
      </c>
      <c r="D685" s="249"/>
      <c r="E685" s="250">
        <v>1.72</v>
      </c>
      <c r="F685" s="250">
        <v>1.82</v>
      </c>
      <c r="G685" s="250">
        <v>2.04</v>
      </c>
      <c r="H685" s="249"/>
      <c r="I685" s="249"/>
      <c r="J685" s="330"/>
      <c r="K685" s="432"/>
      <c r="L685" s="250">
        <v>2.12</v>
      </c>
      <c r="M685" s="463">
        <v>1.82</v>
      </c>
      <c r="N685" s="464">
        <v>1.82</v>
      </c>
      <c r="O685" s="530"/>
      <c r="P685" s="531"/>
      <c r="Q685" s="532"/>
      <c r="R685" s="250">
        <v>1.98</v>
      </c>
      <c r="S685" s="469"/>
      <c r="T685" s="333"/>
      <c r="U685" s="334"/>
      <c r="V685" s="497"/>
      <c r="W685" s="315"/>
    </row>
    <row r="686" spans="1:23" x14ac:dyDescent="0.2">
      <c r="A686" s="580">
        <v>44224</v>
      </c>
      <c r="B686" s="415" t="s">
        <v>56</v>
      </c>
      <c r="C686" s="410">
        <f>(C684-C683)/C684</f>
        <v>2.9213924761370001E-2</v>
      </c>
      <c r="D686" s="336"/>
      <c r="E686" s="336">
        <f>(E684-E683)/E684</f>
        <v>6.1027434104357209E-2</v>
      </c>
      <c r="F686" s="336">
        <f>(F684-F683)/F684</f>
        <v>6.9554655870445375E-2</v>
      </c>
      <c r="G686" s="336">
        <f>(G684-G683)/G684</f>
        <v>0.14917647058823533</v>
      </c>
      <c r="H686" s="336"/>
      <c r="I686" s="336"/>
      <c r="J686" s="338"/>
      <c r="K686" s="433"/>
      <c r="L686" s="336">
        <f>(L684-L683)/L684</f>
        <v>0.14793133420252069</v>
      </c>
      <c r="M686" s="465">
        <f>(M684-M683)/M684</f>
        <v>7.6820175438596427E-2</v>
      </c>
      <c r="N686" s="466">
        <f>(N684-N683)/N684</f>
        <v>6.8201754385964958E-2</v>
      </c>
      <c r="O686" s="444"/>
      <c r="P686" s="340"/>
      <c r="Q686" s="341"/>
      <c r="R686" s="336">
        <f>(R684-R683)/R684</f>
        <v>0.1033787878787879</v>
      </c>
      <c r="S686" s="470"/>
      <c r="T686" s="339"/>
      <c r="U686" s="340"/>
      <c r="V686" s="470"/>
      <c r="W686" s="315"/>
    </row>
    <row r="687" spans="1:23" x14ac:dyDescent="0.2">
      <c r="A687" s="580">
        <v>44224</v>
      </c>
      <c r="B687" s="415" t="s">
        <v>57</v>
      </c>
      <c r="C687" s="410">
        <f>(C684-C683)/C683</f>
        <v>3.0093061186718086E-2</v>
      </c>
      <c r="D687" s="336"/>
      <c r="E687" s="336">
        <f>(E684-E683)/E683</f>
        <v>6.4993841482627282E-2</v>
      </c>
      <c r="F687" s="336">
        <f>(F684-F683)/F683</f>
        <v>7.4754155425985583E-2</v>
      </c>
      <c r="G687" s="336">
        <f>(G684-G683)/G683</f>
        <v>0.17533185840707968</v>
      </c>
      <c r="H687" s="336"/>
      <c r="I687" s="336"/>
      <c r="J687" s="338"/>
      <c r="K687" s="433"/>
      <c r="L687" s="336">
        <f>(L684-L683)/L683</f>
        <v>0.17361433431432061</v>
      </c>
      <c r="M687" s="465">
        <f>(M684-M683)/M683</f>
        <v>8.3212580468916955E-2</v>
      </c>
      <c r="N687" s="466">
        <f>(N684-N683)/N683</f>
        <v>7.3193692633560889E-2</v>
      </c>
      <c r="O687" s="444"/>
      <c r="P687" s="340"/>
      <c r="Q687" s="341"/>
      <c r="R687" s="336">
        <f>(R684-R683)/R683</f>
        <v>0.11529817327677987</v>
      </c>
      <c r="S687" s="470"/>
      <c r="T687" s="339"/>
      <c r="U687" s="340"/>
      <c r="V687" s="470"/>
      <c r="W687" s="315"/>
    </row>
    <row r="688" spans="1:23" ht="13.3" thickBot="1" x14ac:dyDescent="0.25">
      <c r="A688" s="580">
        <v>44224</v>
      </c>
      <c r="B688" s="418" t="s">
        <v>58</v>
      </c>
      <c r="C688" s="411">
        <f>C685/C679-1</f>
        <v>6.1349693251533388E-3</v>
      </c>
      <c r="D688" s="353"/>
      <c r="E688" s="353">
        <f>E685/E679-1</f>
        <v>5.8479532163742132E-3</v>
      </c>
      <c r="F688" s="353">
        <f>F685/F679-1</f>
        <v>5.5248618784531356E-3</v>
      </c>
      <c r="G688" s="353">
        <f>G685/G679-1</f>
        <v>4.9261083743843415E-3</v>
      </c>
      <c r="H688" s="353"/>
      <c r="I688" s="353"/>
      <c r="J688" s="355"/>
      <c r="K688" s="434"/>
      <c r="L688" s="353">
        <f>L685/L679-1</f>
        <v>4.7393364928911552E-3</v>
      </c>
      <c r="M688" s="467">
        <f>M685/M679-1</f>
        <v>5.5248618784531356E-3</v>
      </c>
      <c r="N688" s="292">
        <f>N685/N679-1</f>
        <v>5.5248618784531356E-3</v>
      </c>
      <c r="O688" s="445"/>
      <c r="P688" s="357"/>
      <c r="Q688" s="358"/>
      <c r="R688" s="353">
        <f>R685/R679-1</f>
        <v>5.0761421319795996E-3</v>
      </c>
      <c r="S688" s="471"/>
      <c r="T688" s="356"/>
      <c r="U688" s="357"/>
      <c r="V688" s="471"/>
      <c r="W688" s="359"/>
    </row>
    <row r="689" spans="1:23" x14ac:dyDescent="0.2">
      <c r="A689" s="580">
        <v>44243</v>
      </c>
      <c r="B689" s="419" t="s">
        <v>53</v>
      </c>
      <c r="C689" s="408">
        <v>1739.32</v>
      </c>
      <c r="D689" s="521"/>
      <c r="E689" s="346">
        <v>1755.52</v>
      </c>
      <c r="F689" s="346">
        <v>1848.49</v>
      </c>
      <c r="G689" s="346">
        <v>1889.39</v>
      </c>
      <c r="H689" s="521"/>
      <c r="I689" s="521"/>
      <c r="J689" s="522"/>
      <c r="K689" s="523"/>
      <c r="L689" s="346">
        <v>1969.71</v>
      </c>
      <c r="M689" s="256">
        <v>1692.96</v>
      </c>
      <c r="N689" s="462">
        <v>1708.77</v>
      </c>
      <c r="O689" s="442"/>
      <c r="P689" s="348"/>
      <c r="Q689" s="349"/>
      <c r="R689" s="346">
        <v>1784.12</v>
      </c>
      <c r="S689" s="346"/>
      <c r="T689" s="290"/>
      <c r="U689" s="348"/>
      <c r="V689" s="347"/>
      <c r="W689" s="346">
        <v>1249.05</v>
      </c>
    </row>
    <row r="690" spans="1:23" x14ac:dyDescent="0.2">
      <c r="A690" s="580">
        <v>44243</v>
      </c>
      <c r="B690" s="415" t="s">
        <v>54</v>
      </c>
      <c r="C690" s="409">
        <v>1781</v>
      </c>
      <c r="D690" s="249"/>
      <c r="E690" s="250">
        <v>1872</v>
      </c>
      <c r="F690" s="250">
        <v>1976</v>
      </c>
      <c r="G690" s="250">
        <v>2223</v>
      </c>
      <c r="H690" s="249"/>
      <c r="I690" s="249"/>
      <c r="J690" s="330"/>
      <c r="K690" s="432"/>
      <c r="L690" s="250">
        <v>2301</v>
      </c>
      <c r="M690" s="245">
        <v>1824</v>
      </c>
      <c r="N690" s="520">
        <v>1824</v>
      </c>
      <c r="O690" s="530"/>
      <c r="P690" s="531"/>
      <c r="Q690" s="532"/>
      <c r="R690" s="250">
        <v>1992</v>
      </c>
      <c r="S690" s="496"/>
      <c r="T690" s="330"/>
      <c r="U690" s="334"/>
      <c r="V690" s="469"/>
      <c r="W690" s="315"/>
    </row>
    <row r="691" spans="1:23" x14ac:dyDescent="0.2">
      <c r="A691" s="580">
        <v>44243</v>
      </c>
      <c r="B691" s="415" t="s">
        <v>55</v>
      </c>
      <c r="C691" s="409">
        <v>1.65</v>
      </c>
      <c r="D691" s="249"/>
      <c r="E691" s="250">
        <v>1.73</v>
      </c>
      <c r="F691" s="250">
        <v>1.83</v>
      </c>
      <c r="G691" s="250">
        <v>2.0499999999999998</v>
      </c>
      <c r="H691" s="249"/>
      <c r="I691" s="249"/>
      <c r="J691" s="330"/>
      <c r="K691" s="432"/>
      <c r="L691" s="250">
        <v>2.13</v>
      </c>
      <c r="M691" s="463">
        <v>1.83</v>
      </c>
      <c r="N691" s="464">
        <v>1.83</v>
      </c>
      <c r="O691" s="530"/>
      <c r="P691" s="531"/>
      <c r="Q691" s="532"/>
      <c r="R691" s="250">
        <v>1.99</v>
      </c>
      <c r="S691" s="469"/>
      <c r="T691" s="333"/>
      <c r="U691" s="334"/>
      <c r="V691" s="497"/>
      <c r="W691" s="315"/>
    </row>
    <row r="692" spans="1:23" x14ac:dyDescent="0.2">
      <c r="A692" s="580">
        <v>44243</v>
      </c>
      <c r="B692" s="415" t="s">
        <v>56</v>
      </c>
      <c r="C692" s="410">
        <f>(C690-C689)/C690</f>
        <v>2.340258281864125E-2</v>
      </c>
      <c r="D692" s="336"/>
      <c r="E692" s="336">
        <f>(E690-E689)/E690</f>
        <v>6.2222222222222234E-2</v>
      </c>
      <c r="F692" s="336">
        <f>(F690-F689)/F690</f>
        <v>6.452935222672064E-2</v>
      </c>
      <c r="G692" s="336">
        <f>(G690-G689)/G690</f>
        <v>0.15007197480881687</v>
      </c>
      <c r="H692" s="336"/>
      <c r="I692" s="336"/>
      <c r="J692" s="338"/>
      <c r="K692" s="433"/>
      <c r="L692" s="336">
        <f>(L690-L689)/L690</f>
        <v>0.14397653194263363</v>
      </c>
      <c r="M692" s="465">
        <f>(M690-M689)/M690</f>
        <v>7.1842105263157874E-2</v>
      </c>
      <c r="N692" s="466">
        <f>(N690-N689)/N690</f>
        <v>6.3174342105263168E-2</v>
      </c>
      <c r="O692" s="444"/>
      <c r="P692" s="340"/>
      <c r="Q692" s="341"/>
      <c r="R692" s="336">
        <f>(R690-R689)/R690</f>
        <v>0.10435742971887556</v>
      </c>
      <c r="S692" s="470"/>
      <c r="T692" s="339"/>
      <c r="U692" s="340"/>
      <c r="V692" s="470"/>
      <c r="W692" s="315"/>
    </row>
    <row r="693" spans="1:23" x14ac:dyDescent="0.2">
      <c r="A693" s="580">
        <v>44243</v>
      </c>
      <c r="B693" s="415" t="s">
        <v>57</v>
      </c>
      <c r="C693" s="410">
        <f>(C690-C689)/C689</f>
        <v>2.3963387990709049E-2</v>
      </c>
      <c r="D693" s="336"/>
      <c r="E693" s="336">
        <f>(E690-E689)/E689</f>
        <v>6.6350710900473939E-2</v>
      </c>
      <c r="F693" s="336">
        <f>(F690-F689)/F689</f>
        <v>6.8980627431038305E-2</v>
      </c>
      <c r="G693" s="336">
        <f>(G690-G689)/G689</f>
        <v>0.1765702157839302</v>
      </c>
      <c r="H693" s="336"/>
      <c r="I693" s="336"/>
      <c r="J693" s="338"/>
      <c r="K693" s="433"/>
      <c r="L693" s="336">
        <f>(L690-L689)/L689</f>
        <v>0.16819227195881625</v>
      </c>
      <c r="M693" s="465">
        <f>(M690-M689)/M689</f>
        <v>7.7402891976183705E-2</v>
      </c>
      <c r="N693" s="466">
        <f>(N690-N689)/N689</f>
        <v>6.743447040853949E-2</v>
      </c>
      <c r="O693" s="444"/>
      <c r="P693" s="340"/>
      <c r="Q693" s="341"/>
      <c r="R693" s="336">
        <f>(R690-R689)/R689</f>
        <v>0.11651682622245148</v>
      </c>
      <c r="S693" s="470"/>
      <c r="T693" s="339"/>
      <c r="U693" s="340"/>
      <c r="V693" s="470"/>
      <c r="W693" s="315"/>
    </row>
    <row r="694" spans="1:23" ht="13.3" thickBot="1" x14ac:dyDescent="0.25">
      <c r="A694" s="580">
        <v>44243</v>
      </c>
      <c r="B694" s="418" t="s">
        <v>58</v>
      </c>
      <c r="C694" s="411">
        <f>C691/C685-1</f>
        <v>6.0975609756097615E-3</v>
      </c>
      <c r="D694" s="353"/>
      <c r="E694" s="353">
        <f>E691/E685-1</f>
        <v>5.8139534883721034E-3</v>
      </c>
      <c r="F694" s="353">
        <f>F691/F685-1</f>
        <v>5.494505494505475E-3</v>
      </c>
      <c r="G694" s="353">
        <f>G691/G685-1</f>
        <v>4.9019607843137081E-3</v>
      </c>
      <c r="H694" s="353"/>
      <c r="I694" s="353"/>
      <c r="J694" s="355"/>
      <c r="K694" s="434"/>
      <c r="L694" s="353">
        <f>L691/L685-1</f>
        <v>4.7169811320753041E-3</v>
      </c>
      <c r="M694" s="467">
        <f>M691/M685-1</f>
        <v>5.494505494505475E-3</v>
      </c>
      <c r="N694" s="292">
        <f>N691/N685-1</f>
        <v>5.494505494505475E-3</v>
      </c>
      <c r="O694" s="445"/>
      <c r="P694" s="357"/>
      <c r="Q694" s="358"/>
      <c r="R694" s="353">
        <f>R691/R685-1</f>
        <v>5.050505050504972E-3</v>
      </c>
      <c r="S694" s="471"/>
      <c r="T694" s="356"/>
      <c r="U694" s="357"/>
      <c r="V694" s="471"/>
      <c r="W694" s="359"/>
    </row>
    <row r="695" spans="1:23" x14ac:dyDescent="0.2">
      <c r="A695" s="580">
        <v>44250</v>
      </c>
      <c r="B695" s="419" t="s">
        <v>53</v>
      </c>
      <c r="C695" s="408">
        <v>1749.67</v>
      </c>
      <c r="D695" s="521"/>
      <c r="E695" s="346">
        <v>1765.49</v>
      </c>
      <c r="F695" s="346">
        <v>1858.42</v>
      </c>
      <c r="G695" s="346">
        <v>1898.46</v>
      </c>
      <c r="H695" s="521"/>
      <c r="I695" s="521"/>
      <c r="J695" s="522"/>
      <c r="K695" s="523"/>
      <c r="L695" s="346">
        <v>1978.81</v>
      </c>
      <c r="M695" s="256">
        <v>1702.04</v>
      </c>
      <c r="N695" s="462">
        <v>1717.94</v>
      </c>
      <c r="O695" s="442"/>
      <c r="P695" s="348"/>
      <c r="Q695" s="349"/>
      <c r="R695" s="346">
        <v>1792.93</v>
      </c>
      <c r="S695" s="346"/>
      <c r="T695" s="290"/>
      <c r="U695" s="348"/>
      <c r="V695" s="347"/>
      <c r="W695" s="346">
        <v>1255.6300000000001</v>
      </c>
    </row>
    <row r="696" spans="1:23" x14ac:dyDescent="0.2">
      <c r="A696" s="580">
        <v>44250</v>
      </c>
      <c r="B696" s="415" t="s">
        <v>54</v>
      </c>
      <c r="C696" s="409">
        <v>1794</v>
      </c>
      <c r="D696" s="249"/>
      <c r="E696" s="250">
        <v>1885</v>
      </c>
      <c r="F696" s="250">
        <v>1989</v>
      </c>
      <c r="G696" s="250">
        <v>2236</v>
      </c>
      <c r="H696" s="249"/>
      <c r="I696" s="249"/>
      <c r="J696" s="330"/>
      <c r="K696" s="432"/>
      <c r="L696" s="250">
        <v>2314</v>
      </c>
      <c r="M696" s="245">
        <v>1836</v>
      </c>
      <c r="N696" s="520">
        <v>1836</v>
      </c>
      <c r="O696" s="530"/>
      <c r="P696" s="531"/>
      <c r="Q696" s="532"/>
      <c r="R696" s="250">
        <v>2004</v>
      </c>
      <c r="S696" s="496"/>
      <c r="T696" s="330"/>
      <c r="U696" s="334"/>
      <c r="V696" s="469"/>
      <c r="W696" s="315"/>
    </row>
    <row r="697" spans="1:23" x14ac:dyDescent="0.2">
      <c r="A697" s="580">
        <v>44250</v>
      </c>
      <c r="B697" s="415" t="s">
        <v>55</v>
      </c>
      <c r="C697" s="409">
        <v>1.66</v>
      </c>
      <c r="D697" s="249"/>
      <c r="E697" s="250">
        <v>1.74</v>
      </c>
      <c r="F697" s="250">
        <v>1.84</v>
      </c>
      <c r="G697" s="250">
        <v>2.06</v>
      </c>
      <c r="H697" s="249"/>
      <c r="I697" s="249"/>
      <c r="J697" s="330"/>
      <c r="K697" s="432"/>
      <c r="L697" s="250">
        <v>2.14</v>
      </c>
      <c r="M697" s="463">
        <v>1.84</v>
      </c>
      <c r="N697" s="464">
        <v>1.84</v>
      </c>
      <c r="O697" s="530"/>
      <c r="P697" s="531"/>
      <c r="Q697" s="532"/>
      <c r="R697" s="250">
        <v>2</v>
      </c>
      <c r="S697" s="469"/>
      <c r="T697" s="333"/>
      <c r="U697" s="334"/>
      <c r="V697" s="497"/>
      <c r="W697" s="315"/>
    </row>
    <row r="698" spans="1:23" x14ac:dyDescent="0.2">
      <c r="A698" s="580">
        <v>44250</v>
      </c>
      <c r="B698" s="415" t="s">
        <v>56</v>
      </c>
      <c r="C698" s="410">
        <f>(C696-C695)/C696</f>
        <v>2.471014492753619E-2</v>
      </c>
      <c r="D698" s="336"/>
      <c r="E698" s="336">
        <f>(E696-E695)/E696</f>
        <v>6.3400530503978772E-2</v>
      </c>
      <c r="F698" s="336">
        <f>(F696-F695)/F696</f>
        <v>6.5651080945198559E-2</v>
      </c>
      <c r="G698" s="336">
        <f>(G696-G695)/G696</f>
        <v>0.15095706618962432</v>
      </c>
      <c r="H698" s="336"/>
      <c r="I698" s="336"/>
      <c r="J698" s="338"/>
      <c r="K698" s="433"/>
      <c r="L698" s="336">
        <f>(L696-L695)/L696</f>
        <v>0.14485306828003461</v>
      </c>
      <c r="M698" s="465">
        <f>(M696-M695)/M696</f>
        <v>7.2962962962962979E-2</v>
      </c>
      <c r="N698" s="466">
        <f>(N696-N695)/N696</f>
        <v>6.4302832244008679E-2</v>
      </c>
      <c r="O698" s="444"/>
      <c r="P698" s="340"/>
      <c r="Q698" s="341"/>
      <c r="R698" s="336">
        <f>(R696-R695)/R696</f>
        <v>0.10532435129740515</v>
      </c>
      <c r="S698" s="470"/>
      <c r="T698" s="339"/>
      <c r="U698" s="340"/>
      <c r="V698" s="470"/>
      <c r="W698" s="315"/>
    </row>
    <row r="699" spans="1:23" x14ac:dyDescent="0.2">
      <c r="A699" s="580">
        <v>44250</v>
      </c>
      <c r="B699" s="415" t="s">
        <v>57</v>
      </c>
      <c r="C699" s="410">
        <f>(C696-C695)/C695</f>
        <v>2.533620625603681E-2</v>
      </c>
      <c r="D699" s="336"/>
      <c r="E699" s="336">
        <f>(E696-E695)/E695</f>
        <v>6.769225540784711E-2</v>
      </c>
      <c r="F699" s="336">
        <f>(F696-F695)/F695</f>
        <v>7.0263987688466506E-2</v>
      </c>
      <c r="G699" s="336">
        <f>(G696-G695)/G695</f>
        <v>0.17779674051599714</v>
      </c>
      <c r="H699" s="336"/>
      <c r="I699" s="336"/>
      <c r="J699" s="338"/>
      <c r="K699" s="433"/>
      <c r="L699" s="336">
        <f>(L696-L695)/L695</f>
        <v>0.16938968369878871</v>
      </c>
      <c r="M699" s="465">
        <f>(M696-M695)/M695</f>
        <v>7.8705553335996825E-2</v>
      </c>
      <c r="N699" s="466">
        <f>(N696-N695)/N695</f>
        <v>6.8721841275015391E-2</v>
      </c>
      <c r="O699" s="444"/>
      <c r="P699" s="340"/>
      <c r="Q699" s="341"/>
      <c r="R699" s="336">
        <f>(R696-R695)/R695</f>
        <v>0.11772350286960447</v>
      </c>
      <c r="S699" s="470"/>
      <c r="T699" s="339"/>
      <c r="U699" s="340"/>
      <c r="V699" s="470"/>
      <c r="W699" s="315"/>
    </row>
    <row r="700" spans="1:23" ht="13.3" thickBot="1" x14ac:dyDescent="0.25">
      <c r="A700" s="580">
        <v>44250</v>
      </c>
      <c r="B700" s="418" t="s">
        <v>58</v>
      </c>
      <c r="C700" s="411">
        <f>C697/C691-1</f>
        <v>6.0606060606060996E-3</v>
      </c>
      <c r="D700" s="353"/>
      <c r="E700" s="353">
        <f>E697/E691-1</f>
        <v>5.7803468208093012E-3</v>
      </c>
      <c r="F700" s="353">
        <f>F697/F691-1</f>
        <v>5.464480874316946E-3</v>
      </c>
      <c r="G700" s="353">
        <f>G697/G691-1</f>
        <v>4.8780487804878092E-3</v>
      </c>
      <c r="H700" s="353"/>
      <c r="I700" s="353"/>
      <c r="J700" s="355"/>
      <c r="K700" s="434"/>
      <c r="L700" s="353">
        <f>L697/L691-1</f>
        <v>4.6948356807512415E-3</v>
      </c>
      <c r="M700" s="467">
        <f>M697/M691-1</f>
        <v>5.464480874316946E-3</v>
      </c>
      <c r="N700" s="292">
        <f>N697/N691-1</f>
        <v>5.464480874316946E-3</v>
      </c>
      <c r="O700" s="445"/>
      <c r="P700" s="357"/>
      <c r="Q700" s="358"/>
      <c r="R700" s="353">
        <f>R697/R691-1</f>
        <v>5.0251256281406143E-3</v>
      </c>
      <c r="S700" s="471"/>
      <c r="T700" s="356"/>
      <c r="U700" s="357"/>
      <c r="V700" s="471"/>
      <c r="W700" s="359"/>
    </row>
    <row r="701" spans="1:23" x14ac:dyDescent="0.2">
      <c r="A701" s="580">
        <v>44257</v>
      </c>
      <c r="B701" s="419" t="s">
        <v>53</v>
      </c>
      <c r="C701" s="408">
        <v>1760.02</v>
      </c>
      <c r="D701" s="521"/>
      <c r="E701" s="346">
        <v>1775.46</v>
      </c>
      <c r="F701" s="346">
        <v>1868.35</v>
      </c>
      <c r="G701" s="346">
        <v>1907.53</v>
      </c>
      <c r="H701" s="521"/>
      <c r="I701" s="521"/>
      <c r="J701" s="522"/>
      <c r="K701" s="523"/>
      <c r="L701" s="346">
        <v>1987.91</v>
      </c>
      <c r="M701" s="256">
        <v>1711.12</v>
      </c>
      <c r="N701" s="462">
        <v>1727.11</v>
      </c>
      <c r="O701" s="442"/>
      <c r="P701" s="348"/>
      <c r="Q701" s="349"/>
      <c r="R701" s="346">
        <v>1801.74</v>
      </c>
      <c r="S701" s="346"/>
      <c r="T701" s="290"/>
      <c r="U701" s="348"/>
      <c r="V701" s="347"/>
      <c r="W701" s="346">
        <v>1262.1199999999999</v>
      </c>
    </row>
    <row r="702" spans="1:23" x14ac:dyDescent="0.2">
      <c r="A702" s="580">
        <v>44257</v>
      </c>
      <c r="B702" s="415" t="s">
        <v>54</v>
      </c>
      <c r="C702" s="409">
        <v>1807</v>
      </c>
      <c r="D702" s="249"/>
      <c r="E702" s="250">
        <v>1898</v>
      </c>
      <c r="F702" s="250">
        <v>2002</v>
      </c>
      <c r="G702" s="250">
        <v>2236</v>
      </c>
      <c r="H702" s="249"/>
      <c r="I702" s="249"/>
      <c r="J702" s="330"/>
      <c r="K702" s="432"/>
      <c r="L702" s="250">
        <v>2327</v>
      </c>
      <c r="M702" s="245">
        <v>1848</v>
      </c>
      <c r="N702" s="520">
        <v>1848</v>
      </c>
      <c r="O702" s="530"/>
      <c r="P702" s="531"/>
      <c r="Q702" s="532"/>
      <c r="R702" s="250">
        <v>2004</v>
      </c>
      <c r="S702" s="496"/>
      <c r="T702" s="330"/>
      <c r="U702" s="334"/>
      <c r="V702" s="469"/>
      <c r="W702" s="315"/>
    </row>
    <row r="703" spans="1:23" x14ac:dyDescent="0.2">
      <c r="A703" s="580">
        <v>44257</v>
      </c>
      <c r="B703" s="415" t="s">
        <v>55</v>
      </c>
      <c r="C703" s="409">
        <v>1.67</v>
      </c>
      <c r="D703" s="249"/>
      <c r="E703" s="250">
        <v>1.75</v>
      </c>
      <c r="F703" s="250">
        <v>1.85</v>
      </c>
      <c r="G703" s="250">
        <v>2.0699999999999998</v>
      </c>
      <c r="H703" s="249"/>
      <c r="I703" s="249"/>
      <c r="J703" s="330"/>
      <c r="K703" s="432"/>
      <c r="L703" s="250">
        <v>2.15</v>
      </c>
      <c r="M703" s="463">
        <v>1.85</v>
      </c>
      <c r="N703" s="464">
        <v>1.85</v>
      </c>
      <c r="O703" s="530"/>
      <c r="P703" s="531"/>
      <c r="Q703" s="532"/>
      <c r="R703" s="250">
        <v>2.0099999999999998</v>
      </c>
      <c r="S703" s="469"/>
      <c r="T703" s="333"/>
      <c r="U703" s="334"/>
      <c r="V703" s="497"/>
      <c r="W703" s="315"/>
    </row>
    <row r="704" spans="1:23" x14ac:dyDescent="0.2">
      <c r="A704" s="580">
        <v>44257</v>
      </c>
      <c r="B704" s="415" t="s">
        <v>56</v>
      </c>
      <c r="C704" s="410">
        <f>(C702-C701)/C702</f>
        <v>2.5998893193137806E-2</v>
      </c>
      <c r="D704" s="336"/>
      <c r="E704" s="336">
        <f>(E702-E701)/E702</f>
        <v>6.4562697576396183E-2</v>
      </c>
      <c r="F704" s="336">
        <f>(F702-F701)/F702</f>
        <v>6.6758241758241799E-2</v>
      </c>
      <c r="G704" s="336">
        <f>(G702-G701)/G702</f>
        <v>0.14690071556350628</v>
      </c>
      <c r="H704" s="336"/>
      <c r="I704" s="336"/>
      <c r="J704" s="338"/>
      <c r="K704" s="433"/>
      <c r="L704" s="336">
        <f>(L702-L701)/L702</f>
        <v>0.14571981091534161</v>
      </c>
      <c r="M704" s="465">
        <f>(M702-M701)/M702</f>
        <v>7.4069264069264132E-2</v>
      </c>
      <c r="N704" s="466">
        <f>(N702-N701)/N702</f>
        <v>6.541666666666672E-2</v>
      </c>
      <c r="O704" s="444"/>
      <c r="P704" s="340"/>
      <c r="Q704" s="341"/>
      <c r="R704" s="336">
        <f>(R702-R701)/R702</f>
        <v>0.10092814371257484</v>
      </c>
      <c r="S704" s="470"/>
      <c r="T704" s="339"/>
      <c r="U704" s="340"/>
      <c r="V704" s="470"/>
      <c r="W704" s="315"/>
    </row>
    <row r="705" spans="1:23" x14ac:dyDescent="0.2">
      <c r="A705" s="580">
        <v>44257</v>
      </c>
      <c r="B705" s="415" t="s">
        <v>57</v>
      </c>
      <c r="C705" s="410">
        <f>(C702-C701)/C701</f>
        <v>2.6692878490017169E-2</v>
      </c>
      <c r="D705" s="336"/>
      <c r="E705" s="336">
        <f>(E702-E701)/E701</f>
        <v>6.9018733173374772E-2</v>
      </c>
      <c r="F705" s="336">
        <f>(F702-F701)/F701</f>
        <v>7.1533706211363013E-2</v>
      </c>
      <c r="G705" s="336">
        <f>(G702-G701)/G701</f>
        <v>0.17219650542848608</v>
      </c>
      <c r="H705" s="336"/>
      <c r="I705" s="336"/>
      <c r="J705" s="338"/>
      <c r="K705" s="433"/>
      <c r="L705" s="336">
        <f>(L702-L701)/L701</f>
        <v>0.17057613272230629</v>
      </c>
      <c r="M705" s="465">
        <f>(M702-M701)/M701</f>
        <v>7.9994389639534411E-2</v>
      </c>
      <c r="N705" s="466">
        <f>(N702-N701)/N701</f>
        <v>6.9995541685243037E-2</v>
      </c>
      <c r="O705" s="444"/>
      <c r="P705" s="340"/>
      <c r="Q705" s="341"/>
      <c r="R705" s="336">
        <f>(R702-R701)/R701</f>
        <v>0.11225815045456058</v>
      </c>
      <c r="S705" s="470"/>
      <c r="T705" s="339"/>
      <c r="U705" s="340"/>
      <c r="V705" s="470"/>
      <c r="W705" s="315"/>
    </row>
    <row r="706" spans="1:23" ht="13.3" thickBot="1" x14ac:dyDescent="0.25">
      <c r="A706" s="580">
        <v>44257</v>
      </c>
      <c r="B706" s="418" t="s">
        <v>58</v>
      </c>
      <c r="C706" s="411">
        <f>C703/C697-1</f>
        <v>6.0240963855422436E-3</v>
      </c>
      <c r="D706" s="353"/>
      <c r="E706" s="353">
        <f>E703/E697-1</f>
        <v>5.7471264367816577E-3</v>
      </c>
      <c r="F706" s="353">
        <f>F703/F697-1</f>
        <v>5.4347826086955653E-3</v>
      </c>
      <c r="G706" s="353">
        <f>G703/G697-1</f>
        <v>4.8543689320388328E-3</v>
      </c>
      <c r="H706" s="353"/>
      <c r="I706" s="353"/>
      <c r="J706" s="355"/>
      <c r="K706" s="434"/>
      <c r="L706" s="353">
        <f>L703/L697-1</f>
        <v>4.6728971962615162E-3</v>
      </c>
      <c r="M706" s="467">
        <f>M703/M697-1</f>
        <v>5.4347826086955653E-3</v>
      </c>
      <c r="N706" s="292">
        <f>N703/N697-1</f>
        <v>5.4347826086955653E-3</v>
      </c>
      <c r="O706" s="445"/>
      <c r="P706" s="357"/>
      <c r="Q706" s="358"/>
      <c r="R706" s="353">
        <f>R703/R697-1</f>
        <v>4.9999999999998934E-3</v>
      </c>
      <c r="S706" s="471"/>
      <c r="T706" s="356"/>
      <c r="U706" s="357"/>
      <c r="V706" s="471"/>
      <c r="W706" s="359"/>
    </row>
    <row r="707" spans="1:23" x14ac:dyDescent="0.2">
      <c r="A707" s="580">
        <v>44265</v>
      </c>
      <c r="B707" s="419" t="s">
        <v>53</v>
      </c>
      <c r="C707" s="408">
        <v>1770.37</v>
      </c>
      <c r="D707" s="521"/>
      <c r="E707" s="346">
        <v>1785.43</v>
      </c>
      <c r="F707" s="346">
        <v>1878.28</v>
      </c>
      <c r="G707" s="346">
        <v>1916.6</v>
      </c>
      <c r="H707" s="521"/>
      <c r="I707" s="521"/>
      <c r="J707" s="522"/>
      <c r="K707" s="523"/>
      <c r="L707" s="346">
        <v>1997.01</v>
      </c>
      <c r="M707" s="256">
        <v>1720.2</v>
      </c>
      <c r="N707" s="462">
        <v>1736.28</v>
      </c>
      <c r="O707" s="442"/>
      <c r="P707" s="348"/>
      <c r="Q707" s="349"/>
      <c r="R707" s="346">
        <v>1810.55</v>
      </c>
      <c r="S707" s="346"/>
      <c r="T707" s="290"/>
      <c r="U707" s="348"/>
      <c r="V707" s="347"/>
      <c r="W707" s="346">
        <v>1268.6400000000001</v>
      </c>
    </row>
    <row r="708" spans="1:23" x14ac:dyDescent="0.2">
      <c r="A708" s="580">
        <v>44265</v>
      </c>
      <c r="B708" s="415" t="s">
        <v>54</v>
      </c>
      <c r="C708" s="409">
        <v>1820</v>
      </c>
      <c r="D708" s="249"/>
      <c r="E708" s="250">
        <v>1911</v>
      </c>
      <c r="F708" s="250">
        <v>2015</v>
      </c>
      <c r="G708" s="250">
        <v>2249</v>
      </c>
      <c r="H708" s="249"/>
      <c r="I708" s="249"/>
      <c r="J708" s="330"/>
      <c r="K708" s="432"/>
      <c r="L708" s="250">
        <v>2340</v>
      </c>
      <c r="M708" s="245">
        <v>1860</v>
      </c>
      <c r="N708" s="520">
        <v>1860</v>
      </c>
      <c r="O708" s="530"/>
      <c r="P708" s="531"/>
      <c r="Q708" s="532"/>
      <c r="R708" s="250">
        <v>2016</v>
      </c>
      <c r="S708" s="496"/>
      <c r="T708" s="330"/>
      <c r="U708" s="334"/>
      <c r="V708" s="469"/>
      <c r="W708" s="315"/>
    </row>
    <row r="709" spans="1:23" x14ac:dyDescent="0.2">
      <c r="A709" s="580">
        <v>44265</v>
      </c>
      <c r="B709" s="415" t="s">
        <v>55</v>
      </c>
      <c r="C709" s="409">
        <v>1.68</v>
      </c>
      <c r="D709" s="249"/>
      <c r="E709" s="250">
        <v>1.76</v>
      </c>
      <c r="F709" s="250">
        <v>1.86</v>
      </c>
      <c r="G709" s="250">
        <v>2.08</v>
      </c>
      <c r="H709" s="249"/>
      <c r="I709" s="249"/>
      <c r="J709" s="330"/>
      <c r="K709" s="432"/>
      <c r="L709" s="250">
        <v>2.16</v>
      </c>
      <c r="M709" s="463">
        <v>1.86</v>
      </c>
      <c r="N709" s="464">
        <v>1.86</v>
      </c>
      <c r="O709" s="530"/>
      <c r="P709" s="531"/>
      <c r="Q709" s="532"/>
      <c r="R709" s="250">
        <v>2.02</v>
      </c>
      <c r="S709" s="469"/>
      <c r="T709" s="333"/>
      <c r="U709" s="334"/>
      <c r="V709" s="497"/>
      <c r="W709" s="315"/>
    </row>
    <row r="710" spans="1:23" x14ac:dyDescent="0.2">
      <c r="A710" s="580">
        <v>44265</v>
      </c>
      <c r="B710" s="415" t="s">
        <v>56</v>
      </c>
      <c r="C710" s="410">
        <f>(C708-C707)/C708</f>
        <v>2.726923076923083E-2</v>
      </c>
      <c r="D710" s="336"/>
      <c r="E710" s="336">
        <f>(E708-E707)/E708</f>
        <v>6.5709052851909963E-2</v>
      </c>
      <c r="F710" s="336">
        <f>(F708-F707)/F708</f>
        <v>6.7851116625310182E-2</v>
      </c>
      <c r="G710" s="336">
        <f>(G708-G707)/G708</f>
        <v>0.14779902178746113</v>
      </c>
      <c r="H710" s="336"/>
      <c r="I710" s="336"/>
      <c r="J710" s="338"/>
      <c r="K710" s="433"/>
      <c r="L710" s="336">
        <f>(L708-L707)/L708</f>
        <v>0.14657692307692308</v>
      </c>
      <c r="M710" s="465">
        <f>(M708-M707)/M708</f>
        <v>7.5161290322580621E-2</v>
      </c>
      <c r="N710" s="466">
        <f>(N708-N707)/N708</f>
        <v>6.6516129032258078E-2</v>
      </c>
      <c r="O710" s="444"/>
      <c r="P710" s="340"/>
      <c r="Q710" s="341"/>
      <c r="R710" s="336">
        <f>(R708-R707)/R708</f>
        <v>0.10190972222222225</v>
      </c>
      <c r="S710" s="470"/>
      <c r="T710" s="339"/>
      <c r="U710" s="340"/>
      <c r="V710" s="470"/>
      <c r="W710" s="315"/>
    </row>
    <row r="711" spans="1:23" x14ac:dyDescent="0.2">
      <c r="A711" s="580">
        <v>44265</v>
      </c>
      <c r="B711" s="415" t="s">
        <v>57</v>
      </c>
      <c r="C711" s="410">
        <f>(C708-C707)/C707</f>
        <v>2.8033687873156521E-2</v>
      </c>
      <c r="D711" s="336"/>
      <c r="E711" s="336">
        <f>(E708-E707)/E707</f>
        <v>7.0330396599138548E-2</v>
      </c>
      <c r="F711" s="336">
        <f>(F708-F707)/F707</f>
        <v>7.278999936111763E-2</v>
      </c>
      <c r="G711" s="336">
        <f>(G708-G707)/G707</f>
        <v>0.17343211937806538</v>
      </c>
      <c r="H711" s="336"/>
      <c r="I711" s="336"/>
      <c r="J711" s="338"/>
      <c r="K711" s="433"/>
      <c r="L711" s="336">
        <f>(L708-L707)/L707</f>
        <v>0.17175176889449728</v>
      </c>
      <c r="M711" s="465">
        <f>(M708-M707)/M707</f>
        <v>8.1269619811649776E-2</v>
      </c>
      <c r="N711" s="466">
        <f>(N708-N707)/N707</f>
        <v>7.1255788236920331E-2</v>
      </c>
      <c r="O711" s="444"/>
      <c r="P711" s="340"/>
      <c r="Q711" s="341"/>
      <c r="R711" s="336">
        <f>(R708-R707)/R707</f>
        <v>0.11347380630195247</v>
      </c>
      <c r="S711" s="470"/>
      <c r="T711" s="339"/>
      <c r="U711" s="340"/>
      <c r="V711" s="470"/>
      <c r="W711" s="315"/>
    </row>
    <row r="712" spans="1:23" ht="13.3" thickBot="1" x14ac:dyDescent="0.25">
      <c r="A712" s="580">
        <v>44265</v>
      </c>
      <c r="B712" s="418" t="s">
        <v>58</v>
      </c>
      <c r="C712" s="411">
        <f>C709/C703-1</f>
        <v>5.9880239520957446E-3</v>
      </c>
      <c r="D712" s="353"/>
      <c r="E712" s="353">
        <f>E709/E703-1</f>
        <v>5.7142857142857828E-3</v>
      </c>
      <c r="F712" s="353">
        <f>F709/F703-1</f>
        <v>5.4054054054053502E-3</v>
      </c>
      <c r="G712" s="353">
        <f>G709/G703-1</f>
        <v>4.8309178743961567E-3</v>
      </c>
      <c r="H712" s="353"/>
      <c r="I712" s="353"/>
      <c r="J712" s="355"/>
      <c r="K712" s="434"/>
      <c r="L712" s="353">
        <f>L709/L703-1</f>
        <v>4.6511627906977715E-3</v>
      </c>
      <c r="M712" s="467">
        <f>M709/M703-1</f>
        <v>5.4054054054053502E-3</v>
      </c>
      <c r="N712" s="292">
        <f>N709/N703-1</f>
        <v>5.4054054054053502E-3</v>
      </c>
      <c r="O712" s="445"/>
      <c r="P712" s="357"/>
      <c r="Q712" s="358"/>
      <c r="R712" s="353">
        <f>R709/R703-1</f>
        <v>4.9751243781095411E-3</v>
      </c>
      <c r="S712" s="471"/>
      <c r="T712" s="356"/>
      <c r="U712" s="357"/>
      <c r="V712" s="471"/>
      <c r="W712" s="359"/>
    </row>
    <row r="713" spans="1:23" x14ac:dyDescent="0.2">
      <c r="A713" s="580">
        <v>44271</v>
      </c>
      <c r="B713" s="419" t="s">
        <v>53</v>
      </c>
      <c r="C713" s="408">
        <v>1780.72</v>
      </c>
      <c r="D713" s="521"/>
      <c r="E713" s="346">
        <v>1795.4</v>
      </c>
      <c r="F713" s="346">
        <v>1888.21</v>
      </c>
      <c r="G713" s="346">
        <v>1925.67</v>
      </c>
      <c r="H713" s="521"/>
      <c r="I713" s="521"/>
      <c r="J713" s="522"/>
      <c r="K713" s="523"/>
      <c r="L713" s="346">
        <v>2006.11</v>
      </c>
      <c r="M713" s="256">
        <v>1729.28</v>
      </c>
      <c r="N713" s="462">
        <v>1745.45</v>
      </c>
      <c r="O713" s="442"/>
      <c r="P713" s="348"/>
      <c r="Q713" s="349"/>
      <c r="R713" s="346">
        <v>1819.36</v>
      </c>
      <c r="S713" s="346"/>
      <c r="T713" s="290"/>
      <c r="U713" s="348"/>
      <c r="V713" s="347"/>
      <c r="W713" s="346">
        <v>1281.02</v>
      </c>
    </row>
    <row r="714" spans="1:23" x14ac:dyDescent="0.2">
      <c r="A714" s="580">
        <v>44271</v>
      </c>
      <c r="B714" s="415" t="s">
        <v>54</v>
      </c>
      <c r="C714" s="409">
        <v>1833</v>
      </c>
      <c r="D714" s="249"/>
      <c r="E714" s="250">
        <v>1911</v>
      </c>
      <c r="F714" s="250">
        <v>2028</v>
      </c>
      <c r="G714" s="250">
        <v>2262</v>
      </c>
      <c r="H714" s="249"/>
      <c r="I714" s="249"/>
      <c r="J714" s="330"/>
      <c r="K714" s="432"/>
      <c r="L714" s="250">
        <v>2353</v>
      </c>
      <c r="M714" s="245">
        <v>1872</v>
      </c>
      <c r="N714" s="520">
        <v>1872</v>
      </c>
      <c r="O714" s="530"/>
      <c r="P714" s="531"/>
      <c r="Q714" s="532"/>
      <c r="R714" s="250">
        <v>2028</v>
      </c>
      <c r="S714" s="496"/>
      <c r="T714" s="330"/>
      <c r="U714" s="334"/>
      <c r="V714" s="469"/>
      <c r="W714" s="315"/>
    </row>
    <row r="715" spans="1:23" x14ac:dyDescent="0.2">
      <c r="A715" s="580">
        <v>44271</v>
      </c>
      <c r="B715" s="415" t="s">
        <v>55</v>
      </c>
      <c r="C715" s="409">
        <v>1.69</v>
      </c>
      <c r="D715" s="249"/>
      <c r="E715" s="250">
        <v>1.77</v>
      </c>
      <c r="F715" s="250">
        <v>1.87</v>
      </c>
      <c r="G715" s="250">
        <v>2.09</v>
      </c>
      <c r="H715" s="249"/>
      <c r="I715" s="249"/>
      <c r="J715" s="330"/>
      <c r="K715" s="432"/>
      <c r="L715" s="250">
        <v>2.17</v>
      </c>
      <c r="M715" s="463">
        <v>1.87</v>
      </c>
      <c r="N715" s="464">
        <v>1.87</v>
      </c>
      <c r="O715" s="530"/>
      <c r="P715" s="531"/>
      <c r="Q715" s="532"/>
      <c r="R715" s="250">
        <v>2.0299999999999998</v>
      </c>
      <c r="S715" s="469"/>
      <c r="T715" s="333"/>
      <c r="U715" s="334"/>
      <c r="V715" s="497"/>
      <c r="W715" s="315"/>
    </row>
    <row r="716" spans="1:23" x14ac:dyDescent="0.2">
      <c r="A716" s="580">
        <v>44271</v>
      </c>
      <c r="B716" s="415" t="s">
        <v>56</v>
      </c>
      <c r="C716" s="410">
        <f>(C714-C713)/C714</f>
        <v>2.8521549372613187E-2</v>
      </c>
      <c r="D716" s="336"/>
      <c r="E716" s="336">
        <f>(E714-E713)/E714</f>
        <v>6.0491889063317587E-2</v>
      </c>
      <c r="F716" s="336">
        <f>(F714-F713)/F714</f>
        <v>6.8929980276134104E-2</v>
      </c>
      <c r="G716" s="336">
        <f>(G714-G713)/G714</f>
        <v>0.14868700265251986</v>
      </c>
      <c r="H716" s="336"/>
      <c r="I716" s="336"/>
      <c r="J716" s="338"/>
      <c r="K716" s="433"/>
      <c r="L716" s="336">
        <f>(L714-L713)/L714</f>
        <v>0.14742456438589038</v>
      </c>
      <c r="M716" s="465">
        <f>(M714-M713)/M714</f>
        <v>7.6239316239316249E-2</v>
      </c>
      <c r="N716" s="466">
        <f>(N714-N713)/N714</f>
        <v>6.7601495726495708E-2</v>
      </c>
      <c r="O716" s="444"/>
      <c r="P716" s="340"/>
      <c r="Q716" s="341"/>
      <c r="R716" s="336">
        <f>(R714-R713)/R714</f>
        <v>0.102879684418146</v>
      </c>
      <c r="S716" s="470"/>
      <c r="T716" s="339"/>
      <c r="U716" s="340"/>
      <c r="V716" s="470"/>
      <c r="W716" s="315"/>
    </row>
    <row r="717" spans="1:23" x14ac:dyDescent="0.2">
      <c r="A717" s="580">
        <v>44271</v>
      </c>
      <c r="B717" s="415" t="s">
        <v>57</v>
      </c>
      <c r="C717" s="410">
        <f>(C714-C713)/C713</f>
        <v>2.9358911002291193E-2</v>
      </c>
      <c r="D717" s="336"/>
      <c r="E717" s="336">
        <f>(E714-E713)/E713</f>
        <v>6.4386766180238336E-2</v>
      </c>
      <c r="F717" s="336">
        <f>(F714-F713)/F713</f>
        <v>7.4033078947786504E-2</v>
      </c>
      <c r="G717" s="336">
        <f>(G714-G713)/G713</f>
        <v>0.17465609372322355</v>
      </c>
      <c r="H717" s="336"/>
      <c r="I717" s="336"/>
      <c r="J717" s="338"/>
      <c r="K717" s="433"/>
      <c r="L717" s="336">
        <f>(L714-L713)/L713</f>
        <v>0.17291673936125143</v>
      </c>
      <c r="M717" s="465">
        <f>(M714-M713)/M713</f>
        <v>8.2531458179126591E-2</v>
      </c>
      <c r="N717" s="466">
        <f>(N714-N713)/N713</f>
        <v>7.2502792976023342E-2</v>
      </c>
      <c r="O717" s="444"/>
      <c r="P717" s="340"/>
      <c r="Q717" s="341"/>
      <c r="R717" s="336">
        <f>(R714-R713)/R713</f>
        <v>0.11467768885762032</v>
      </c>
      <c r="S717" s="470"/>
      <c r="T717" s="339"/>
      <c r="U717" s="340"/>
      <c r="V717" s="470"/>
      <c r="W717" s="315"/>
    </row>
    <row r="718" spans="1:23" ht="13.3" thickBot="1" x14ac:dyDescent="0.25">
      <c r="A718" s="580">
        <v>44271</v>
      </c>
      <c r="B718" s="418" t="s">
        <v>58</v>
      </c>
      <c r="C718" s="411">
        <f>C715/C709-1</f>
        <v>5.9523809523809312E-3</v>
      </c>
      <c r="D718" s="353"/>
      <c r="E718" s="353">
        <f>E715/E709-1</f>
        <v>5.6818181818181213E-3</v>
      </c>
      <c r="F718" s="353">
        <f>F715/F709-1</f>
        <v>5.3763440860215006E-3</v>
      </c>
      <c r="G718" s="353">
        <f>G715/G709-1</f>
        <v>4.8076923076922906E-3</v>
      </c>
      <c r="H718" s="353"/>
      <c r="I718" s="353"/>
      <c r="J718" s="355"/>
      <c r="K718" s="434"/>
      <c r="L718" s="353">
        <f>L715/L709-1</f>
        <v>4.6296296296295392E-3</v>
      </c>
      <c r="M718" s="467">
        <f>M715/M709-1</f>
        <v>5.3763440860215006E-3</v>
      </c>
      <c r="N718" s="292">
        <f>N715/N709-1</f>
        <v>5.3763440860215006E-3</v>
      </c>
      <c r="O718" s="445"/>
      <c r="P718" s="357"/>
      <c r="Q718" s="358"/>
      <c r="R718" s="353">
        <f>R715/R709-1</f>
        <v>4.9504950495049549E-3</v>
      </c>
      <c r="S718" s="471"/>
      <c r="T718" s="356"/>
      <c r="U718" s="357"/>
      <c r="V718" s="471"/>
      <c r="W718" s="359"/>
    </row>
    <row r="719" spans="1:23" x14ac:dyDescent="0.2">
      <c r="A719" s="580">
        <v>44285</v>
      </c>
      <c r="B719" s="419" t="s">
        <v>53</v>
      </c>
      <c r="C719" s="408">
        <v>1791.07</v>
      </c>
      <c r="D719" s="521"/>
      <c r="E719" s="346">
        <v>1805.37</v>
      </c>
      <c r="F719" s="346">
        <v>1898.14</v>
      </c>
      <c r="G719" s="346">
        <v>1934.74</v>
      </c>
      <c r="H719" s="521"/>
      <c r="I719" s="521"/>
      <c r="J719" s="522"/>
      <c r="K719" s="523"/>
      <c r="L719" s="346">
        <v>2015.21</v>
      </c>
      <c r="M719" s="256">
        <v>1738.36</v>
      </c>
      <c r="N719" s="462">
        <v>1754.62</v>
      </c>
      <c r="O719" s="442"/>
      <c r="P719" s="348"/>
      <c r="Q719" s="349"/>
      <c r="R719" s="346">
        <v>1828.17</v>
      </c>
      <c r="S719" s="346"/>
      <c r="T719" s="290"/>
      <c r="U719" s="348"/>
      <c r="V719" s="347"/>
      <c r="W719" s="346">
        <v>1281.02</v>
      </c>
    </row>
    <row r="720" spans="1:23" x14ac:dyDescent="0.2">
      <c r="A720" s="580">
        <v>44285</v>
      </c>
      <c r="B720" s="415" t="s">
        <v>54</v>
      </c>
      <c r="C720" s="409">
        <v>1846</v>
      </c>
      <c r="D720" s="249"/>
      <c r="E720" s="250">
        <v>1924</v>
      </c>
      <c r="F720" s="250">
        <v>2041</v>
      </c>
      <c r="G720" s="250">
        <v>2275</v>
      </c>
      <c r="H720" s="249"/>
      <c r="I720" s="249"/>
      <c r="J720" s="330"/>
      <c r="K720" s="432"/>
      <c r="L720" s="250">
        <v>2366</v>
      </c>
      <c r="M720" s="245">
        <v>1884</v>
      </c>
      <c r="N720" s="520">
        <v>1884</v>
      </c>
      <c r="O720" s="530"/>
      <c r="P720" s="531"/>
      <c r="Q720" s="532"/>
      <c r="R720" s="250">
        <v>2040</v>
      </c>
      <c r="S720" s="496"/>
      <c r="T720" s="330"/>
      <c r="U720" s="334"/>
      <c r="V720" s="469"/>
      <c r="W720" s="315"/>
    </row>
    <row r="721" spans="1:23" x14ac:dyDescent="0.2">
      <c r="A721" s="580">
        <v>44285</v>
      </c>
      <c r="B721" s="415" t="s">
        <v>55</v>
      </c>
      <c r="C721" s="409">
        <v>1.7</v>
      </c>
      <c r="D721" s="249"/>
      <c r="E721" s="250">
        <v>1.78</v>
      </c>
      <c r="F721" s="250">
        <v>1.88</v>
      </c>
      <c r="G721" s="250">
        <v>2.1</v>
      </c>
      <c r="H721" s="249"/>
      <c r="I721" s="249"/>
      <c r="J721" s="330"/>
      <c r="K721" s="432"/>
      <c r="L721" s="250">
        <v>2.1800000000000002</v>
      </c>
      <c r="M721" s="463">
        <v>1.88</v>
      </c>
      <c r="N721" s="464">
        <v>1.88</v>
      </c>
      <c r="O721" s="530"/>
      <c r="P721" s="531"/>
      <c r="Q721" s="532"/>
      <c r="R721" s="250">
        <v>2.04</v>
      </c>
      <c r="S721" s="469"/>
      <c r="T721" s="333"/>
      <c r="U721" s="334"/>
      <c r="V721" s="497"/>
      <c r="W721" s="315"/>
    </row>
    <row r="722" spans="1:23" x14ac:dyDescent="0.2">
      <c r="A722" s="580">
        <v>44285</v>
      </c>
      <c r="B722" s="415" t="s">
        <v>56</v>
      </c>
      <c r="C722" s="410">
        <f>(C720-C719)/C720</f>
        <v>2.9756229685807184E-2</v>
      </c>
      <c r="D722" s="336"/>
      <c r="E722" s="336">
        <f>(E720-E719)/E720</f>
        <v>6.1658004158004216E-2</v>
      </c>
      <c r="F722" s="336">
        <f>(F720-F719)/F720</f>
        <v>6.9995100440960259E-2</v>
      </c>
      <c r="G722" s="336">
        <f>(G720-G719)/G720</f>
        <v>0.14956483516483515</v>
      </c>
      <c r="H722" s="336"/>
      <c r="I722" s="336"/>
      <c r="J722" s="338"/>
      <c r="K722" s="433"/>
      <c r="L722" s="336">
        <f>(L720-L719)/L720</f>
        <v>0.14826289095519862</v>
      </c>
      <c r="M722" s="465">
        <f>(M720-M719)/M720</f>
        <v>7.7303609341825952E-2</v>
      </c>
      <c r="N722" s="466">
        <f>(N720-N719)/N720</f>
        <v>6.8673036093418321E-2</v>
      </c>
      <c r="O722" s="444"/>
      <c r="P722" s="340"/>
      <c r="Q722" s="341"/>
      <c r="R722" s="336">
        <f>(R720-R719)/R720</f>
        <v>0.10383823529411761</v>
      </c>
      <c r="S722" s="470"/>
      <c r="T722" s="339"/>
      <c r="U722" s="340"/>
      <c r="V722" s="470"/>
      <c r="W722" s="315"/>
    </row>
    <row r="723" spans="1:23" x14ac:dyDescent="0.2">
      <c r="A723" s="580">
        <v>44285</v>
      </c>
      <c r="B723" s="415" t="s">
        <v>57</v>
      </c>
      <c r="C723" s="410">
        <f>(C720-C719)/C719</f>
        <v>3.0668818080812066E-2</v>
      </c>
      <c r="D723" s="336"/>
      <c r="E723" s="336">
        <f>(E720-E719)/E719</f>
        <v>6.5709522147814642E-2</v>
      </c>
      <c r="F723" s="336">
        <f>(F720-F719)/F719</f>
        <v>7.5263152349141729E-2</v>
      </c>
      <c r="G723" s="336">
        <f>(G720-G719)/G719</f>
        <v>0.17586859216225437</v>
      </c>
      <c r="H723" s="336"/>
      <c r="I723" s="336"/>
      <c r="J723" s="338"/>
      <c r="K723" s="433"/>
      <c r="L723" s="336">
        <f>(L720-L719)/L719</f>
        <v>0.17407118861061624</v>
      </c>
      <c r="M723" s="465">
        <f>(M720-M719)/M719</f>
        <v>8.3780114590763774E-2</v>
      </c>
      <c r="N723" s="466">
        <f>(N720-N719)/N719</f>
        <v>7.3736763515747067E-2</v>
      </c>
      <c r="O723" s="444"/>
      <c r="P723" s="340"/>
      <c r="Q723" s="341"/>
      <c r="R723" s="336">
        <f>(R720-R719)/R719</f>
        <v>0.11586996832898468</v>
      </c>
      <c r="S723" s="470"/>
      <c r="T723" s="339"/>
      <c r="U723" s="340"/>
      <c r="V723" s="470"/>
      <c r="W723" s="315"/>
    </row>
    <row r="724" spans="1:23" ht="13.3" thickBot="1" x14ac:dyDescent="0.25">
      <c r="A724" s="580">
        <v>44285</v>
      </c>
      <c r="B724" s="418" t="s">
        <v>58</v>
      </c>
      <c r="C724" s="411">
        <f>C721/C715-1</f>
        <v>5.9171597633136397E-3</v>
      </c>
      <c r="D724" s="353"/>
      <c r="E724" s="353">
        <f>E721/E715-1</f>
        <v>5.6497175141243527E-3</v>
      </c>
      <c r="F724" s="353">
        <f>F721/F715-1</f>
        <v>5.3475935828874999E-3</v>
      </c>
      <c r="G724" s="353">
        <f>G721/G715-1</f>
        <v>4.784688995215447E-3</v>
      </c>
      <c r="H724" s="353"/>
      <c r="I724" s="353"/>
      <c r="J724" s="355"/>
      <c r="K724" s="434"/>
      <c r="L724" s="353">
        <f>L721/L715-1</f>
        <v>4.6082949308756671E-3</v>
      </c>
      <c r="M724" s="467">
        <f>M721/M715-1</f>
        <v>5.3475935828874999E-3</v>
      </c>
      <c r="N724" s="292">
        <f>N721/N715-1</f>
        <v>5.3475935828874999E-3</v>
      </c>
      <c r="O724" s="445"/>
      <c r="P724" s="357"/>
      <c r="Q724" s="358"/>
      <c r="R724" s="353">
        <f>R721/R715-1</f>
        <v>4.9261083743843415E-3</v>
      </c>
      <c r="S724" s="471"/>
      <c r="T724" s="356"/>
      <c r="U724" s="357"/>
      <c r="V724" s="471"/>
      <c r="W724" s="359"/>
    </row>
    <row r="725" spans="1:23" x14ac:dyDescent="0.2">
      <c r="A725" s="580">
        <v>44292</v>
      </c>
      <c r="B725" s="419" t="s">
        <v>53</v>
      </c>
      <c r="C725" s="408">
        <v>1801.42</v>
      </c>
      <c r="D725" s="521"/>
      <c r="E725" s="346">
        <v>1815.34</v>
      </c>
      <c r="F725" s="346">
        <v>1908.07</v>
      </c>
      <c r="G725" s="346">
        <v>1943.81</v>
      </c>
      <c r="H725" s="521"/>
      <c r="I725" s="521"/>
      <c r="J725" s="522"/>
      <c r="K725" s="523"/>
      <c r="L725" s="346">
        <v>2024.31</v>
      </c>
      <c r="M725" s="256">
        <v>1747.44</v>
      </c>
      <c r="N725" s="462">
        <v>1763.79</v>
      </c>
      <c r="O725" s="442"/>
      <c r="P725" s="348"/>
      <c r="Q725" s="349"/>
      <c r="R725" s="346">
        <v>1836.98</v>
      </c>
      <c r="S725" s="346"/>
      <c r="T725" s="290"/>
      <c r="U725" s="348"/>
      <c r="V725" s="347"/>
      <c r="W725" s="346">
        <v>1281.02</v>
      </c>
    </row>
    <row r="726" spans="1:23" x14ac:dyDescent="0.2">
      <c r="A726" s="580">
        <v>44292</v>
      </c>
      <c r="B726" s="415" t="s">
        <v>54</v>
      </c>
      <c r="C726" s="409">
        <v>1846</v>
      </c>
      <c r="D726" s="249"/>
      <c r="E726" s="250">
        <v>1937</v>
      </c>
      <c r="F726" s="250">
        <v>2041</v>
      </c>
      <c r="G726" s="250">
        <v>2288</v>
      </c>
      <c r="H726" s="249"/>
      <c r="I726" s="249"/>
      <c r="J726" s="330"/>
      <c r="K726" s="432"/>
      <c r="L726" s="250">
        <v>2366</v>
      </c>
      <c r="M726" s="245">
        <v>1884</v>
      </c>
      <c r="N726" s="520">
        <v>1884</v>
      </c>
      <c r="O726" s="530"/>
      <c r="P726" s="531"/>
      <c r="Q726" s="532"/>
      <c r="R726" s="250">
        <v>2052</v>
      </c>
      <c r="S726" s="496"/>
      <c r="T726" s="330"/>
      <c r="U726" s="334"/>
      <c r="V726" s="469"/>
      <c r="W726" s="315"/>
    </row>
    <row r="727" spans="1:23" x14ac:dyDescent="0.2">
      <c r="A727" s="580">
        <v>44292</v>
      </c>
      <c r="B727" s="415" t="s">
        <v>55</v>
      </c>
      <c r="C727" s="409">
        <v>1.71</v>
      </c>
      <c r="D727" s="249"/>
      <c r="E727" s="250">
        <v>1.79</v>
      </c>
      <c r="F727" s="250">
        <v>1.89</v>
      </c>
      <c r="G727" s="250">
        <v>2.11</v>
      </c>
      <c r="H727" s="249"/>
      <c r="I727" s="249"/>
      <c r="J727" s="330"/>
      <c r="K727" s="432"/>
      <c r="L727" s="250">
        <v>2.19</v>
      </c>
      <c r="M727" s="463">
        <v>1.89</v>
      </c>
      <c r="N727" s="464">
        <v>1.89</v>
      </c>
      <c r="O727" s="530"/>
      <c r="P727" s="531"/>
      <c r="Q727" s="532"/>
      <c r="R727" s="250">
        <v>2.0499999999999998</v>
      </c>
      <c r="S727" s="469"/>
      <c r="T727" s="333"/>
      <c r="U727" s="334"/>
      <c r="V727" s="497"/>
      <c r="W727" s="315"/>
    </row>
    <row r="728" spans="1:23" x14ac:dyDescent="0.2">
      <c r="A728" s="580">
        <v>44292</v>
      </c>
      <c r="B728" s="415" t="s">
        <v>56</v>
      </c>
      <c r="C728" s="410">
        <f>(C726-C725)/C726</f>
        <v>2.4149512459371573E-2</v>
      </c>
      <c r="D728" s="336"/>
      <c r="E728" s="336">
        <f>(E726-E725)/E726</f>
        <v>6.2808466701084198E-2</v>
      </c>
      <c r="F728" s="336">
        <f>(F726-F725)/F726</f>
        <v>6.5129838314551727E-2</v>
      </c>
      <c r="G728" s="336">
        <f>(G726-G725)/G726</f>
        <v>0.15043269230769232</v>
      </c>
      <c r="H728" s="336"/>
      <c r="I728" s="336"/>
      <c r="J728" s="338"/>
      <c r="K728" s="433"/>
      <c r="L728" s="336">
        <f>(L726-L725)/L726</f>
        <v>0.14441673710904482</v>
      </c>
      <c r="M728" s="465">
        <f>(M726-M725)/M726</f>
        <v>7.2484076433120992E-2</v>
      </c>
      <c r="N728" s="466">
        <f>(N726-N725)/N726</f>
        <v>6.3805732484076449E-2</v>
      </c>
      <c r="O728" s="444"/>
      <c r="P728" s="340"/>
      <c r="Q728" s="341"/>
      <c r="R728" s="336">
        <f>(R726-R725)/R726</f>
        <v>0.10478557504873294</v>
      </c>
      <c r="S728" s="470"/>
      <c r="T728" s="339"/>
      <c r="U728" s="340"/>
      <c r="V728" s="470"/>
      <c r="W728" s="315"/>
    </row>
    <row r="729" spans="1:23" x14ac:dyDescent="0.2">
      <c r="A729" s="580">
        <v>44292</v>
      </c>
      <c r="B729" s="415" t="s">
        <v>57</v>
      </c>
      <c r="C729" s="410">
        <f>(C726-C725)/C725</f>
        <v>2.4747143919796565E-2</v>
      </c>
      <c r="D729" s="336"/>
      <c r="E729" s="336">
        <f>(E726-E725)/E725</f>
        <v>6.7017748741282676E-2</v>
      </c>
      <c r="F729" s="336">
        <f>(F726-F725)/F725</f>
        <v>6.9667255394194175E-2</v>
      </c>
      <c r="G729" s="336">
        <f>(G726-G725)/G725</f>
        <v>0.17706977533812465</v>
      </c>
      <c r="H729" s="336"/>
      <c r="I729" s="336"/>
      <c r="J729" s="338"/>
      <c r="K729" s="433"/>
      <c r="L729" s="336">
        <f>(L726-L725)/L725</f>
        <v>0.16879331722908056</v>
      </c>
      <c r="M729" s="465">
        <f>(M726-M725)/M725</f>
        <v>7.8148605960719653E-2</v>
      </c>
      <c r="N729" s="466">
        <f>(N726-N725)/N725</f>
        <v>6.815437211912985E-2</v>
      </c>
      <c r="O729" s="444"/>
      <c r="P729" s="340"/>
      <c r="Q729" s="341"/>
      <c r="R729" s="336">
        <f>(R726-R725)/R725</f>
        <v>0.11705081165826518</v>
      </c>
      <c r="S729" s="470"/>
      <c r="T729" s="339"/>
      <c r="U729" s="340"/>
      <c r="V729" s="470"/>
      <c r="W729" s="315"/>
    </row>
    <row r="730" spans="1:23" ht="13.3" thickBot="1" x14ac:dyDescent="0.25">
      <c r="A730" s="580">
        <v>44292</v>
      </c>
      <c r="B730" s="418" t="s">
        <v>58</v>
      </c>
      <c r="C730" s="411">
        <f>C727/C721-1</f>
        <v>5.8823529411764497E-3</v>
      </c>
      <c r="D730" s="353"/>
      <c r="E730" s="353">
        <f>E727/E721-1</f>
        <v>5.6179775280897903E-3</v>
      </c>
      <c r="F730" s="353">
        <f>F727/F721-1</f>
        <v>5.3191489361701372E-3</v>
      </c>
      <c r="G730" s="353">
        <f>G727/G721-1</f>
        <v>4.761904761904745E-3</v>
      </c>
      <c r="H730" s="353"/>
      <c r="I730" s="353"/>
      <c r="J730" s="355"/>
      <c r="K730" s="434"/>
      <c r="L730" s="353">
        <f>L727/L721-1</f>
        <v>4.5871559633026138E-3</v>
      </c>
      <c r="M730" s="467">
        <f>M727/M721-1</f>
        <v>5.3191489361701372E-3</v>
      </c>
      <c r="N730" s="292">
        <f>N727/N721-1</f>
        <v>5.3191489361701372E-3</v>
      </c>
      <c r="O730" s="445"/>
      <c r="P730" s="357"/>
      <c r="Q730" s="358"/>
      <c r="R730" s="353">
        <f>R727/R721-1</f>
        <v>4.9019607843137081E-3</v>
      </c>
      <c r="S730" s="471"/>
      <c r="T730" s="356"/>
      <c r="U730" s="357"/>
      <c r="V730" s="471"/>
      <c r="W730" s="359"/>
    </row>
    <row r="731" spans="1:23" x14ac:dyDescent="0.2">
      <c r="A731" s="580">
        <v>44299</v>
      </c>
      <c r="B731" s="419" t="s">
        <v>53</v>
      </c>
      <c r="C731" s="408">
        <v>1811.77</v>
      </c>
      <c r="D731" s="521"/>
      <c r="E731" s="346">
        <v>1825.31</v>
      </c>
      <c r="F731" s="346">
        <v>1918</v>
      </c>
      <c r="G731" s="346">
        <v>1952.88</v>
      </c>
      <c r="H731" s="521"/>
      <c r="I731" s="521"/>
      <c r="J731" s="522"/>
      <c r="K731" s="523"/>
      <c r="L731" s="346">
        <v>2033.41</v>
      </c>
      <c r="M731" s="256">
        <v>1756.52</v>
      </c>
      <c r="N731" s="462">
        <v>1772.96</v>
      </c>
      <c r="O731" s="442"/>
      <c r="P731" s="348"/>
      <c r="Q731" s="349"/>
      <c r="R731" s="346">
        <v>1845.79</v>
      </c>
      <c r="S731" s="346"/>
      <c r="T731" s="290"/>
      <c r="U731" s="348"/>
      <c r="V731" s="347"/>
      <c r="W731" s="346">
        <v>1281.02</v>
      </c>
    </row>
    <row r="732" spans="1:23" x14ac:dyDescent="0.2">
      <c r="A732" s="580">
        <v>44299</v>
      </c>
      <c r="B732" s="415" t="s">
        <v>54</v>
      </c>
      <c r="C732" s="409">
        <v>1859</v>
      </c>
      <c r="D732" s="249"/>
      <c r="E732" s="250">
        <v>1950</v>
      </c>
      <c r="F732" s="250">
        <v>2054</v>
      </c>
      <c r="G732" s="250">
        <v>2301</v>
      </c>
      <c r="H732" s="249"/>
      <c r="I732" s="249"/>
      <c r="J732" s="330"/>
      <c r="K732" s="432"/>
      <c r="L732" s="250">
        <v>2379</v>
      </c>
      <c r="M732" s="245">
        <v>1896</v>
      </c>
      <c r="N732" s="520">
        <v>1896</v>
      </c>
      <c r="O732" s="530"/>
      <c r="P732" s="531"/>
      <c r="Q732" s="532"/>
      <c r="R732" s="250">
        <v>2064</v>
      </c>
      <c r="S732" s="496"/>
      <c r="T732" s="330"/>
      <c r="U732" s="334"/>
      <c r="V732" s="469"/>
      <c r="W732" s="315"/>
    </row>
    <row r="733" spans="1:23" x14ac:dyDescent="0.2">
      <c r="A733" s="580">
        <v>44299</v>
      </c>
      <c r="B733" s="415" t="s">
        <v>55</v>
      </c>
      <c r="C733" s="409">
        <v>1.72</v>
      </c>
      <c r="D733" s="249"/>
      <c r="E733" s="250">
        <v>1.8</v>
      </c>
      <c r="F733" s="250">
        <v>1.9</v>
      </c>
      <c r="G733" s="250">
        <v>2.12</v>
      </c>
      <c r="H733" s="249"/>
      <c r="I733" s="249"/>
      <c r="J733" s="330"/>
      <c r="K733" s="432"/>
      <c r="L733" s="250">
        <v>2.2000000000000002</v>
      </c>
      <c r="M733" s="463">
        <v>1.9</v>
      </c>
      <c r="N733" s="464">
        <v>1.9</v>
      </c>
      <c r="O733" s="530"/>
      <c r="P733" s="531"/>
      <c r="Q733" s="532"/>
      <c r="R733" s="250">
        <v>2.06</v>
      </c>
      <c r="S733" s="469"/>
      <c r="T733" s="333"/>
      <c r="U733" s="334"/>
      <c r="V733" s="497"/>
      <c r="W733" s="315"/>
    </row>
    <row r="734" spans="1:23" x14ac:dyDescent="0.2">
      <c r="A734" s="580">
        <v>44299</v>
      </c>
      <c r="B734" s="415" t="s">
        <v>56</v>
      </c>
      <c r="C734" s="410">
        <f>(C732-C731)/C732</f>
        <v>2.5406132329209262E-2</v>
      </c>
      <c r="D734" s="336"/>
      <c r="E734" s="336">
        <f>(E732-E731)/E732</f>
        <v>6.3943589743589768E-2</v>
      </c>
      <c r="F734" s="336">
        <f>(F732-F731)/F732</f>
        <v>6.621226874391431E-2</v>
      </c>
      <c r="G734" s="336">
        <f>(G732-G731)/G732</f>
        <v>0.1512907431551499</v>
      </c>
      <c r="H734" s="336"/>
      <c r="I734" s="336"/>
      <c r="J734" s="338"/>
      <c r="K734" s="433"/>
      <c r="L734" s="336">
        <f>(L732-L731)/L732</f>
        <v>0.1452669188734762</v>
      </c>
      <c r="M734" s="465">
        <f>(M732-M731)/M732</f>
        <v>7.356540084388187E-2</v>
      </c>
      <c r="N734" s="466">
        <f>(N732-N731)/N732</f>
        <v>6.4894514767932468E-2</v>
      </c>
      <c r="O734" s="444"/>
      <c r="P734" s="340"/>
      <c r="Q734" s="341"/>
      <c r="R734" s="336">
        <f>(R732-R731)/R732</f>
        <v>0.10572189922480622</v>
      </c>
      <c r="S734" s="470"/>
      <c r="T734" s="339"/>
      <c r="U734" s="340"/>
      <c r="V734" s="470"/>
      <c r="W734" s="315"/>
    </row>
    <row r="735" spans="1:23" x14ac:dyDescent="0.2">
      <c r="A735" s="580">
        <v>44299</v>
      </c>
      <c r="B735" s="415" t="s">
        <v>57</v>
      </c>
      <c r="C735" s="410">
        <f>(C732-C731)/C731</f>
        <v>2.6068430319521805E-2</v>
      </c>
      <c r="D735" s="336"/>
      <c r="E735" s="336">
        <f>(E732-E731)/E731</f>
        <v>6.8311684042710583E-2</v>
      </c>
      <c r="F735" s="336">
        <f>(F732-F731)/F731</f>
        <v>7.0907194994786232E-2</v>
      </c>
      <c r="G735" s="336">
        <f>(G732-G731)/G731</f>
        <v>0.178259800909426</v>
      </c>
      <c r="H735" s="336"/>
      <c r="I735" s="336"/>
      <c r="J735" s="338"/>
      <c r="K735" s="433"/>
      <c r="L735" s="336">
        <f>(L732-L731)/L731</f>
        <v>0.16995588690918206</v>
      </c>
      <c r="M735" s="465">
        <f>(M732-M731)/M731</f>
        <v>7.9407009313870625E-2</v>
      </c>
      <c r="N735" s="466">
        <f>(N732-N731)/N731</f>
        <v>6.9398068766356805E-2</v>
      </c>
      <c r="O735" s="444"/>
      <c r="P735" s="340"/>
      <c r="Q735" s="341"/>
      <c r="R735" s="336">
        <f>(R732-R731)/R731</f>
        <v>0.11822038260040418</v>
      </c>
      <c r="S735" s="470"/>
      <c r="T735" s="339"/>
      <c r="U735" s="340"/>
      <c r="V735" s="470"/>
      <c r="W735" s="315"/>
    </row>
    <row r="736" spans="1:23" ht="13.3" thickBot="1" x14ac:dyDescent="0.25">
      <c r="A736" s="580">
        <v>44299</v>
      </c>
      <c r="B736" s="418" t="s">
        <v>58</v>
      </c>
      <c r="C736" s="411">
        <f>C733/C727-1</f>
        <v>5.8479532163742132E-3</v>
      </c>
      <c r="D736" s="353"/>
      <c r="E736" s="353">
        <f>E733/E727-1</f>
        <v>5.5865921787709993E-3</v>
      </c>
      <c r="F736" s="353">
        <f>F733/F727-1</f>
        <v>5.2910052910053462E-3</v>
      </c>
      <c r="G736" s="353">
        <f>G733/G727-1</f>
        <v>4.7393364928911552E-3</v>
      </c>
      <c r="H736" s="353"/>
      <c r="I736" s="353"/>
      <c r="J736" s="355"/>
      <c r="K736" s="434"/>
      <c r="L736" s="353">
        <f>L733/L727-1</f>
        <v>4.5662100456622667E-3</v>
      </c>
      <c r="M736" s="467">
        <f>M733/M727-1</f>
        <v>5.2910052910053462E-3</v>
      </c>
      <c r="N736" s="292">
        <f>N733/N727-1</f>
        <v>5.2910052910053462E-3</v>
      </c>
      <c r="O736" s="445"/>
      <c r="P736" s="357"/>
      <c r="Q736" s="358"/>
      <c r="R736" s="353">
        <f>R733/R727-1</f>
        <v>4.8780487804878092E-3</v>
      </c>
      <c r="S736" s="471"/>
      <c r="T736" s="356"/>
      <c r="U736" s="357"/>
      <c r="V736" s="471"/>
      <c r="W736" s="359"/>
    </row>
    <row r="737" spans="1:23" s="117" customFormat="1" x14ac:dyDescent="0.2">
      <c r="A737" s="580">
        <v>44306</v>
      </c>
      <c r="B737" s="419" t="s">
        <v>53</v>
      </c>
      <c r="C737" s="408">
        <v>1822.12</v>
      </c>
      <c r="D737" s="521"/>
      <c r="E737" s="346">
        <v>1835.28</v>
      </c>
      <c r="F737" s="346">
        <v>1927.93</v>
      </c>
      <c r="G737" s="346">
        <v>1961.95</v>
      </c>
      <c r="H737" s="521"/>
      <c r="I737" s="521"/>
      <c r="J737" s="521"/>
      <c r="K737" s="574"/>
      <c r="L737" s="346">
        <v>2042.51</v>
      </c>
      <c r="M737" s="575">
        <v>1765.6</v>
      </c>
      <c r="N737" s="576">
        <v>1782.13</v>
      </c>
      <c r="O737" s="577"/>
      <c r="P737" s="347"/>
      <c r="Q737" s="347"/>
      <c r="R737" s="346">
        <v>1854.6</v>
      </c>
      <c r="S737" s="346"/>
      <c r="T737" s="347"/>
      <c r="U737" s="347"/>
      <c r="V737" s="347"/>
      <c r="W737" s="346">
        <v>1281.02</v>
      </c>
    </row>
    <row r="738" spans="1:23" x14ac:dyDescent="0.2">
      <c r="A738" s="580">
        <v>44306</v>
      </c>
      <c r="B738" s="415" t="s">
        <v>54</v>
      </c>
      <c r="C738" s="409">
        <v>1872</v>
      </c>
      <c r="D738" s="249"/>
      <c r="E738" s="250">
        <v>1963</v>
      </c>
      <c r="F738" s="250">
        <v>2067</v>
      </c>
      <c r="G738" s="250">
        <v>2301</v>
      </c>
      <c r="H738" s="249"/>
      <c r="I738" s="249"/>
      <c r="J738" s="330"/>
      <c r="K738" s="432"/>
      <c r="L738" s="250">
        <v>2392</v>
      </c>
      <c r="M738" s="245">
        <v>1908</v>
      </c>
      <c r="N738" s="520">
        <v>1908</v>
      </c>
      <c r="O738" s="530"/>
      <c r="P738" s="531"/>
      <c r="Q738" s="532"/>
      <c r="R738" s="250">
        <v>2064</v>
      </c>
      <c r="S738" s="496"/>
      <c r="T738" s="330"/>
      <c r="U738" s="334"/>
      <c r="V738" s="469"/>
      <c r="W738" s="315"/>
    </row>
    <row r="739" spans="1:23" x14ac:dyDescent="0.2">
      <c r="A739" s="580">
        <v>44306</v>
      </c>
      <c r="B739" s="415" t="s">
        <v>55</v>
      </c>
      <c r="C739" s="409">
        <v>1.73</v>
      </c>
      <c r="D739" s="249"/>
      <c r="E739" s="250">
        <v>1.81</v>
      </c>
      <c r="F739" s="250">
        <v>1.91</v>
      </c>
      <c r="G739" s="250">
        <v>2.13</v>
      </c>
      <c r="H739" s="249"/>
      <c r="I739" s="249"/>
      <c r="J739" s="330"/>
      <c r="K739" s="432"/>
      <c r="L739" s="250">
        <v>2.21</v>
      </c>
      <c r="M739" s="463">
        <v>1.91</v>
      </c>
      <c r="N739" s="464">
        <v>1.91</v>
      </c>
      <c r="O739" s="530"/>
      <c r="P739" s="531"/>
      <c r="Q739" s="532"/>
      <c r="R739" s="250">
        <v>2.0699999999999998</v>
      </c>
      <c r="S739" s="469"/>
      <c r="T739" s="333"/>
      <c r="U739" s="334"/>
      <c r="V739" s="497"/>
      <c r="W739" s="315"/>
    </row>
    <row r="740" spans="1:23" x14ac:dyDescent="0.2">
      <c r="A740" s="580">
        <v>44306</v>
      </c>
      <c r="B740" s="415" t="s">
        <v>56</v>
      </c>
      <c r="C740" s="410">
        <f>(C738-C737)/C738</f>
        <v>2.6645299145299204E-2</v>
      </c>
      <c r="D740" s="336"/>
      <c r="E740" s="336">
        <f>(E738-E737)/E738</f>
        <v>6.5063678043810511E-2</v>
      </c>
      <c r="F740" s="336">
        <f>(F738-F737)/F738</f>
        <v>6.728108369617801E-2</v>
      </c>
      <c r="G740" s="336">
        <f>(G738-G737)/G738</f>
        <v>0.1473489787049109</v>
      </c>
      <c r="H740" s="336"/>
      <c r="I740" s="336"/>
      <c r="J740" s="338"/>
      <c r="K740" s="433"/>
      <c r="L740" s="336">
        <f>(L738-L737)/L738</f>
        <v>0.14610785953177258</v>
      </c>
      <c r="M740" s="465">
        <f>(M738-M737)/M738</f>
        <v>7.4633123689727507E-2</v>
      </c>
      <c r="N740" s="466">
        <f>(N738-N737)/N738</f>
        <v>6.5969601677148784E-2</v>
      </c>
      <c r="O740" s="444"/>
      <c r="P740" s="340"/>
      <c r="Q740" s="341"/>
      <c r="R740" s="336">
        <f>(R738-R737)/R738</f>
        <v>0.10145348837209307</v>
      </c>
      <c r="S740" s="470"/>
      <c r="T740" s="339"/>
      <c r="U740" s="340"/>
      <c r="V740" s="470"/>
      <c r="W740" s="315"/>
    </row>
    <row r="741" spans="1:23" x14ac:dyDescent="0.2">
      <c r="A741" s="580">
        <v>44306</v>
      </c>
      <c r="B741" s="415" t="s">
        <v>57</v>
      </c>
      <c r="C741" s="410">
        <f>(C738-C737)/C737</f>
        <v>2.7374706385968055E-2</v>
      </c>
      <c r="D741" s="336"/>
      <c r="E741" s="336">
        <f>(E738-E737)/E737</f>
        <v>6.9591560960725357E-2</v>
      </c>
      <c r="F741" s="336">
        <f>(F738-F737)/F737</f>
        <v>7.2134361724751378E-2</v>
      </c>
      <c r="G741" s="336">
        <f>(G738-G737)/G737</f>
        <v>0.17281276281250793</v>
      </c>
      <c r="H741" s="336"/>
      <c r="I741" s="336"/>
      <c r="J741" s="338"/>
      <c r="K741" s="433"/>
      <c r="L741" s="336">
        <f>(L738-L737)/L737</f>
        <v>0.17110809738997607</v>
      </c>
      <c r="M741" s="465">
        <f>(M738-M737)/M737</f>
        <v>8.0652469415496197E-2</v>
      </c>
      <c r="N741" s="466">
        <f>(N738-N737)/N737</f>
        <v>7.0628966461481424E-2</v>
      </c>
      <c r="O741" s="444"/>
      <c r="P741" s="340"/>
      <c r="Q741" s="341"/>
      <c r="R741" s="336">
        <f>(R738-R737)/R737</f>
        <v>0.11290844386929802</v>
      </c>
      <c r="S741" s="470"/>
      <c r="T741" s="339"/>
      <c r="U741" s="340"/>
      <c r="V741" s="470"/>
      <c r="W741" s="315"/>
    </row>
    <row r="742" spans="1:23" ht="13.3" thickBot="1" x14ac:dyDescent="0.25">
      <c r="A742" s="580">
        <v>44306</v>
      </c>
      <c r="B742" s="418" t="s">
        <v>58</v>
      </c>
      <c r="C742" s="411">
        <f>C739/C733-1</f>
        <v>5.8139534883721034E-3</v>
      </c>
      <c r="D742" s="353"/>
      <c r="E742" s="353">
        <f>E739/E733-1</f>
        <v>5.5555555555555358E-3</v>
      </c>
      <c r="F742" s="353">
        <f>F739/F733-1</f>
        <v>5.2631578947368585E-3</v>
      </c>
      <c r="G742" s="353">
        <f>G739/G733-1</f>
        <v>4.7169811320753041E-3</v>
      </c>
      <c r="H742" s="353"/>
      <c r="I742" s="353"/>
      <c r="J742" s="355"/>
      <c r="K742" s="434"/>
      <c r="L742" s="353">
        <f>L739/L733-1</f>
        <v>4.5454545454544082E-3</v>
      </c>
      <c r="M742" s="467">
        <f>M739/M733-1</f>
        <v>5.2631578947368585E-3</v>
      </c>
      <c r="N742" s="292">
        <f>N739/N733-1</f>
        <v>5.2631578947368585E-3</v>
      </c>
      <c r="O742" s="445"/>
      <c r="P742" s="357"/>
      <c r="Q742" s="358"/>
      <c r="R742" s="353">
        <f>R739/R733-1</f>
        <v>4.8543689320388328E-3</v>
      </c>
      <c r="S742" s="471"/>
      <c r="T742" s="356"/>
      <c r="U742" s="357"/>
      <c r="V742" s="471"/>
      <c r="W742" s="359"/>
    </row>
    <row r="743" spans="1:23" s="117" customFormat="1" x14ac:dyDescent="0.2">
      <c r="A743" s="580">
        <v>44313</v>
      </c>
      <c r="B743" s="419" t="s">
        <v>53</v>
      </c>
      <c r="C743" s="408">
        <v>1832.47</v>
      </c>
      <c r="D743" s="521"/>
      <c r="E743" s="346">
        <v>1845.25</v>
      </c>
      <c r="F743" s="346">
        <v>1937.86</v>
      </c>
      <c r="G743" s="346">
        <v>1971.02</v>
      </c>
      <c r="H743" s="521"/>
      <c r="I743" s="521"/>
      <c r="J743" s="521"/>
      <c r="K743" s="574"/>
      <c r="L743" s="346">
        <v>2051.61</v>
      </c>
      <c r="M743" s="575">
        <v>1774.68</v>
      </c>
      <c r="N743" s="576">
        <v>1791.3</v>
      </c>
      <c r="O743" s="577"/>
      <c r="P743" s="347"/>
      <c r="Q743" s="347"/>
      <c r="R743" s="346">
        <v>1863.41</v>
      </c>
      <c r="S743" s="346"/>
      <c r="T743" s="347"/>
      <c r="U743" s="347"/>
      <c r="V743" s="347"/>
      <c r="W743" s="346">
        <v>1281.02</v>
      </c>
    </row>
    <row r="744" spans="1:23" x14ac:dyDescent="0.2">
      <c r="A744" s="580">
        <v>44313</v>
      </c>
      <c r="B744" s="415" t="s">
        <v>54</v>
      </c>
      <c r="C744" s="409">
        <v>1885</v>
      </c>
      <c r="D744" s="249"/>
      <c r="E744" s="250">
        <v>1976</v>
      </c>
      <c r="F744" s="250">
        <v>2080</v>
      </c>
      <c r="G744" s="250">
        <v>2314</v>
      </c>
      <c r="H744" s="249"/>
      <c r="I744" s="249"/>
      <c r="J744" s="330"/>
      <c r="K744" s="432"/>
      <c r="L744" s="250">
        <v>2405</v>
      </c>
      <c r="M744" s="245">
        <v>1920</v>
      </c>
      <c r="N744" s="520">
        <v>1920</v>
      </c>
      <c r="O744" s="530"/>
      <c r="P744" s="531"/>
      <c r="Q744" s="532"/>
      <c r="R744" s="250">
        <v>2076</v>
      </c>
      <c r="S744" s="496"/>
      <c r="T744" s="330"/>
      <c r="U744" s="334"/>
      <c r="V744" s="469"/>
      <c r="W744" s="315"/>
    </row>
    <row r="745" spans="1:23" x14ac:dyDescent="0.2">
      <c r="A745" s="580">
        <v>44313</v>
      </c>
      <c r="B745" s="415" t="s">
        <v>55</v>
      </c>
      <c r="C745" s="409">
        <v>1.74</v>
      </c>
      <c r="D745" s="249"/>
      <c r="E745" s="250">
        <v>1.82</v>
      </c>
      <c r="F745" s="250">
        <v>1.92</v>
      </c>
      <c r="G745" s="250">
        <v>2.14</v>
      </c>
      <c r="H745" s="249"/>
      <c r="I745" s="249"/>
      <c r="J745" s="330"/>
      <c r="K745" s="432"/>
      <c r="L745" s="250">
        <v>2.2200000000000002</v>
      </c>
      <c r="M745" s="463">
        <v>1.92</v>
      </c>
      <c r="N745" s="464">
        <v>1.92</v>
      </c>
      <c r="O745" s="530"/>
      <c r="P745" s="531"/>
      <c r="Q745" s="532"/>
      <c r="R745" s="250">
        <v>2.08</v>
      </c>
      <c r="S745" s="469"/>
      <c r="T745" s="333"/>
      <c r="U745" s="334"/>
      <c r="V745" s="497"/>
      <c r="W745" s="315"/>
    </row>
    <row r="746" spans="1:23" x14ac:dyDescent="0.2">
      <c r="A746" s="580">
        <v>44313</v>
      </c>
      <c r="B746" s="415" t="s">
        <v>56</v>
      </c>
      <c r="C746" s="410">
        <f>(C744-C743)/C744</f>
        <v>2.7867374005305024E-2</v>
      </c>
      <c r="D746" s="336"/>
      <c r="E746" s="336">
        <f>(E744-E743)/E744</f>
        <v>6.6169028340080968E-2</v>
      </c>
      <c r="F746" s="336">
        <f>(F744-F743)/F744</f>
        <v>6.8336538461538504E-2</v>
      </c>
      <c r="G746" s="336">
        <f>(G744-G743)/G744</f>
        <v>0.14821953327571305</v>
      </c>
      <c r="H746" s="336"/>
      <c r="I746" s="336"/>
      <c r="J746" s="338"/>
      <c r="K746" s="433"/>
      <c r="L746" s="336">
        <f>(L744-L743)/L744</f>
        <v>0.1469397089397089</v>
      </c>
      <c r="M746" s="465">
        <f>(M744-M743)/M744</f>
        <v>7.5687499999999963E-2</v>
      </c>
      <c r="N746" s="466">
        <f>(N744-N743)/N744</f>
        <v>6.7031250000000028E-2</v>
      </c>
      <c r="O746" s="444"/>
      <c r="P746" s="340"/>
      <c r="Q746" s="341"/>
      <c r="R746" s="336">
        <f>(R744-R743)/R744</f>
        <v>0.1024036608863198</v>
      </c>
      <c r="S746" s="470"/>
      <c r="T746" s="339"/>
      <c r="U746" s="340"/>
      <c r="V746" s="470"/>
      <c r="W746" s="315"/>
    </row>
    <row r="747" spans="1:23" x14ac:dyDescent="0.2">
      <c r="A747" s="580">
        <v>44313</v>
      </c>
      <c r="B747" s="415" t="s">
        <v>57</v>
      </c>
      <c r="C747" s="410">
        <f>(C744-C743)/C743</f>
        <v>2.8666226459369032E-2</v>
      </c>
      <c r="D747" s="336"/>
      <c r="E747" s="336">
        <f>(E744-E743)/E743</f>
        <v>7.0857607370275036E-2</v>
      </c>
      <c r="F747" s="336">
        <f>(F744-F743)/F743</f>
        <v>7.3348951936672471E-2</v>
      </c>
      <c r="G747" s="336">
        <f>(G744-G743)/G743</f>
        <v>0.17401142555631097</v>
      </c>
      <c r="H747" s="336"/>
      <c r="I747" s="336"/>
      <c r="J747" s="338"/>
      <c r="K747" s="433"/>
      <c r="L747" s="336">
        <f>(L744-L743)/L743</f>
        <v>0.17225008651741797</v>
      </c>
      <c r="M747" s="465">
        <f>(M744-M743)/M743</f>
        <v>8.1885184934748764E-2</v>
      </c>
      <c r="N747" s="466">
        <f>(N744-N743)/N743</f>
        <v>7.1847261765198484E-2</v>
      </c>
      <c r="O747" s="444"/>
      <c r="P747" s="340"/>
      <c r="Q747" s="341"/>
      <c r="R747" s="336">
        <f>(R744-R743)/R743</f>
        <v>0.11408654026757392</v>
      </c>
      <c r="S747" s="470"/>
      <c r="T747" s="339"/>
      <c r="U747" s="340"/>
      <c r="V747" s="470"/>
      <c r="W747" s="315"/>
    </row>
    <row r="748" spans="1:23" ht="13.3" thickBot="1" x14ac:dyDescent="0.25">
      <c r="A748" s="580">
        <v>44313</v>
      </c>
      <c r="B748" s="418" t="s">
        <v>58</v>
      </c>
      <c r="C748" s="411">
        <f>C745/C739-1</f>
        <v>5.7803468208093012E-3</v>
      </c>
      <c r="D748" s="353"/>
      <c r="E748" s="353">
        <f>E745/E739-1</f>
        <v>5.5248618784531356E-3</v>
      </c>
      <c r="F748" s="353">
        <f>F745/F739-1</f>
        <v>5.2356020942407877E-3</v>
      </c>
      <c r="G748" s="353">
        <f>G745/G739-1</f>
        <v>4.6948356807512415E-3</v>
      </c>
      <c r="H748" s="353"/>
      <c r="I748" s="353"/>
      <c r="J748" s="355"/>
      <c r="K748" s="434"/>
      <c r="L748" s="353">
        <f>L745/L739-1</f>
        <v>4.5248868778282603E-3</v>
      </c>
      <c r="M748" s="467">
        <f>M745/M739-1</f>
        <v>5.2356020942407877E-3</v>
      </c>
      <c r="N748" s="292">
        <f>N745/N739-1</f>
        <v>5.2356020942407877E-3</v>
      </c>
      <c r="O748" s="445"/>
      <c r="P748" s="357"/>
      <c r="Q748" s="358"/>
      <c r="R748" s="353">
        <f>R745/R739-1</f>
        <v>4.8309178743961567E-3</v>
      </c>
      <c r="S748" s="471"/>
      <c r="T748" s="356"/>
      <c r="U748" s="357"/>
      <c r="V748" s="471"/>
      <c r="W748" s="359"/>
    </row>
    <row r="749" spans="1:23" s="117" customFormat="1" x14ac:dyDescent="0.2">
      <c r="A749" s="580">
        <v>44320</v>
      </c>
      <c r="B749" s="419" t="s">
        <v>53</v>
      </c>
      <c r="C749" s="408">
        <v>1842.82</v>
      </c>
      <c r="D749" s="521"/>
      <c r="E749" s="346">
        <v>1855.22</v>
      </c>
      <c r="F749" s="346">
        <v>1947.79</v>
      </c>
      <c r="G749" s="346">
        <v>1980.09</v>
      </c>
      <c r="H749" s="521"/>
      <c r="I749" s="521"/>
      <c r="J749" s="521"/>
      <c r="K749" s="574"/>
      <c r="L749" s="346">
        <v>2060.71</v>
      </c>
      <c r="M749" s="575">
        <v>1783.76</v>
      </c>
      <c r="N749" s="576">
        <v>1800.47</v>
      </c>
      <c r="O749" s="577"/>
      <c r="P749" s="347"/>
      <c r="Q749" s="347"/>
      <c r="R749" s="346">
        <v>1872.22</v>
      </c>
      <c r="S749" s="346"/>
      <c r="T749" s="347"/>
      <c r="U749" s="347"/>
      <c r="V749" s="347"/>
      <c r="W749" s="346">
        <v>1281.02</v>
      </c>
    </row>
    <row r="750" spans="1:23" x14ac:dyDescent="0.2">
      <c r="A750" s="580">
        <v>44320</v>
      </c>
      <c r="B750" s="415" t="s">
        <v>54</v>
      </c>
      <c r="C750" s="409">
        <v>1898</v>
      </c>
      <c r="D750" s="249"/>
      <c r="E750" s="250">
        <v>1976</v>
      </c>
      <c r="F750" s="250">
        <v>2093</v>
      </c>
      <c r="G750" s="250">
        <v>2327</v>
      </c>
      <c r="H750" s="249"/>
      <c r="I750" s="249"/>
      <c r="J750" s="330"/>
      <c r="K750" s="432"/>
      <c r="L750" s="250">
        <v>2418</v>
      </c>
      <c r="M750" s="245">
        <v>1932</v>
      </c>
      <c r="N750" s="520">
        <v>1932</v>
      </c>
      <c r="O750" s="530"/>
      <c r="P750" s="531"/>
      <c r="Q750" s="532"/>
      <c r="R750" s="250">
        <v>2088</v>
      </c>
      <c r="S750" s="496"/>
      <c r="T750" s="330"/>
      <c r="U750" s="334"/>
      <c r="V750" s="469"/>
      <c r="W750" s="315"/>
    </row>
    <row r="751" spans="1:23" x14ac:dyDescent="0.2">
      <c r="A751" s="580">
        <v>44320</v>
      </c>
      <c r="B751" s="415" t="s">
        <v>55</v>
      </c>
      <c r="C751" s="409">
        <v>1.75</v>
      </c>
      <c r="D751" s="249"/>
      <c r="E751" s="250">
        <v>1.83</v>
      </c>
      <c r="F751" s="250">
        <v>1.93</v>
      </c>
      <c r="G751" s="250">
        <v>2.15</v>
      </c>
      <c r="H751" s="249"/>
      <c r="I751" s="249"/>
      <c r="J751" s="330"/>
      <c r="K751" s="432"/>
      <c r="L751" s="250">
        <v>2.23</v>
      </c>
      <c r="M751" s="463">
        <v>1.93</v>
      </c>
      <c r="N751" s="464">
        <v>1.93</v>
      </c>
      <c r="O751" s="530"/>
      <c r="P751" s="531"/>
      <c r="Q751" s="532"/>
      <c r="R751" s="250">
        <v>2.09</v>
      </c>
      <c r="S751" s="469"/>
      <c r="T751" s="333"/>
      <c r="U751" s="334"/>
      <c r="V751" s="497"/>
      <c r="W751" s="315"/>
    </row>
    <row r="752" spans="1:23" x14ac:dyDescent="0.2">
      <c r="A752" s="580">
        <v>44320</v>
      </c>
      <c r="B752" s="415" t="s">
        <v>56</v>
      </c>
      <c r="C752" s="410">
        <f>(C750-C749)/C750</f>
        <v>2.9072708113804038E-2</v>
      </c>
      <c r="D752" s="336"/>
      <c r="E752" s="336">
        <f>(E750-E749)/E750</f>
        <v>6.1123481781376506E-2</v>
      </c>
      <c r="F752" s="336">
        <f>(F750-F749)/F750</f>
        <v>6.9378881987577662E-2</v>
      </c>
      <c r="G752" s="336">
        <f>(G750-G749)/G750</f>
        <v>0.14908036097980235</v>
      </c>
      <c r="H752" s="336"/>
      <c r="I752" s="336"/>
      <c r="J752" s="338"/>
      <c r="K752" s="433"/>
      <c r="L752" s="336">
        <f>(L750-L749)/L750</f>
        <v>0.14776261373035565</v>
      </c>
      <c r="M752" s="465">
        <f>(M750-M749)/M750</f>
        <v>7.6728778467908904E-2</v>
      </c>
      <c r="N752" s="466">
        <f>(N750-N749)/N750</f>
        <v>6.8079710144927516E-2</v>
      </c>
      <c r="O752" s="444"/>
      <c r="P752" s="340"/>
      <c r="Q752" s="341"/>
      <c r="R752" s="336">
        <f>(R750-R749)/R750</f>
        <v>0.10334291187739462</v>
      </c>
      <c r="S752" s="470"/>
      <c r="T752" s="339"/>
      <c r="U752" s="340"/>
      <c r="V752" s="470"/>
      <c r="W752" s="315"/>
    </row>
    <row r="753" spans="1:23" x14ac:dyDescent="0.2">
      <c r="A753" s="580">
        <v>44320</v>
      </c>
      <c r="B753" s="415" t="s">
        <v>57</v>
      </c>
      <c r="C753" s="410">
        <f>(C750-C749)/C749</f>
        <v>2.9943239166060748E-2</v>
      </c>
      <c r="D753" s="336"/>
      <c r="E753" s="336">
        <f>(E750-E749)/E749</f>
        <v>6.5102791043649799E-2</v>
      </c>
      <c r="F753" s="336">
        <f>(F750-F749)/F749</f>
        <v>7.4551157979042937E-2</v>
      </c>
      <c r="G753" s="336">
        <f>(G750-G749)/G749</f>
        <v>0.17519910711129297</v>
      </c>
      <c r="H753" s="336"/>
      <c r="I753" s="336"/>
      <c r="J753" s="338"/>
      <c r="K753" s="433"/>
      <c r="L753" s="336">
        <f>(L750-L749)/L749</f>
        <v>0.1733819897025782</v>
      </c>
      <c r="M753" s="465">
        <f>(M750-M749)/M749</f>
        <v>8.3105350495582375E-2</v>
      </c>
      <c r="N753" s="466">
        <f>(N750-N749)/N749</f>
        <v>7.3053147233777829E-2</v>
      </c>
      <c r="O753" s="444"/>
      <c r="P753" s="340"/>
      <c r="Q753" s="341"/>
      <c r="R753" s="336">
        <f>(R750-R749)/R749</f>
        <v>0.115253549262373</v>
      </c>
      <c r="S753" s="470"/>
      <c r="T753" s="339"/>
      <c r="U753" s="340"/>
      <c r="V753" s="470"/>
      <c r="W753" s="315"/>
    </row>
    <row r="754" spans="1:23" ht="13.3" thickBot="1" x14ac:dyDescent="0.25">
      <c r="A754" s="580">
        <v>44320</v>
      </c>
      <c r="B754" s="418" t="s">
        <v>58</v>
      </c>
      <c r="C754" s="411">
        <f>C751/C745-1</f>
        <v>5.7471264367816577E-3</v>
      </c>
      <c r="D754" s="353"/>
      <c r="E754" s="353">
        <f>E751/E745-1</f>
        <v>5.494505494505475E-3</v>
      </c>
      <c r="F754" s="353">
        <f>F751/F745-1</f>
        <v>5.2083333333332593E-3</v>
      </c>
      <c r="G754" s="353">
        <f>G751/G745-1</f>
        <v>4.6728971962615162E-3</v>
      </c>
      <c r="H754" s="353"/>
      <c r="I754" s="353"/>
      <c r="J754" s="355"/>
      <c r="K754" s="434"/>
      <c r="L754" s="353">
        <f>L751/L745-1</f>
        <v>4.5045045045044585E-3</v>
      </c>
      <c r="M754" s="467">
        <f>M751/M745-1</f>
        <v>5.2083333333332593E-3</v>
      </c>
      <c r="N754" s="292">
        <f>N751/N745-1</f>
        <v>5.2083333333332593E-3</v>
      </c>
      <c r="O754" s="445"/>
      <c r="P754" s="357"/>
      <c r="Q754" s="358"/>
      <c r="R754" s="353">
        <f>R751/R745-1</f>
        <v>4.8076923076922906E-3</v>
      </c>
      <c r="S754" s="471"/>
      <c r="T754" s="356"/>
      <c r="U754" s="357"/>
      <c r="V754" s="471"/>
      <c r="W754" s="359"/>
    </row>
    <row r="755" spans="1:23" s="117" customFormat="1" x14ac:dyDescent="0.2">
      <c r="A755" s="580">
        <v>44329</v>
      </c>
      <c r="B755" s="419" t="s">
        <v>53</v>
      </c>
      <c r="C755" s="408">
        <v>1853.17</v>
      </c>
      <c r="D755" s="521"/>
      <c r="E755" s="346">
        <v>1865.19</v>
      </c>
      <c r="F755" s="346">
        <v>1957.72</v>
      </c>
      <c r="G755" s="346">
        <v>1989.16</v>
      </c>
      <c r="H755" s="521"/>
      <c r="I755" s="521"/>
      <c r="J755" s="521"/>
      <c r="K755" s="574"/>
      <c r="L755" s="346">
        <v>2069.81</v>
      </c>
      <c r="M755" s="575">
        <v>1792.84</v>
      </c>
      <c r="N755" s="576">
        <v>1809.64</v>
      </c>
      <c r="O755" s="577"/>
      <c r="P755" s="347"/>
      <c r="Q755" s="347"/>
      <c r="R755" s="346">
        <v>1881.03</v>
      </c>
      <c r="S755" s="346"/>
      <c r="T755" s="347"/>
      <c r="U755" s="347"/>
      <c r="V755" s="347"/>
      <c r="W755" s="346">
        <v>1281.02</v>
      </c>
    </row>
    <row r="756" spans="1:23" x14ac:dyDescent="0.2">
      <c r="A756" s="580">
        <v>44329</v>
      </c>
      <c r="B756" s="415" t="s">
        <v>54</v>
      </c>
      <c r="C756" s="409">
        <v>1911</v>
      </c>
      <c r="D756" s="249"/>
      <c r="E756" s="250">
        <v>1989</v>
      </c>
      <c r="F756" s="250">
        <v>2106</v>
      </c>
      <c r="G756" s="250">
        <v>2340</v>
      </c>
      <c r="H756" s="249"/>
      <c r="I756" s="249"/>
      <c r="J756" s="330"/>
      <c r="K756" s="432"/>
      <c r="L756" s="250">
        <v>2431</v>
      </c>
      <c r="M756" s="245">
        <v>1944</v>
      </c>
      <c r="N756" s="520">
        <v>1944</v>
      </c>
      <c r="O756" s="530"/>
      <c r="P756" s="531"/>
      <c r="Q756" s="532"/>
      <c r="R756" s="250">
        <v>2100</v>
      </c>
      <c r="S756" s="496"/>
      <c r="T756" s="330"/>
      <c r="U756" s="334"/>
      <c r="V756" s="469"/>
      <c r="W756" s="315"/>
    </row>
    <row r="757" spans="1:23" x14ac:dyDescent="0.2">
      <c r="A757" s="580">
        <v>44329</v>
      </c>
      <c r="B757" s="415" t="s">
        <v>55</v>
      </c>
      <c r="C757" s="409">
        <v>1.76</v>
      </c>
      <c r="D757" s="249"/>
      <c r="E757" s="250">
        <v>1.84</v>
      </c>
      <c r="F757" s="250">
        <v>1.94</v>
      </c>
      <c r="G757" s="250">
        <v>2.16</v>
      </c>
      <c r="H757" s="249"/>
      <c r="I757" s="249"/>
      <c r="J757" s="330"/>
      <c r="K757" s="432"/>
      <c r="L757" s="250">
        <v>2.2400000000000002</v>
      </c>
      <c r="M757" s="463">
        <v>1.94</v>
      </c>
      <c r="N757" s="464">
        <v>1.94</v>
      </c>
      <c r="O757" s="530"/>
      <c r="P757" s="531"/>
      <c r="Q757" s="532"/>
      <c r="R757" s="250">
        <v>2.1</v>
      </c>
      <c r="S757" s="469"/>
      <c r="T757" s="333"/>
      <c r="U757" s="334"/>
      <c r="V757" s="497"/>
      <c r="W757" s="315"/>
    </row>
    <row r="758" spans="1:23" x14ac:dyDescent="0.2">
      <c r="A758" s="580">
        <v>44329</v>
      </c>
      <c r="B758" s="415" t="s">
        <v>56</v>
      </c>
      <c r="C758" s="410">
        <f>(C756-C755)/C756</f>
        <v>3.0261643118785937E-2</v>
      </c>
      <c r="D758" s="336"/>
      <c r="E758" s="336">
        <f>(E756-E755)/E756</f>
        <v>6.2247360482654571E-2</v>
      </c>
      <c r="F758" s="336">
        <f>(F756-F755)/F756</f>
        <v>7.0408357075023728E-2</v>
      </c>
      <c r="G758" s="336">
        <f>(G756-G755)/G756</f>
        <v>0.1499316239316239</v>
      </c>
      <c r="H758" s="336"/>
      <c r="I758" s="336"/>
      <c r="J758" s="338"/>
      <c r="K758" s="433"/>
      <c r="L758" s="336">
        <f>(L756-L755)/L756</f>
        <v>0.14857671740024683</v>
      </c>
      <c r="M758" s="465">
        <f>(M756-M755)/M756</f>
        <v>7.7757201646090582E-2</v>
      </c>
      <c r="N758" s="466">
        <f>(N756-N755)/N756</f>
        <v>6.9115226337448502E-2</v>
      </c>
      <c r="O758" s="444"/>
      <c r="P758" s="340"/>
      <c r="Q758" s="341"/>
      <c r="R758" s="336">
        <f>(R756-R755)/R756</f>
        <v>0.10427142857142858</v>
      </c>
      <c r="S758" s="470"/>
      <c r="T758" s="339"/>
      <c r="U758" s="340"/>
      <c r="V758" s="470"/>
      <c r="W758" s="315"/>
    </row>
    <row r="759" spans="1:23" x14ac:dyDescent="0.2">
      <c r="A759" s="580">
        <v>44329</v>
      </c>
      <c r="B759" s="415" t="s">
        <v>57</v>
      </c>
      <c r="C759" s="410">
        <f>(C756-C755)/C755</f>
        <v>3.120598757804191E-2</v>
      </c>
      <c r="D759" s="336"/>
      <c r="E759" s="336">
        <f>(E756-E755)/E755</f>
        <v>6.6379296479179034E-2</v>
      </c>
      <c r="F759" s="336">
        <f>(F756-F755)/F755</f>
        <v>7.5741168297815811E-2</v>
      </c>
      <c r="G759" s="336">
        <f>(G756-G755)/G755</f>
        <v>0.17637595769068345</v>
      </c>
      <c r="H759" s="336"/>
      <c r="I759" s="336"/>
      <c r="J759" s="338"/>
      <c r="K759" s="433"/>
      <c r="L759" s="336">
        <f>(L756-L755)/L755</f>
        <v>0.17450393997516683</v>
      </c>
      <c r="M759" s="465">
        <f>(M756-M755)/M755</f>
        <v>8.4313156779188381E-2</v>
      </c>
      <c r="N759" s="466">
        <f>(N756-N755)/N755</f>
        <v>7.4246811520523356E-2</v>
      </c>
      <c r="O759" s="444"/>
      <c r="P759" s="340"/>
      <c r="Q759" s="341"/>
      <c r="R759" s="336">
        <f>(R756-R755)/R755</f>
        <v>0.11640962664072345</v>
      </c>
      <c r="S759" s="470"/>
      <c r="T759" s="339"/>
      <c r="U759" s="340"/>
      <c r="V759" s="470"/>
      <c r="W759" s="315"/>
    </row>
    <row r="760" spans="1:23" ht="13.3" thickBot="1" x14ac:dyDescent="0.25">
      <c r="A760" s="580">
        <v>44329</v>
      </c>
      <c r="B760" s="418" t="s">
        <v>58</v>
      </c>
      <c r="C760" s="411">
        <f>C757/C751-1</f>
        <v>5.7142857142857828E-3</v>
      </c>
      <c r="D760" s="353"/>
      <c r="E760" s="353">
        <f>E757/E751-1</f>
        <v>5.464480874316946E-3</v>
      </c>
      <c r="F760" s="353">
        <f>F757/F751-1</f>
        <v>5.1813471502590858E-3</v>
      </c>
      <c r="G760" s="353">
        <f>G757/G751-1</f>
        <v>4.6511627906977715E-3</v>
      </c>
      <c r="H760" s="353"/>
      <c r="I760" s="353"/>
      <c r="J760" s="355"/>
      <c r="K760" s="434"/>
      <c r="L760" s="353">
        <f>L757/L751-1</f>
        <v>4.484304932735439E-3</v>
      </c>
      <c r="M760" s="467">
        <f>M757/M751-1</f>
        <v>5.1813471502590858E-3</v>
      </c>
      <c r="N760" s="292">
        <f>N757/N751-1</f>
        <v>5.1813471502590858E-3</v>
      </c>
      <c r="O760" s="445"/>
      <c r="P760" s="357"/>
      <c r="Q760" s="358"/>
      <c r="R760" s="353">
        <f>R757/R751-1</f>
        <v>4.784688995215447E-3</v>
      </c>
      <c r="S760" s="471"/>
      <c r="T760" s="356"/>
      <c r="U760" s="357"/>
      <c r="V760" s="471"/>
      <c r="W760" s="359"/>
    </row>
    <row r="761" spans="1:23" s="573" customFormat="1" x14ac:dyDescent="0.2">
      <c r="A761" s="580">
        <v>44349</v>
      </c>
      <c r="B761" s="569" t="s">
        <v>53</v>
      </c>
      <c r="C761" s="570">
        <v>1863.52</v>
      </c>
      <c r="D761" s="522"/>
      <c r="E761" s="257">
        <v>1875.16</v>
      </c>
      <c r="F761" s="257">
        <v>1967.65</v>
      </c>
      <c r="G761" s="257">
        <v>1998.23</v>
      </c>
      <c r="H761" s="522"/>
      <c r="I761" s="522"/>
      <c r="J761" s="522"/>
      <c r="K761" s="571"/>
      <c r="L761" s="257">
        <v>2078.91</v>
      </c>
      <c r="M761" s="256">
        <v>1801.92</v>
      </c>
      <c r="N761" s="572">
        <v>1818.81</v>
      </c>
      <c r="O761" s="442"/>
      <c r="P761" s="290"/>
      <c r="Q761" s="290"/>
      <c r="R761" s="257">
        <v>1889.84</v>
      </c>
      <c r="S761" s="257"/>
      <c r="T761" s="290"/>
      <c r="U761" s="290"/>
      <c r="V761" s="290"/>
      <c r="W761" s="257">
        <v>1281.02</v>
      </c>
    </row>
    <row r="762" spans="1:23" x14ac:dyDescent="0.2">
      <c r="A762" s="580">
        <v>44349</v>
      </c>
      <c r="B762" s="415" t="s">
        <v>54</v>
      </c>
      <c r="C762" s="409">
        <v>1911</v>
      </c>
      <c r="D762" s="249"/>
      <c r="E762" s="250">
        <v>2002</v>
      </c>
      <c r="F762" s="250">
        <v>2106</v>
      </c>
      <c r="G762" s="250">
        <v>2353</v>
      </c>
      <c r="H762" s="249"/>
      <c r="I762" s="249"/>
      <c r="J762" s="330"/>
      <c r="K762" s="432"/>
      <c r="L762" s="250">
        <v>2431</v>
      </c>
      <c r="M762" s="245">
        <v>1944</v>
      </c>
      <c r="N762" s="520">
        <v>1944</v>
      </c>
      <c r="O762" s="530"/>
      <c r="P762" s="531"/>
      <c r="Q762" s="532"/>
      <c r="R762" s="250">
        <v>2112</v>
      </c>
      <c r="S762" s="496"/>
      <c r="T762" s="330"/>
      <c r="U762" s="334"/>
      <c r="V762" s="469"/>
      <c r="W762" s="315"/>
    </row>
    <row r="763" spans="1:23" x14ac:dyDescent="0.2">
      <c r="A763" s="580">
        <v>44349</v>
      </c>
      <c r="B763" s="415" t="s">
        <v>55</v>
      </c>
      <c r="C763" s="409">
        <v>1.77</v>
      </c>
      <c r="D763" s="249"/>
      <c r="E763" s="250">
        <v>1.85</v>
      </c>
      <c r="F763" s="250">
        <v>1.95</v>
      </c>
      <c r="G763" s="250">
        <v>2.17</v>
      </c>
      <c r="H763" s="249"/>
      <c r="I763" s="249"/>
      <c r="J763" s="330"/>
      <c r="K763" s="432"/>
      <c r="L763" s="250">
        <v>2.21</v>
      </c>
      <c r="M763" s="463">
        <v>1.95</v>
      </c>
      <c r="N763" s="464">
        <v>1.95</v>
      </c>
      <c r="O763" s="530"/>
      <c r="P763" s="531"/>
      <c r="Q763" s="532"/>
      <c r="R763" s="250">
        <v>2.11</v>
      </c>
      <c r="S763" s="469"/>
      <c r="T763" s="333"/>
      <c r="U763" s="334"/>
      <c r="V763" s="497"/>
      <c r="W763" s="315"/>
    </row>
    <row r="764" spans="1:23" x14ac:dyDescent="0.2">
      <c r="A764" s="580">
        <v>44349</v>
      </c>
      <c r="B764" s="415" t="s">
        <v>56</v>
      </c>
      <c r="C764" s="410">
        <f>(C762-C761)/C762</f>
        <v>2.4845630559916284E-2</v>
      </c>
      <c r="D764" s="336"/>
      <c r="E764" s="336">
        <f>(E762-E761)/E762</f>
        <v>6.3356643356643316E-2</v>
      </c>
      <c r="F764" s="336">
        <f>(F762-F761)/F762</f>
        <v>6.5693257359923984E-2</v>
      </c>
      <c r="G764" s="336">
        <f>(G762-G761)/G762</f>
        <v>0.15077348066298341</v>
      </c>
      <c r="H764" s="336"/>
      <c r="I764" s="336"/>
      <c r="J764" s="338"/>
      <c r="K764" s="433"/>
      <c r="L764" s="336">
        <f>(L762-L761)/L762</f>
        <v>0.14483340189222549</v>
      </c>
      <c r="M764" s="465">
        <f>(M762-M761)/M762</f>
        <v>7.3086419753086385E-2</v>
      </c>
      <c r="N764" s="466">
        <f>(N762-N761)/N762</f>
        <v>6.4398148148148177E-2</v>
      </c>
      <c r="O764" s="444"/>
      <c r="P764" s="340"/>
      <c r="Q764" s="341"/>
      <c r="R764" s="336">
        <f>(R762-R761)/R762</f>
        <v>0.10518939393939397</v>
      </c>
      <c r="S764" s="470"/>
      <c r="T764" s="339"/>
      <c r="U764" s="340"/>
      <c r="V764" s="470"/>
      <c r="W764" s="315"/>
    </row>
    <row r="765" spans="1:23" x14ac:dyDescent="0.2">
      <c r="A765" s="580">
        <v>44349</v>
      </c>
      <c r="B765" s="415" t="s">
        <v>57</v>
      </c>
      <c r="C765" s="410">
        <f>(C762-C761)/C761</f>
        <v>2.5478664033656746E-2</v>
      </c>
      <c r="D765" s="336"/>
      <c r="E765" s="336">
        <f>(E762-E761)/E761</f>
        <v>6.7642227863222298E-2</v>
      </c>
      <c r="F765" s="336">
        <f>(F762-F761)/F761</f>
        <v>7.0312301476380401E-2</v>
      </c>
      <c r="G765" s="336">
        <f>(G762-G761)/G761</f>
        <v>0.17754212478043066</v>
      </c>
      <c r="H765" s="336"/>
      <c r="I765" s="336"/>
      <c r="J765" s="338"/>
      <c r="K765" s="433"/>
      <c r="L765" s="336">
        <f>(L762-L761)/L761</f>
        <v>0.16936279107801694</v>
      </c>
      <c r="M765" s="465">
        <f>(M762-M761)/M761</f>
        <v>7.8849227490676563E-2</v>
      </c>
      <c r="N765" s="466">
        <f>(N762-N761)/N761</f>
        <v>6.883071898659017E-2</v>
      </c>
      <c r="O765" s="444"/>
      <c r="P765" s="340"/>
      <c r="Q765" s="341"/>
      <c r="R765" s="336">
        <f>(R762-R761)/R761</f>
        <v>0.11755492528468023</v>
      </c>
      <c r="S765" s="470"/>
      <c r="T765" s="339"/>
      <c r="U765" s="340"/>
      <c r="V765" s="470"/>
      <c r="W765" s="315"/>
    </row>
    <row r="766" spans="1:23" ht="13.3" thickBot="1" x14ac:dyDescent="0.25">
      <c r="A766" s="580">
        <v>44349</v>
      </c>
      <c r="B766" s="418" t="s">
        <v>58</v>
      </c>
      <c r="C766" s="411">
        <f>C763/C757-1</f>
        <v>5.6818181818181213E-3</v>
      </c>
      <c r="D766" s="353"/>
      <c r="E766" s="353">
        <f>E763/E757-1</f>
        <v>5.4347826086955653E-3</v>
      </c>
      <c r="F766" s="353">
        <f>F763/F757-1</f>
        <v>5.1546391752577136E-3</v>
      </c>
      <c r="G766" s="353">
        <f>G763/G757-1</f>
        <v>4.6296296296295392E-3</v>
      </c>
      <c r="H766" s="353"/>
      <c r="I766" s="353"/>
      <c r="J766" s="355"/>
      <c r="K766" s="434"/>
      <c r="L766" s="353">
        <f>L763/L757-1</f>
        <v>-1.3392857142857206E-2</v>
      </c>
      <c r="M766" s="467">
        <f>M763/M757-1</f>
        <v>5.1546391752577136E-3</v>
      </c>
      <c r="N766" s="292">
        <f>N763/N757-1</f>
        <v>5.1546391752577136E-3</v>
      </c>
      <c r="O766" s="445"/>
      <c r="P766" s="357"/>
      <c r="Q766" s="358"/>
      <c r="R766" s="353">
        <f>R763/R757-1</f>
        <v>4.761904761904745E-3</v>
      </c>
      <c r="S766" s="471"/>
      <c r="T766" s="356"/>
      <c r="U766" s="357"/>
      <c r="V766" s="471"/>
      <c r="W766" s="359"/>
    </row>
    <row r="767" spans="1:23" x14ac:dyDescent="0.2">
      <c r="A767" s="580">
        <v>44355</v>
      </c>
      <c r="B767" s="569" t="s">
        <v>53</v>
      </c>
      <c r="C767" s="570">
        <v>1873.87</v>
      </c>
      <c r="D767" s="522"/>
      <c r="E767" s="257">
        <v>1885.13</v>
      </c>
      <c r="F767" s="257">
        <v>1977.58</v>
      </c>
      <c r="G767" s="257">
        <v>2007.3</v>
      </c>
      <c r="H767" s="522"/>
      <c r="I767" s="522"/>
      <c r="J767" s="522"/>
      <c r="K767" s="571"/>
      <c r="L767" s="257">
        <v>2088.0100000000002</v>
      </c>
      <c r="M767" s="256">
        <v>1811</v>
      </c>
      <c r="N767" s="572">
        <v>1827.98</v>
      </c>
      <c r="O767" s="442"/>
      <c r="P767" s="290"/>
      <c r="Q767" s="290"/>
      <c r="R767" s="257">
        <v>1898.65</v>
      </c>
      <c r="S767" s="257"/>
      <c r="T767" s="290"/>
      <c r="U767" s="290"/>
      <c r="V767" s="290"/>
      <c r="W767" s="257">
        <v>1299.99</v>
      </c>
    </row>
    <row r="768" spans="1:23" x14ac:dyDescent="0.2">
      <c r="A768" s="580">
        <v>44355</v>
      </c>
      <c r="B768" s="415" t="s">
        <v>54</v>
      </c>
      <c r="C768" s="409">
        <v>1924</v>
      </c>
      <c r="D768" s="249"/>
      <c r="E768" s="250">
        <v>2015</v>
      </c>
      <c r="F768" s="250">
        <v>2119</v>
      </c>
      <c r="G768" s="250">
        <v>2366</v>
      </c>
      <c r="H768" s="249"/>
      <c r="I768" s="249"/>
      <c r="J768" s="330"/>
      <c r="K768" s="432"/>
      <c r="L768" s="250">
        <v>2444</v>
      </c>
      <c r="M768" s="245">
        <v>1956</v>
      </c>
      <c r="N768" s="520">
        <v>1956</v>
      </c>
      <c r="O768" s="530"/>
      <c r="P768" s="531"/>
      <c r="Q768" s="532"/>
      <c r="R768" s="250">
        <v>2124</v>
      </c>
      <c r="S768" s="496"/>
      <c r="T768" s="330"/>
      <c r="U768" s="334"/>
      <c r="V768" s="469"/>
      <c r="W768" s="315"/>
    </row>
    <row r="769" spans="1:23" x14ac:dyDescent="0.2">
      <c r="A769" s="580">
        <v>44355</v>
      </c>
      <c r="B769" s="415" t="s">
        <v>55</v>
      </c>
      <c r="C769" s="409">
        <v>1.78</v>
      </c>
      <c r="D769" s="249"/>
      <c r="E769" s="250">
        <v>1.86</v>
      </c>
      <c r="F769" s="250">
        <v>1.96</v>
      </c>
      <c r="G769" s="250">
        <v>2.1800000000000002</v>
      </c>
      <c r="H769" s="249"/>
      <c r="I769" s="249"/>
      <c r="J769" s="330"/>
      <c r="K769" s="432"/>
      <c r="L769" s="250">
        <v>2.2599999999999998</v>
      </c>
      <c r="M769" s="463">
        <v>1.96</v>
      </c>
      <c r="N769" s="464">
        <v>1.96</v>
      </c>
      <c r="O769" s="530"/>
      <c r="P769" s="531"/>
      <c r="Q769" s="532"/>
      <c r="R769" s="250">
        <v>2.12</v>
      </c>
      <c r="S769" s="469"/>
      <c r="T769" s="333"/>
      <c r="U769" s="334"/>
      <c r="V769" s="497"/>
      <c r="W769" s="315"/>
    </row>
    <row r="770" spans="1:23" x14ac:dyDescent="0.2">
      <c r="A770" s="580">
        <v>44355</v>
      </c>
      <c r="B770" s="415" t="s">
        <v>56</v>
      </c>
      <c r="C770" s="410">
        <f>(C768-C767)/C768</f>
        <v>2.6055093555093611E-2</v>
      </c>
      <c r="D770" s="336"/>
      <c r="E770" s="336">
        <f>(E768-E767)/E768</f>
        <v>6.445161290322575E-2</v>
      </c>
      <c r="F770" s="336">
        <f>(F768-F767)/F768</f>
        <v>6.6739027843322363E-2</v>
      </c>
      <c r="G770" s="336">
        <f>(G768-G767)/G768</f>
        <v>0.15160608622147084</v>
      </c>
      <c r="H770" s="336"/>
      <c r="I770" s="336"/>
      <c r="J770" s="338"/>
      <c r="K770" s="433"/>
      <c r="L770" s="336">
        <f>(L768-L767)/L768</f>
        <v>0.14565875613747944</v>
      </c>
      <c r="M770" s="465">
        <f>(M768-M767)/M768</f>
        <v>7.4130879345603279E-2</v>
      </c>
      <c r="N770" s="466">
        <f>(N768-N767)/N768</f>
        <v>6.5449897750511243E-2</v>
      </c>
      <c r="O770" s="444"/>
      <c r="P770" s="340"/>
      <c r="Q770" s="341"/>
      <c r="R770" s="336">
        <f>(R768-R767)/R768</f>
        <v>0.10609698681732575</v>
      </c>
      <c r="S770" s="470"/>
      <c r="T770" s="339"/>
      <c r="U770" s="340"/>
      <c r="V770" s="470"/>
      <c r="W770" s="315"/>
    </row>
    <row r="771" spans="1:23" x14ac:dyDescent="0.2">
      <c r="A771" s="580">
        <v>44355</v>
      </c>
      <c r="B771" s="415" t="s">
        <v>57</v>
      </c>
      <c r="C771" s="410">
        <f>(C768-C767)/C767</f>
        <v>2.6752122612561231E-2</v>
      </c>
      <c r="D771" s="336"/>
      <c r="E771" s="336">
        <f>(E768-E767)/E767</f>
        <v>6.8891800565478181E-2</v>
      </c>
      <c r="F771" s="336">
        <f>(F768-F767)/F767</f>
        <v>7.1511645546577171E-2</v>
      </c>
      <c r="G771" s="336">
        <f>(G768-G767)/G767</f>
        <v>0.17869775320081704</v>
      </c>
      <c r="H771" s="336"/>
      <c r="I771" s="336"/>
      <c r="J771" s="338"/>
      <c r="K771" s="433"/>
      <c r="L771" s="336">
        <f>(L768-L767)/L767</f>
        <v>0.17049247848429833</v>
      </c>
      <c r="M771" s="465">
        <f>(M768-M767)/M767</f>
        <v>8.0066261733848704E-2</v>
      </c>
      <c r="N771" s="466">
        <f>(N768-N767)/N767</f>
        <v>7.0033588988938605E-2</v>
      </c>
      <c r="O771" s="444"/>
      <c r="P771" s="340"/>
      <c r="Q771" s="341"/>
      <c r="R771" s="336">
        <f>(R768-R767)/R767</f>
        <v>0.11868959523872219</v>
      </c>
      <c r="S771" s="470"/>
      <c r="T771" s="339"/>
      <c r="U771" s="340"/>
      <c r="V771" s="470"/>
      <c r="W771" s="315"/>
    </row>
    <row r="772" spans="1:23" ht="13.3" thickBot="1" x14ac:dyDescent="0.25">
      <c r="A772" s="580">
        <v>44355</v>
      </c>
      <c r="B772" s="418" t="s">
        <v>58</v>
      </c>
      <c r="C772" s="411">
        <f>C769/C763-1</f>
        <v>5.6497175141243527E-3</v>
      </c>
      <c r="D772" s="353"/>
      <c r="E772" s="353">
        <f>E769/E763-1</f>
        <v>5.4054054054053502E-3</v>
      </c>
      <c r="F772" s="353">
        <f>F769/F763-1</f>
        <v>5.12820512820511E-3</v>
      </c>
      <c r="G772" s="353">
        <f>G769/G763-1</f>
        <v>4.6082949308756671E-3</v>
      </c>
      <c r="H772" s="353"/>
      <c r="I772" s="353"/>
      <c r="J772" s="355"/>
      <c r="K772" s="434"/>
      <c r="L772" s="353">
        <f>L769/L763-1</f>
        <v>2.2624434389140191E-2</v>
      </c>
      <c r="M772" s="467">
        <f>M769/M763-1</f>
        <v>5.12820512820511E-3</v>
      </c>
      <c r="N772" s="292">
        <f>N769/N763-1</f>
        <v>5.12820512820511E-3</v>
      </c>
      <c r="O772" s="445"/>
      <c r="P772" s="357"/>
      <c r="Q772" s="358"/>
      <c r="R772" s="353">
        <f>R769/R763-1</f>
        <v>4.7393364928911552E-3</v>
      </c>
      <c r="S772" s="471"/>
      <c r="T772" s="356"/>
      <c r="U772" s="357"/>
      <c r="V772" s="471"/>
      <c r="W772" s="359"/>
    </row>
    <row r="773" spans="1:23" x14ac:dyDescent="0.2">
      <c r="A773" s="580">
        <v>44362</v>
      </c>
      <c r="B773" s="569" t="s">
        <v>53</v>
      </c>
      <c r="C773" s="570">
        <v>1884.22</v>
      </c>
      <c r="D773" s="522"/>
      <c r="E773" s="257">
        <v>1895.1</v>
      </c>
      <c r="F773" s="257">
        <v>1987.51</v>
      </c>
      <c r="G773" s="257">
        <v>2016.37</v>
      </c>
      <c r="H773" s="522"/>
      <c r="I773" s="522"/>
      <c r="J773" s="522"/>
      <c r="K773" s="571"/>
      <c r="L773" s="257">
        <v>2097.11</v>
      </c>
      <c r="M773" s="256">
        <v>1820.08</v>
      </c>
      <c r="N773" s="572">
        <v>1837.15</v>
      </c>
      <c r="O773" s="442"/>
      <c r="P773" s="290"/>
      <c r="Q773" s="290"/>
      <c r="R773" s="257">
        <v>1907.46</v>
      </c>
      <c r="S773" s="257"/>
      <c r="T773" s="290"/>
      <c r="U773" s="290"/>
      <c r="V773" s="290"/>
      <c r="W773" s="257">
        <v>1306.33</v>
      </c>
    </row>
    <row r="774" spans="1:23" ht="13.3" x14ac:dyDescent="0.2">
      <c r="A774" s="580">
        <v>44362</v>
      </c>
      <c r="B774" s="415" t="s">
        <v>54</v>
      </c>
      <c r="C774" s="409">
        <v>1937</v>
      </c>
      <c r="D774" s="249"/>
      <c r="E774" s="250">
        <v>2028</v>
      </c>
      <c r="F774" s="578" t="s">
        <v>68</v>
      </c>
      <c r="G774" s="250">
        <v>2366</v>
      </c>
      <c r="H774" s="249"/>
      <c r="I774" s="249"/>
      <c r="J774" s="330"/>
      <c r="K774" s="432"/>
      <c r="L774" s="250">
        <v>2457</v>
      </c>
      <c r="M774" s="245">
        <v>1968</v>
      </c>
      <c r="N774" s="520">
        <v>1968</v>
      </c>
      <c r="O774" s="530"/>
      <c r="P774" s="531"/>
      <c r="Q774" s="532"/>
      <c r="R774" s="250">
        <v>2124</v>
      </c>
      <c r="S774" s="496"/>
      <c r="T774" s="330"/>
      <c r="U774" s="334"/>
      <c r="V774" s="469"/>
      <c r="W774" s="315"/>
    </row>
    <row r="775" spans="1:23" x14ac:dyDescent="0.2">
      <c r="A775" s="580">
        <v>44362</v>
      </c>
      <c r="B775" s="415" t="s">
        <v>55</v>
      </c>
      <c r="C775" s="409">
        <v>1.79</v>
      </c>
      <c r="D775" s="249"/>
      <c r="E775" s="250">
        <v>1.87</v>
      </c>
      <c r="F775" s="250">
        <v>1.97</v>
      </c>
      <c r="G775" s="250">
        <v>2.19</v>
      </c>
      <c r="H775" s="249"/>
      <c r="I775" s="249"/>
      <c r="J775" s="330"/>
      <c r="K775" s="432"/>
      <c r="L775" s="250">
        <v>2.27</v>
      </c>
      <c r="M775" s="463">
        <v>1.97</v>
      </c>
      <c r="N775" s="464">
        <v>1.97</v>
      </c>
      <c r="O775" s="530"/>
      <c r="P775" s="531"/>
      <c r="Q775" s="532"/>
      <c r="R775" s="250">
        <v>2.13</v>
      </c>
      <c r="S775" s="469"/>
      <c r="T775" s="333"/>
      <c r="U775" s="334"/>
      <c r="V775" s="497"/>
      <c r="W775" s="315"/>
    </row>
    <row r="776" spans="1:23" x14ac:dyDescent="0.2">
      <c r="A776" s="580">
        <v>44362</v>
      </c>
      <c r="B776" s="415" t="s">
        <v>56</v>
      </c>
      <c r="C776" s="410">
        <f>(C774-C773)/C774</f>
        <v>2.7248322147650994E-2</v>
      </c>
      <c r="D776" s="336"/>
      <c r="E776" s="336">
        <f>(E774-E773)/E774</f>
        <v>6.5532544378698265E-2</v>
      </c>
      <c r="F776" s="336">
        <f>(F774-F773)/F774</f>
        <v>6.7772045028142588E-2</v>
      </c>
      <c r="G776" s="336">
        <f>(G774-G773)/G774</f>
        <v>0.14777261200338129</v>
      </c>
      <c r="H776" s="336"/>
      <c r="I776" s="336"/>
      <c r="J776" s="338"/>
      <c r="K776" s="433"/>
      <c r="L776" s="336">
        <f>(L774-L773)/L774</f>
        <v>0.14647537647537642</v>
      </c>
      <c r="M776" s="465">
        <f>(M774-M773)/M774</f>
        <v>7.5162601626016304E-2</v>
      </c>
      <c r="N776" s="466">
        <f>(N774-N773)/N774</f>
        <v>6.6488821138211335E-2</v>
      </c>
      <c r="O776" s="444"/>
      <c r="P776" s="340"/>
      <c r="Q776" s="341"/>
      <c r="R776" s="336">
        <f>(R774-R773)/R774</f>
        <v>0.10194915254237287</v>
      </c>
      <c r="S776" s="470"/>
      <c r="T776" s="339"/>
      <c r="U776" s="340"/>
      <c r="V776" s="470"/>
      <c r="W776" s="315"/>
    </row>
    <row r="777" spans="1:23" x14ac:dyDescent="0.2">
      <c r="A777" s="580">
        <v>44362</v>
      </c>
      <c r="B777" s="415" t="s">
        <v>57</v>
      </c>
      <c r="C777" s="410">
        <f>(C774-C773)/C773</f>
        <v>2.8011591003173714E-2</v>
      </c>
      <c r="D777" s="336"/>
      <c r="E777" s="336">
        <f>(E774-E773)/E773</f>
        <v>7.0128225423460561E-2</v>
      </c>
      <c r="F777" s="336">
        <f>(F774-F773)/F773</f>
        <v>7.2699005288023713E-2</v>
      </c>
      <c r="G777" s="336">
        <f>(G774-G773)/G773</f>
        <v>0.1733957557392741</v>
      </c>
      <c r="H777" s="336"/>
      <c r="I777" s="336"/>
      <c r="J777" s="338"/>
      <c r="K777" s="433"/>
      <c r="L777" s="336">
        <f>(L774-L773)/L773</f>
        <v>0.17161236177406042</v>
      </c>
      <c r="M777" s="465">
        <f>(M774-M773)/M773</f>
        <v>8.1271152916355366E-2</v>
      </c>
      <c r="N777" s="466">
        <f>(N774-N773)/N773</f>
        <v>7.122445091582065E-2</v>
      </c>
      <c r="O777" s="444"/>
      <c r="P777" s="340"/>
      <c r="Q777" s="341"/>
      <c r="R777" s="336">
        <f>(R774-R773)/R773</f>
        <v>0.11352269510238745</v>
      </c>
      <c r="S777" s="470"/>
      <c r="T777" s="339"/>
      <c r="U777" s="340"/>
      <c r="V777" s="470"/>
      <c r="W777" s="315"/>
    </row>
    <row r="778" spans="1:23" ht="13.3" thickBot="1" x14ac:dyDescent="0.25">
      <c r="A778" s="580">
        <v>44362</v>
      </c>
      <c r="B778" s="418" t="s">
        <v>58</v>
      </c>
      <c r="C778" s="411">
        <f>C775/C769-1</f>
        <v>5.6179775280897903E-3</v>
      </c>
      <c r="D778" s="353"/>
      <c r="E778" s="353">
        <f>E775/E769-1</f>
        <v>5.3763440860215006E-3</v>
      </c>
      <c r="F778" s="353">
        <f>F775/F769-1</f>
        <v>5.1020408163264808E-3</v>
      </c>
      <c r="G778" s="353">
        <f>G775/G769-1</f>
        <v>4.5871559633026138E-3</v>
      </c>
      <c r="H778" s="353"/>
      <c r="I778" s="353"/>
      <c r="J778" s="355"/>
      <c r="K778" s="434"/>
      <c r="L778" s="353">
        <f>L775/L769-1</f>
        <v>4.4247787610620648E-3</v>
      </c>
      <c r="M778" s="467">
        <f>M775/M769-1</f>
        <v>5.1020408163264808E-3</v>
      </c>
      <c r="N778" s="292">
        <f>N775/N769-1</f>
        <v>5.1020408163264808E-3</v>
      </c>
      <c r="O778" s="445"/>
      <c r="P778" s="357"/>
      <c r="Q778" s="358"/>
      <c r="R778" s="353">
        <f>R775/R769-1</f>
        <v>4.7169811320753041E-3</v>
      </c>
      <c r="S778" s="471"/>
      <c r="T778" s="356"/>
      <c r="U778" s="357"/>
      <c r="V778" s="471"/>
      <c r="W778" s="359"/>
    </row>
    <row r="779" spans="1:23" x14ac:dyDescent="0.2">
      <c r="A779" s="580">
        <v>44371</v>
      </c>
      <c r="B779" s="569" t="s">
        <v>53</v>
      </c>
      <c r="C779" s="570">
        <v>1894.57</v>
      </c>
      <c r="D779" s="522"/>
      <c r="E779" s="257">
        <v>1905.07</v>
      </c>
      <c r="F779" s="257">
        <v>1997.44</v>
      </c>
      <c r="G779" s="257">
        <v>2025.44</v>
      </c>
      <c r="H779" s="522"/>
      <c r="I779" s="522"/>
      <c r="J779" s="522"/>
      <c r="K779" s="571"/>
      <c r="L779" s="257">
        <v>2106.21</v>
      </c>
      <c r="M779" s="256">
        <v>1829.16</v>
      </c>
      <c r="N779" s="572">
        <v>1846.32</v>
      </c>
      <c r="O779" s="442"/>
      <c r="P779" s="290"/>
      <c r="Q779" s="290"/>
      <c r="R779" s="257">
        <v>1916.27</v>
      </c>
      <c r="S779" s="257"/>
      <c r="T779" s="290"/>
      <c r="U779" s="290"/>
      <c r="V779" s="290"/>
      <c r="W779" s="257">
        <v>1312.71</v>
      </c>
    </row>
    <row r="780" spans="1:23" ht="13.3" x14ac:dyDescent="0.2">
      <c r="A780" s="580">
        <v>44371</v>
      </c>
      <c r="B780" s="415" t="s">
        <v>54</v>
      </c>
      <c r="C780" s="409">
        <v>1950</v>
      </c>
      <c r="D780" s="249"/>
      <c r="E780" s="250">
        <v>2041</v>
      </c>
      <c r="F780" s="579">
        <v>2145</v>
      </c>
      <c r="G780" s="250">
        <v>2379</v>
      </c>
      <c r="H780" s="249"/>
      <c r="I780" s="249"/>
      <c r="J780" s="330"/>
      <c r="K780" s="432"/>
      <c r="L780" s="250">
        <v>2470</v>
      </c>
      <c r="M780" s="245">
        <v>1980</v>
      </c>
      <c r="N780" s="520">
        <v>1980</v>
      </c>
      <c r="O780" s="530"/>
      <c r="P780" s="531"/>
      <c r="Q780" s="532"/>
      <c r="R780" s="250">
        <v>2136</v>
      </c>
      <c r="S780" s="496"/>
      <c r="T780" s="330"/>
      <c r="U780" s="334"/>
      <c r="V780" s="469"/>
      <c r="W780" s="315"/>
    </row>
    <row r="781" spans="1:23" x14ac:dyDescent="0.2">
      <c r="A781" s="580">
        <v>44371</v>
      </c>
      <c r="B781" s="415" t="s">
        <v>55</v>
      </c>
      <c r="C781" s="409">
        <v>1.8</v>
      </c>
      <c r="D781" s="249"/>
      <c r="E781" s="250">
        <v>1.88</v>
      </c>
      <c r="F781" s="250">
        <v>1.98</v>
      </c>
      <c r="G781" s="250">
        <v>2.2000000000000002</v>
      </c>
      <c r="H781" s="249"/>
      <c r="I781" s="249"/>
      <c r="J781" s="330"/>
      <c r="K781" s="432"/>
      <c r="L781" s="250">
        <v>2.2799999999999998</v>
      </c>
      <c r="M781" s="463">
        <v>1.98</v>
      </c>
      <c r="N781" s="464">
        <v>1.98</v>
      </c>
      <c r="O781" s="530"/>
      <c r="P781" s="531"/>
      <c r="Q781" s="532"/>
      <c r="R781" s="250">
        <v>2.14</v>
      </c>
      <c r="S781" s="469"/>
      <c r="T781" s="333"/>
      <c r="U781" s="334"/>
      <c r="V781" s="497"/>
      <c r="W781" s="315"/>
    </row>
    <row r="782" spans="1:23" x14ac:dyDescent="0.2">
      <c r="A782" s="580">
        <v>44371</v>
      </c>
      <c r="B782" s="415" t="s">
        <v>56</v>
      </c>
      <c r="C782" s="410">
        <f>(C780-C779)/C780</f>
        <v>2.8425641025641057E-2</v>
      </c>
      <c r="D782" s="336"/>
      <c r="E782" s="336">
        <f>(E780-E779)/E780</f>
        <v>6.659970602645765E-2</v>
      </c>
      <c r="F782" s="336">
        <f>(F780-F779)/F780</f>
        <v>6.8792540792540768E-2</v>
      </c>
      <c r="G782" s="336">
        <f>(G780-G779)/G780</f>
        <v>0.14861706599411514</v>
      </c>
      <c r="H782" s="336"/>
      <c r="I782" s="336"/>
      <c r="J782" s="338"/>
      <c r="K782" s="433"/>
      <c r="L782" s="336">
        <f>(L780-L779)/L780</f>
        <v>0.14728340080971658</v>
      </c>
      <c r="M782" s="465">
        <f>(M780-M779)/M780</f>
        <v>7.6181818181818142E-2</v>
      </c>
      <c r="N782" s="466">
        <f>(N780-N779)/N780</f>
        <v>6.7515151515151542E-2</v>
      </c>
      <c r="O782" s="444"/>
      <c r="P782" s="340"/>
      <c r="Q782" s="341"/>
      <c r="R782" s="336">
        <f>(R780-R779)/R780</f>
        <v>0.10286985018726592</v>
      </c>
      <c r="S782" s="470"/>
      <c r="T782" s="339"/>
      <c r="U782" s="340"/>
      <c r="V782" s="470"/>
      <c r="W782" s="315"/>
    </row>
    <row r="783" spans="1:23" x14ac:dyDescent="0.2">
      <c r="A783" s="580">
        <v>44371</v>
      </c>
      <c r="B783" s="415" t="s">
        <v>57</v>
      </c>
      <c r="C783" s="410">
        <f>(C780-C779)/C779</f>
        <v>2.9257298489894838E-2</v>
      </c>
      <c r="D783" s="336"/>
      <c r="E783" s="336">
        <f>(E780-E779)/E779</f>
        <v>7.1351708861091753E-2</v>
      </c>
      <c r="F783" s="336">
        <f>(F780-F779)/F779</f>
        <v>7.3874559436078152E-2</v>
      </c>
      <c r="G783" s="336">
        <f>(G780-G779)/G779</f>
        <v>0.17455960186428623</v>
      </c>
      <c r="H783" s="336"/>
      <c r="I783" s="336"/>
      <c r="J783" s="338"/>
      <c r="K783" s="433"/>
      <c r="L783" s="336">
        <f>(L780-L779)/L779</f>
        <v>0.17272256802503072</v>
      </c>
      <c r="M783" s="465">
        <f>(M780-M779)/M779</f>
        <v>8.2464081873646872E-2</v>
      </c>
      <c r="N783" s="466">
        <f>(N780-N779)/N779</f>
        <v>7.2403483686468248E-2</v>
      </c>
      <c r="O783" s="444"/>
      <c r="P783" s="340"/>
      <c r="Q783" s="341"/>
      <c r="R783" s="336">
        <f>(R780-R779)/R779</f>
        <v>0.11466546989724831</v>
      </c>
      <c r="S783" s="470"/>
      <c r="T783" s="339"/>
      <c r="U783" s="340"/>
      <c r="V783" s="470"/>
      <c r="W783" s="315"/>
    </row>
    <row r="784" spans="1:23" ht="13.3" thickBot="1" x14ac:dyDescent="0.25">
      <c r="A784" s="580">
        <v>44371</v>
      </c>
      <c r="B784" s="418" t="s">
        <v>58</v>
      </c>
      <c r="C784" s="411">
        <f>C781/C775-1</f>
        <v>5.5865921787709993E-3</v>
      </c>
      <c r="D784" s="353"/>
      <c r="E784" s="353">
        <f>E781/E775-1</f>
        <v>5.3475935828874999E-3</v>
      </c>
      <c r="F784" s="353">
        <f>F781/F775-1</f>
        <v>5.0761421319795996E-3</v>
      </c>
      <c r="G784" s="353">
        <f>G781/G775-1</f>
        <v>4.5662100456622667E-3</v>
      </c>
      <c r="H784" s="353"/>
      <c r="I784" s="353"/>
      <c r="J784" s="355"/>
      <c r="K784" s="434"/>
      <c r="L784" s="353">
        <f>L781/L775-1</f>
        <v>4.405286343612147E-3</v>
      </c>
      <c r="M784" s="467">
        <f>M781/M775-1</f>
        <v>5.0761421319795996E-3</v>
      </c>
      <c r="N784" s="292">
        <f>N781/N775-1</f>
        <v>5.0761421319795996E-3</v>
      </c>
      <c r="O784" s="445"/>
      <c r="P784" s="357"/>
      <c r="Q784" s="358"/>
      <c r="R784" s="353">
        <f>R781/R775-1</f>
        <v>4.6948356807512415E-3</v>
      </c>
      <c r="S784" s="471"/>
      <c r="T784" s="356"/>
      <c r="U784" s="357"/>
      <c r="V784" s="471"/>
      <c r="W784" s="359"/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10" workbookViewId="0">
      <selection activeCell="H62" sqref="H62"/>
    </sheetView>
  </sheetViews>
  <sheetFormatPr defaultRowHeight="12.65" x14ac:dyDescent="0.2"/>
  <cols>
    <col min="1" max="1" width="9.88671875" customWidth="1"/>
  </cols>
  <sheetData>
    <row r="1" spans="1:6" ht="27.2" thickBot="1" x14ac:dyDescent="0.3">
      <c r="A1" s="479" t="s">
        <v>59</v>
      </c>
      <c r="B1" s="482" t="s">
        <v>45</v>
      </c>
      <c r="C1" s="482" t="s">
        <v>6</v>
      </c>
      <c r="D1" s="494" t="s">
        <v>61</v>
      </c>
      <c r="E1" s="495" t="s">
        <v>62</v>
      </c>
      <c r="F1">
        <v>396</v>
      </c>
    </row>
    <row r="2" spans="1:6" ht="13.3" thickBot="1" x14ac:dyDescent="0.25">
      <c r="A2" s="510">
        <v>43139</v>
      </c>
      <c r="B2" s="336">
        <v>9.0213252094440241E-2</v>
      </c>
      <c r="C2" s="336">
        <v>8.0244428468727452E-2</v>
      </c>
      <c r="D2" s="465">
        <v>9.8792048929663631E-2</v>
      </c>
      <c r="E2" s="466">
        <v>9.0091743119265988E-2</v>
      </c>
    </row>
    <row r="3" spans="1:6" ht="13.3" thickBot="1" x14ac:dyDescent="0.25">
      <c r="A3" s="510">
        <v>43170</v>
      </c>
      <c r="B3" s="336">
        <v>9.186274509803917E-2</v>
      </c>
      <c r="C3" s="336">
        <v>8.177350427350423E-2</v>
      </c>
      <c r="D3" s="465">
        <v>0.1018393393393394</v>
      </c>
      <c r="E3" s="466">
        <v>9.31681681681681E-2</v>
      </c>
    </row>
    <row r="4" spans="1:6" ht="13.3" thickBot="1" x14ac:dyDescent="0.25">
      <c r="A4" s="510">
        <v>43174</v>
      </c>
      <c r="B4" s="336">
        <v>8.4592760180995527E-2</v>
      </c>
      <c r="C4" s="336">
        <v>8.3429781227946379E-2</v>
      </c>
      <c r="D4" s="465">
        <v>0.10332589285714278</v>
      </c>
      <c r="E4" s="466">
        <v>9.4665178571428588E-2</v>
      </c>
    </row>
    <row r="5" spans="1:6" ht="13.3" thickBot="1" x14ac:dyDescent="0.25">
      <c r="A5" s="510">
        <v>43183</v>
      </c>
      <c r="B5" s="336">
        <v>8.6280806572068686E-2</v>
      </c>
      <c r="C5" s="336">
        <v>8.4979020979020964E-2</v>
      </c>
      <c r="D5" s="465">
        <v>9.6793154761904698E-2</v>
      </c>
      <c r="E5" s="466">
        <v>8.8065476190476111E-2</v>
      </c>
    </row>
    <row r="6" spans="1:6" ht="13.3" thickBot="1" x14ac:dyDescent="0.25">
      <c r="A6" s="510">
        <v>43189</v>
      </c>
      <c r="B6" s="336">
        <v>8.5717455621301855E-2</v>
      </c>
      <c r="C6" s="336">
        <v>8.4421344421344371E-2</v>
      </c>
      <c r="D6" s="465">
        <v>9.6098820058997003E-2</v>
      </c>
      <c r="E6" s="466">
        <v>8.7382005899705018E-2</v>
      </c>
    </row>
    <row r="7" spans="1:6" ht="13.3" thickBot="1" x14ac:dyDescent="0.25">
      <c r="A7" s="510">
        <v>43193</v>
      </c>
      <c r="B7" s="336">
        <v>8.7362637362637358E-2</v>
      </c>
      <c r="C7" s="336">
        <v>8.5934065934065856E-2</v>
      </c>
      <c r="D7" s="465">
        <v>9.7609649122806993E-2</v>
      </c>
      <c r="E7" s="466">
        <v>8.8903508771929748E-2</v>
      </c>
    </row>
    <row r="8" spans="1:6" ht="13.3" thickBot="1" x14ac:dyDescent="0.25">
      <c r="A8" s="510">
        <v>43204</v>
      </c>
      <c r="B8" s="336">
        <v>8.8976777939042018E-2</v>
      </c>
      <c r="C8" s="336">
        <v>7.9271978021978065E-2</v>
      </c>
      <c r="D8" s="465">
        <v>9.6098820058997003E-2</v>
      </c>
      <c r="E8" s="466">
        <v>8.7382005899705018E-2</v>
      </c>
    </row>
    <row r="9" spans="1:6" ht="13.3" thickBot="1" x14ac:dyDescent="0.25">
      <c r="A9" s="510">
        <v>43217</v>
      </c>
      <c r="B9" s="336">
        <v>8.8976777939042018E-2</v>
      </c>
      <c r="C9" s="336">
        <v>7.9271978021978065E-2</v>
      </c>
      <c r="D9" s="465">
        <v>8.8028273809523772E-2</v>
      </c>
      <c r="E9" s="466">
        <v>7.9233630952380965E-2</v>
      </c>
    </row>
    <row r="10" spans="1:6" ht="13.3" thickBot="1" x14ac:dyDescent="0.25">
      <c r="A10" s="510">
        <v>43232</v>
      </c>
      <c r="B10" s="336">
        <v>9.7491013659237888E-2</v>
      </c>
      <c r="C10" s="336">
        <v>8.0816882232811457E-2</v>
      </c>
      <c r="D10" s="465">
        <v>8.9572271386430702E-2</v>
      </c>
      <c r="E10" s="466">
        <v>8.0789085545722686E-2</v>
      </c>
    </row>
    <row r="11" spans="1:6" ht="13.3" thickBot="1" x14ac:dyDescent="0.25">
      <c r="A11" s="510">
        <v>43235</v>
      </c>
      <c r="B11" s="336">
        <v>9.6290438533429223E-2</v>
      </c>
      <c r="C11" s="336">
        <v>8.233468286099864E-2</v>
      </c>
      <c r="D11" s="465">
        <v>9.1089181286549636E-2</v>
      </c>
      <c r="E11" s="466">
        <v>8.2317251461988233E-2</v>
      </c>
    </row>
    <row r="12" spans="1:6" ht="13.3" thickBot="1" x14ac:dyDescent="0.25">
      <c r="A12" s="510">
        <v>43324</v>
      </c>
      <c r="B12" s="336">
        <v>8.5249287749287792E-2</v>
      </c>
      <c r="C12" s="336">
        <v>8.3826086956521703E-2</v>
      </c>
      <c r="D12" s="465">
        <v>9.2579710144927524E-2</v>
      </c>
      <c r="E12" s="466">
        <v>8.3818840579710202E-2</v>
      </c>
    </row>
    <row r="13" spans="1:6" x14ac:dyDescent="0.2">
      <c r="A13" s="511">
        <v>43330</v>
      </c>
      <c r="B13" s="336">
        <v>8.5257586450246961E-2</v>
      </c>
      <c r="C13" s="336">
        <v>8.3832891246684402E-2</v>
      </c>
      <c r="D13" s="465">
        <v>9.2557471264367752E-2</v>
      </c>
      <c r="E13" s="466">
        <v>8.3793103448275938E-2</v>
      </c>
    </row>
    <row r="14" spans="1:6" x14ac:dyDescent="0.2">
      <c r="A14" s="512">
        <v>43338</v>
      </c>
      <c r="B14" s="336">
        <v>8.5251748251748305E-2</v>
      </c>
      <c r="C14" s="336">
        <v>8.3833004602235361E-2</v>
      </c>
      <c r="D14" s="465">
        <v>9.2556980056980084E-2</v>
      </c>
      <c r="E14" s="466">
        <v>8.3796296296296355E-2</v>
      </c>
    </row>
    <row r="15" spans="1:6" x14ac:dyDescent="0.2">
      <c r="A15" s="512">
        <v>43345</v>
      </c>
      <c r="B15" s="336">
        <v>8.5232155232155243E-2</v>
      </c>
      <c r="C15" s="336">
        <v>8.2901960784313666E-2</v>
      </c>
      <c r="D15" s="465">
        <v>9.1444759206798787E-2</v>
      </c>
      <c r="E15" s="466">
        <v>8.2677053824362606E-2</v>
      </c>
    </row>
    <row r="16" spans="1:6" x14ac:dyDescent="0.2">
      <c r="A16" s="512">
        <v>43352</v>
      </c>
      <c r="B16" s="336">
        <v>8.6744505494505464E-2</v>
      </c>
      <c r="C16" s="336">
        <v>7.8950456323337609E-2</v>
      </c>
      <c r="D16" s="465">
        <v>8.7740112994350292E-2</v>
      </c>
      <c r="E16" s="466">
        <v>7.8933615819209033E-2</v>
      </c>
    </row>
    <row r="17" spans="1:5" x14ac:dyDescent="0.2">
      <c r="A17" s="512">
        <v>43359</v>
      </c>
      <c r="B17" s="336">
        <v>8.8230088495575149E-2</v>
      </c>
      <c r="C17" s="336">
        <v>8.0400775694893414E-2</v>
      </c>
      <c r="D17" s="465">
        <v>8.9187675070027936E-2</v>
      </c>
      <c r="E17" s="466">
        <v>8.0392156862745062E-2</v>
      </c>
    </row>
    <row r="18" spans="1:5" x14ac:dyDescent="0.2">
      <c r="A18" s="512">
        <v>43366</v>
      </c>
      <c r="B18" s="336">
        <v>8.9689608636977114E-2</v>
      </c>
      <c r="C18" s="336">
        <v>8.182692307692313E-2</v>
      </c>
      <c r="D18" s="465">
        <v>9.0611111111111128E-2</v>
      </c>
      <c r="E18" s="466">
        <v>8.1826388888888837E-2</v>
      </c>
    </row>
    <row r="19" spans="1:5" x14ac:dyDescent="0.2">
      <c r="A19" s="512">
        <v>43373</v>
      </c>
      <c r="B19" s="336">
        <v>8.3151147098515538E-2</v>
      </c>
      <c r="C19" s="336">
        <v>8.3229497774952366E-2</v>
      </c>
      <c r="D19" s="465">
        <v>9.2011019283746498E-2</v>
      </c>
      <c r="E19" s="466">
        <v>8.3236914600550896E-2</v>
      </c>
    </row>
    <row r="20" spans="1:5" x14ac:dyDescent="0.2">
      <c r="A20" s="512">
        <v>43380</v>
      </c>
      <c r="B20" s="336">
        <v>8.4642140468227406E-2</v>
      </c>
      <c r="C20" s="336">
        <v>8.5037831021437513E-2</v>
      </c>
      <c r="D20" s="465">
        <v>9.3387978142076528E-2</v>
      </c>
      <c r="E20" s="466">
        <v>8.4624316939890781E-2</v>
      </c>
    </row>
    <row r="21" spans="1:5" x14ac:dyDescent="0.2">
      <c r="A21" s="512">
        <v>43387</v>
      </c>
      <c r="B21" s="336">
        <v>8.6107427055702859E-2</v>
      </c>
      <c r="C21" s="336">
        <v>7.8474148802017682E-2</v>
      </c>
      <c r="D21" s="465">
        <v>8.7322404371584644E-2</v>
      </c>
      <c r="E21" s="466">
        <v>7.8497267759562894E-2</v>
      </c>
    </row>
    <row r="22" spans="1:5" x14ac:dyDescent="0.2">
      <c r="A22" s="512">
        <v>43394</v>
      </c>
      <c r="B22" s="336">
        <v>8.6107427055702859E-2</v>
      </c>
      <c r="C22" s="336">
        <v>7.9881175734834289E-2</v>
      </c>
      <c r="D22" s="465">
        <v>8.8726287262872655E-2</v>
      </c>
      <c r="E22" s="466">
        <v>7.9911924119241223E-2</v>
      </c>
    </row>
    <row r="23" spans="1:5" x14ac:dyDescent="0.2">
      <c r="A23" s="512">
        <v>43401</v>
      </c>
      <c r="B23" s="336">
        <v>8.7547666009204522E-2</v>
      </c>
      <c r="C23" s="336">
        <v>8.1265508684863527E-2</v>
      </c>
      <c r="D23" s="465">
        <v>9.0107526881720384E-2</v>
      </c>
      <c r="E23" s="466">
        <v>8.1303763440860224E-2</v>
      </c>
    </row>
    <row r="24" spans="1:5" x14ac:dyDescent="0.2">
      <c r="A24" s="512">
        <v>43415</v>
      </c>
      <c r="B24" s="336">
        <v>8.1176857330703497E-2</v>
      </c>
      <c r="C24" s="336">
        <v>8.2627692307692291E-2</v>
      </c>
      <c r="D24" s="465">
        <v>8.4139784946236584E-2</v>
      </c>
      <c r="E24" s="466">
        <v>7.5275537634408599E-2</v>
      </c>
    </row>
    <row r="25" spans="1:5" x14ac:dyDescent="0.2">
      <c r="A25" s="512">
        <v>43422</v>
      </c>
      <c r="B25" s="336">
        <v>8.2646675358539742E-2</v>
      </c>
      <c r="C25" s="336">
        <v>8.3968253968253942E-2</v>
      </c>
      <c r="D25" s="465">
        <v>9.2804232804232764E-2</v>
      </c>
      <c r="E25" s="466">
        <v>8.4021164021163997E-2</v>
      </c>
    </row>
    <row r="26" spans="1:5" x14ac:dyDescent="0.2">
      <c r="A26" s="512">
        <v>43429</v>
      </c>
      <c r="B26" s="336">
        <v>8.2646675358539742E-2</v>
      </c>
      <c r="C26" s="336">
        <v>8.5287704421562652E-2</v>
      </c>
      <c r="D26" s="465">
        <v>9.4120734908136522E-2</v>
      </c>
      <c r="E26" s="466">
        <v>8.5347769028871354E-2</v>
      </c>
    </row>
    <row r="27" spans="1:5" x14ac:dyDescent="0.2">
      <c r="A27" s="512">
        <v>43443</v>
      </c>
      <c r="B27" s="336">
        <v>8.409179056237874E-2</v>
      </c>
      <c r="C27" s="336">
        <v>7.9394306480920607E-2</v>
      </c>
      <c r="D27" s="465">
        <v>8.8293963254593141E-2</v>
      </c>
      <c r="E27" s="466">
        <v>7.9461942257217782E-2</v>
      </c>
    </row>
    <row r="28" spans="1:5" x14ac:dyDescent="0.2">
      <c r="A28" s="512">
        <v>43450</v>
      </c>
      <c r="B28" s="336">
        <v>8.409179056237874E-2</v>
      </c>
      <c r="C28" s="336">
        <v>8.0739182692307634E-2</v>
      </c>
      <c r="D28" s="465">
        <v>8.9635416666666703E-2</v>
      </c>
      <c r="E28" s="466">
        <v>8.08138020833334E-2</v>
      </c>
    </row>
    <row r="29" spans="1:5" x14ac:dyDescent="0.2">
      <c r="A29" s="512">
        <v>43468</v>
      </c>
      <c r="B29" s="336">
        <v>8.409179056237874E-2</v>
      </c>
      <c r="C29" s="336">
        <v>8.0739182692307634E-2</v>
      </c>
      <c r="D29" s="465">
        <v>8.9635416666666703E-2</v>
      </c>
      <c r="E29" s="466">
        <v>8.08138020833334E-2</v>
      </c>
    </row>
    <row r="30" spans="1:5" x14ac:dyDescent="0.2">
      <c r="A30" s="512">
        <v>43492</v>
      </c>
      <c r="B30" s="336">
        <v>8.409179056237874E-2</v>
      </c>
      <c r="C30" s="336">
        <v>8.0739182692307634E-2</v>
      </c>
      <c r="D30" s="465">
        <v>8.9635416666666703E-2</v>
      </c>
      <c r="E30" s="466">
        <v>8.08138020833334E-2</v>
      </c>
    </row>
    <row r="31" spans="1:5" x14ac:dyDescent="0.2">
      <c r="A31" s="512">
        <v>43517</v>
      </c>
      <c r="B31" s="336">
        <v>8.5512820512820567E-2</v>
      </c>
      <c r="C31" s="336">
        <v>8.2063208109719676E-2</v>
      </c>
      <c r="D31" s="465">
        <v>9.0956072351421155E-2</v>
      </c>
      <c r="E31" s="466">
        <v>8.2144702842377321E-2</v>
      </c>
    </row>
    <row r="32" spans="1:5" x14ac:dyDescent="0.2">
      <c r="A32" s="512">
        <v>43527</v>
      </c>
      <c r="B32" s="336">
        <v>8.6910362364907845E-2</v>
      </c>
      <c r="C32" s="336">
        <v>8.3366863905325508E-2</v>
      </c>
      <c r="D32" s="465">
        <v>9.2256410256410307E-2</v>
      </c>
      <c r="E32" s="466">
        <v>8.3455128205128237E-2</v>
      </c>
    </row>
    <row r="33" spans="1:5" x14ac:dyDescent="0.2">
      <c r="A33" s="512">
        <v>43534</v>
      </c>
      <c r="B33" s="336">
        <v>8.8284993694829755E-2</v>
      </c>
      <c r="C33" s="336">
        <v>8.4650616559013556E-2</v>
      </c>
      <c r="D33" s="465">
        <v>9.3536895674300236E-2</v>
      </c>
      <c r="E33" s="466">
        <v>8.4745547073791366E-2</v>
      </c>
    </row>
    <row r="34" spans="1:5" x14ac:dyDescent="0.2">
      <c r="A34" s="512">
        <v>43541</v>
      </c>
      <c r="B34" s="336">
        <v>8.2175283732660739E-2</v>
      </c>
      <c r="C34" s="336">
        <v>8.4592074592074643E-2</v>
      </c>
      <c r="D34" s="465">
        <v>9.3459595959595937E-2</v>
      </c>
      <c r="E34" s="466">
        <v>8.4659090909090851E-2</v>
      </c>
    </row>
    <row r="35" spans="1:5" x14ac:dyDescent="0.2">
      <c r="A35" s="512">
        <v>43544</v>
      </c>
      <c r="B35" s="336">
        <v>5.695460277427486E-2</v>
      </c>
      <c r="C35" s="336">
        <v>6.1282051282051331E-2</v>
      </c>
      <c r="D35" s="465">
        <v>6.8207070707070688E-2</v>
      </c>
      <c r="E35" s="466">
        <v>5.9406565656565602E-2</v>
      </c>
    </row>
    <row r="36" spans="1:5" x14ac:dyDescent="0.2">
      <c r="A36" s="512">
        <v>43548</v>
      </c>
      <c r="B36" s="336">
        <v>5.8392745465916128E-2</v>
      </c>
      <c r="C36" s="336">
        <v>5.5454545454545499E-2</v>
      </c>
      <c r="D36" s="465">
        <v>6.2430555555555621E-2</v>
      </c>
      <c r="E36" s="466">
        <v>5.3579545454545387E-2</v>
      </c>
    </row>
    <row r="37" spans="1:5" x14ac:dyDescent="0.2">
      <c r="A37" s="512">
        <v>43555</v>
      </c>
      <c r="B37" s="336">
        <v>5.980769230769236E-2</v>
      </c>
      <c r="C37" s="336">
        <v>5.6772700983227349E-2</v>
      </c>
      <c r="D37" s="465">
        <v>6.3746867167919802E-2</v>
      </c>
      <c r="E37" s="466">
        <v>5.4912280701754447E-2</v>
      </c>
    </row>
    <row r="38" spans="1:5" x14ac:dyDescent="0.2">
      <c r="A38" s="512">
        <v>43562</v>
      </c>
      <c r="B38" s="336">
        <v>6.1200000000000025E-2</v>
      </c>
      <c r="C38" s="336">
        <v>5.8071182548794537E-2</v>
      </c>
      <c r="D38" s="465">
        <v>6.504353233830841E-2</v>
      </c>
      <c r="E38" s="466">
        <v>5.6225124378109503E-2</v>
      </c>
    </row>
    <row r="39" spans="1:5" x14ac:dyDescent="0.2">
      <c r="A39" s="512">
        <v>43569</v>
      </c>
      <c r="B39" s="336">
        <v>6.2570207570207578E-2</v>
      </c>
      <c r="C39" s="336">
        <v>5.93504273504274E-2</v>
      </c>
      <c r="D39" s="465">
        <v>6.6320987654321026E-2</v>
      </c>
      <c r="E39" s="466">
        <v>5.7518518518518559E-2</v>
      </c>
    </row>
    <row r="40" spans="1:5" x14ac:dyDescent="0.2">
      <c r="A40" s="512">
        <v>43576</v>
      </c>
      <c r="B40" s="336">
        <v>6.3918837068443354E-2</v>
      </c>
      <c r="C40" s="336">
        <v>6.0610859728506834E-2</v>
      </c>
      <c r="D40" s="465">
        <v>6.7579656862745072E-2</v>
      </c>
      <c r="E40" s="466">
        <v>5.8792892156862772E-2</v>
      </c>
    </row>
    <row r="41" spans="1:5" x14ac:dyDescent="0.2">
      <c r="A41" s="512">
        <v>43583</v>
      </c>
      <c r="B41" s="336">
        <v>5.7886129618413044E-2</v>
      </c>
      <c r="C41" s="336">
        <v>6.1852891633913575E-2</v>
      </c>
      <c r="D41" s="465">
        <v>6.881995133819957E-2</v>
      </c>
      <c r="E41" s="466">
        <v>6.0048661800486632E-2</v>
      </c>
    </row>
    <row r="42" spans="1:5" x14ac:dyDescent="0.2">
      <c r="A42" s="512">
        <v>43590</v>
      </c>
      <c r="B42" s="336">
        <v>5.8999999999999997E-2</v>
      </c>
      <c r="C42" s="336">
        <v>5.6238068500842273E-2</v>
      </c>
      <c r="D42" s="465">
        <v>6.3254257907542591E-2</v>
      </c>
      <c r="E42" s="466">
        <v>5.4434306569343074E-2</v>
      </c>
    </row>
    <row r="43" spans="1:5" x14ac:dyDescent="0.2">
      <c r="A43" s="512">
        <v>43597</v>
      </c>
      <c r="B43" s="336">
        <v>6.06141920095409E-2</v>
      </c>
      <c r="C43" s="336">
        <v>5.7502787068004504E-2</v>
      </c>
      <c r="D43" s="465">
        <v>6.4516908212560342E-2</v>
      </c>
      <c r="E43" s="466">
        <v>5.5712560386473424E-2</v>
      </c>
    </row>
    <row r="44" spans="1:5" x14ac:dyDescent="0.2">
      <c r="A44" s="512">
        <v>43604</v>
      </c>
      <c r="B44" s="336">
        <v>6.1946745562130208E-2</v>
      </c>
      <c r="C44" s="336">
        <v>5.8749308245711167E-2</v>
      </c>
      <c r="D44" s="465">
        <v>6.5761390887290203E-2</v>
      </c>
      <c r="E44" s="466">
        <v>5.6972422062350106E-2</v>
      </c>
    </row>
    <row r="45" spans="1:5" x14ac:dyDescent="0.2">
      <c r="A45" s="512">
        <v>43614</v>
      </c>
      <c r="B45" s="336">
        <v>6.3258954785672353E-2</v>
      </c>
      <c r="C45" s="336">
        <v>5.9978021978022024E-2</v>
      </c>
      <c r="D45" s="465">
        <v>6.6988095238095222E-2</v>
      </c>
      <c r="E45" s="466">
        <v>5.8214285714285691E-2</v>
      </c>
    </row>
    <row r="46" spans="1:5" x14ac:dyDescent="0.2">
      <c r="A46" s="512">
        <v>43618</v>
      </c>
      <c r="B46" s="336">
        <v>6.4551282051282036E-2</v>
      </c>
      <c r="C46" s="336">
        <v>6.1189307146754003E-2</v>
      </c>
      <c r="D46" s="465">
        <v>6.8197399527186814E-2</v>
      </c>
      <c r="E46" s="466">
        <v>5.9438534278959773E-2</v>
      </c>
    </row>
    <row r="47" spans="1:5" x14ac:dyDescent="0.2">
      <c r="A47" s="512">
        <v>43625</v>
      </c>
      <c r="B47" s="336">
        <v>6.4551282051282036E-2</v>
      </c>
      <c r="C47" s="336">
        <v>5.9978021978022024E-2</v>
      </c>
      <c r="D47" s="465">
        <v>6.6988095238095222E-2</v>
      </c>
      <c r="E47" s="466">
        <v>5.8214285714285691E-2</v>
      </c>
    </row>
    <row r="48" spans="1:5" x14ac:dyDescent="0.2">
      <c r="A48" s="513">
        <v>43632</v>
      </c>
      <c r="B48" s="336">
        <v>6.3258954785672353E-2</v>
      </c>
      <c r="C48" s="336">
        <v>5.8749308245711167E-2</v>
      </c>
      <c r="D48" s="465">
        <v>6.5761390887290203E-2</v>
      </c>
      <c r="E48" s="466">
        <v>5.6972422062350106E-2</v>
      </c>
    </row>
    <row r="49" spans="1:5" x14ac:dyDescent="0.2">
      <c r="A49" s="512">
        <v>43667</v>
      </c>
      <c r="B49" s="336">
        <v>6.1946745562130208E-2</v>
      </c>
      <c r="C49" s="336">
        <v>5.7502787068004504E-2</v>
      </c>
      <c r="D49" s="465">
        <v>6.4516908212560342E-2</v>
      </c>
      <c r="E49" s="466">
        <v>5.5712560386473424E-2</v>
      </c>
    </row>
    <row r="50" spans="1:5" x14ac:dyDescent="0.2">
      <c r="A50" s="512">
        <v>43688</v>
      </c>
      <c r="B50" s="336">
        <v>6.06141920095409E-2</v>
      </c>
      <c r="C50" s="336">
        <v>5.6238068500842273E-2</v>
      </c>
      <c r="D50" s="465">
        <v>6.3254257907542591E-2</v>
      </c>
      <c r="E50" s="466">
        <v>5.4434306569343074E-2</v>
      </c>
    </row>
    <row r="51" spans="1:5" x14ac:dyDescent="0.2">
      <c r="A51" s="512">
        <v>43723</v>
      </c>
      <c r="B51" s="336">
        <v>6.1946745562130208E-2</v>
      </c>
      <c r="C51" s="336">
        <v>5.7502787068004504E-2</v>
      </c>
      <c r="D51" s="465">
        <v>6.4516908212560342E-2</v>
      </c>
      <c r="E51" s="466">
        <v>5.5712560386473424E-2</v>
      </c>
    </row>
    <row r="52" spans="1:5" x14ac:dyDescent="0.2">
      <c r="A52" s="512">
        <v>43730</v>
      </c>
      <c r="B52" s="336">
        <v>6.3258954785672353E-2</v>
      </c>
      <c r="C52" s="336">
        <v>5.8749308245711167E-2</v>
      </c>
      <c r="D52" s="465">
        <v>6.5761390887290203E-2</v>
      </c>
      <c r="E52" s="466">
        <v>5.6972422062350106E-2</v>
      </c>
    </row>
    <row r="53" spans="1:5" x14ac:dyDescent="0.2">
      <c r="A53" s="512">
        <v>43737</v>
      </c>
      <c r="B53" s="336">
        <v>6.4551282051282036E-2</v>
      </c>
      <c r="C53" s="336">
        <v>5.9978021978022024E-2</v>
      </c>
      <c r="D53" s="465">
        <v>6.6988095238095222E-2</v>
      </c>
      <c r="E53" s="466">
        <v>5.8214285714285691E-2</v>
      </c>
    </row>
    <row r="54" spans="1:5" x14ac:dyDescent="0.2">
      <c r="A54" s="512">
        <v>43793</v>
      </c>
      <c r="B54" s="336">
        <v>5.8747086247086217E-2</v>
      </c>
      <c r="C54" s="336">
        <v>5.4483516483516528E-2</v>
      </c>
      <c r="D54" s="465">
        <v>6.1541666666666724E-2</v>
      </c>
      <c r="E54" s="466">
        <v>5.2720238095238056E-2</v>
      </c>
    </row>
    <row r="55" spans="1:5" x14ac:dyDescent="0.2">
      <c r="A55" s="512">
        <v>43800</v>
      </c>
      <c r="B55" s="336">
        <v>6.0063620589936327E-2</v>
      </c>
      <c r="C55" s="336">
        <v>6.2383531960996795E-2</v>
      </c>
      <c r="D55" s="465">
        <v>6.9389671361502356E-2</v>
      </c>
      <c r="E55" s="466">
        <v>6.0645539906103239E-2</v>
      </c>
    </row>
    <row r="56" spans="1:5" x14ac:dyDescent="0.2">
      <c r="A56" s="512">
        <v>43807</v>
      </c>
      <c r="B56" s="336">
        <v>6.1360505166475371E-2</v>
      </c>
      <c r="C56" s="336">
        <v>5.6966413867822363E-2</v>
      </c>
      <c r="D56" s="465">
        <v>6.4019953051643139E-2</v>
      </c>
      <c r="E56" s="466">
        <v>5.5228873239436559E-2</v>
      </c>
    </row>
    <row r="57" spans="1:5" x14ac:dyDescent="0.2">
      <c r="A57" s="512">
        <v>43814</v>
      </c>
      <c r="B57" s="336">
        <v>6.2638176638176668E-2</v>
      </c>
      <c r="C57" s="336">
        <v>5.8181818181818223E-2</v>
      </c>
      <c r="D57" s="465">
        <v>6.5233100233100264E-2</v>
      </c>
      <c r="E57" s="466">
        <v>5.6456876456876519E-2</v>
      </c>
    </row>
    <row r="58" spans="1:5" x14ac:dyDescent="0.2">
      <c r="A58" s="512">
        <v>43821</v>
      </c>
      <c r="B58" s="336">
        <v>6.3897058823529432E-2</v>
      </c>
      <c r="C58" s="336">
        <v>5.9380341880341928E-2</v>
      </c>
      <c r="D58" s="465">
        <v>6.6429398148148133E-2</v>
      </c>
      <c r="E58" s="466">
        <v>5.7667824074074128E-2</v>
      </c>
    </row>
    <row r="59" spans="1:5" x14ac:dyDescent="0.2">
      <c r="A59" s="512">
        <v>43828</v>
      </c>
      <c r="B59" s="336">
        <v>6.513756316676024E-2</v>
      </c>
      <c r="C59" s="336">
        <v>6.0562334217506675E-2</v>
      </c>
      <c r="D59" s="465">
        <v>6.7609195402298913E-2</v>
      </c>
      <c r="E59" s="466">
        <v>5.8862068965517281E-2</v>
      </c>
    </row>
    <row r="60" spans="1:5" x14ac:dyDescent="0.2">
      <c r="A60" s="512">
        <v>43835</v>
      </c>
      <c r="B60" s="336">
        <v>5.9545199326221196E-2</v>
      </c>
      <c r="C60" s="336">
        <v>6.1728134878819854E-2</v>
      </c>
      <c r="D60" s="465">
        <v>6.8772831050228314E-2</v>
      </c>
      <c r="E60" s="466">
        <v>6.0039954337899576E-2</v>
      </c>
    </row>
    <row r="61" spans="1:5" x14ac:dyDescent="0.2">
      <c r="A61" s="512">
        <v>43842</v>
      </c>
      <c r="B61" s="336">
        <v>6.0808249721293152E-2</v>
      </c>
      <c r="C61" s="336">
        <v>6.2878074306645784E-2</v>
      </c>
      <c r="D61" s="465">
        <v>6.9920634920634869E-2</v>
      </c>
      <c r="E61" s="466">
        <v>6.1201814058956937E-2</v>
      </c>
    </row>
    <row r="62" spans="1:5" x14ac:dyDescent="0.2">
      <c r="A62" s="512">
        <v>43849</v>
      </c>
      <c r="B62" s="336">
        <v>6.2053126729385781E-2</v>
      </c>
      <c r="C62" s="336">
        <v>5.7645211930926261E-2</v>
      </c>
      <c r="D62" s="465">
        <v>6.4733560090702982E-2</v>
      </c>
      <c r="E62" s="466">
        <v>5.5969387755102053E-2</v>
      </c>
    </row>
    <row r="63" spans="1:5" x14ac:dyDescent="0.2">
      <c r="A63" s="512">
        <v>43856</v>
      </c>
      <c r="B63" s="336">
        <v>6.3280219780219818E-2</v>
      </c>
      <c r="C63" s="336">
        <v>5.8814968814968858E-2</v>
      </c>
      <c r="D63" s="465">
        <v>6.590090090090088E-2</v>
      </c>
      <c r="E63" s="466">
        <v>5.71509009009009E-2</v>
      </c>
    </row>
    <row r="64" spans="1:5" x14ac:dyDescent="0.2">
      <c r="A64" s="512">
        <v>43863</v>
      </c>
      <c r="B64" s="336">
        <v>6.4489907255864717E-2</v>
      </c>
      <c r="C64" s="336">
        <v>5.996902426432632E-2</v>
      </c>
      <c r="D64" s="465">
        <v>6.7052572706935182E-2</v>
      </c>
      <c r="E64" s="466">
        <v>5.8316554809843393E-2</v>
      </c>
    </row>
    <row r="65" spans="1:5" x14ac:dyDescent="0.2">
      <c r="A65" s="512">
        <v>43870</v>
      </c>
      <c r="B65" s="336">
        <v>6.5682556879739978E-2</v>
      </c>
      <c r="C65" s="336">
        <v>6.1107692307692349E-2</v>
      </c>
      <c r="D65" s="465">
        <v>6.8188888888888896E-2</v>
      </c>
      <c r="E65" s="466">
        <v>5.9466666666666647E-2</v>
      </c>
    </row>
    <row r="66" spans="1:5" x14ac:dyDescent="0.2">
      <c r="A66" s="512">
        <v>43877</v>
      </c>
      <c r="B66" s="336">
        <v>6.0287107258938225E-2</v>
      </c>
      <c r="C66" s="336">
        <v>6.2231278655119758E-2</v>
      </c>
      <c r="D66" s="465">
        <v>6.9310154525386275E-2</v>
      </c>
      <c r="E66" s="466">
        <v>6.0601545253863104E-2</v>
      </c>
    </row>
    <row r="67" spans="1:5" x14ac:dyDescent="0.2">
      <c r="A67" s="512">
        <v>43884</v>
      </c>
      <c r="B67" s="336">
        <v>6.1500806885422234E-2</v>
      </c>
      <c r="C67" s="336">
        <v>6.3340080971659954E-2</v>
      </c>
      <c r="D67" s="465">
        <v>7.0416666666666697E-2</v>
      </c>
      <c r="E67" s="466">
        <v>6.1721491228070136E-2</v>
      </c>
    </row>
    <row r="68" spans="1:5" x14ac:dyDescent="0.2">
      <c r="A68" s="512">
        <v>43891</v>
      </c>
      <c r="B68" s="336">
        <v>6.2697649572649519E-2</v>
      </c>
      <c r="C68" s="336">
        <v>5.827935222672069E-2</v>
      </c>
      <c r="D68" s="465">
        <v>6.540021929824559E-2</v>
      </c>
      <c r="E68" s="466">
        <v>5.6661184210526266E-2</v>
      </c>
    </row>
    <row r="69" spans="1:5" x14ac:dyDescent="0.2">
      <c r="A69" s="512">
        <v>43933</v>
      </c>
      <c r="B69" s="336">
        <v>6.1500806885422234E-2</v>
      </c>
      <c r="C69" s="336">
        <v>6.3340080971659954E-2</v>
      </c>
      <c r="D69" s="465">
        <v>7.0416666666666697E-2</v>
      </c>
      <c r="E69" s="466">
        <v>6.1721491228070136E-2</v>
      </c>
    </row>
    <row r="70" spans="1:5" x14ac:dyDescent="0.2">
      <c r="A70" s="512">
        <v>43940</v>
      </c>
      <c r="B70" s="336">
        <v>6.1933911159263236E-2</v>
      </c>
      <c r="C70" s="336">
        <v>6.3759551706571618E-2</v>
      </c>
      <c r="D70" s="465">
        <v>7.0883002207505555E-2</v>
      </c>
      <c r="E70" s="466">
        <v>6.2185430463576191E-2</v>
      </c>
    </row>
    <row r="71" spans="1:5" x14ac:dyDescent="0.2">
      <c r="A71" s="512">
        <v>43947</v>
      </c>
      <c r="B71" s="336">
        <v>6.1933911159263236E-2</v>
      </c>
      <c r="C71" s="336">
        <v>6.4184615384615423E-2</v>
      </c>
      <c r="D71" s="465">
        <v>7.1355555555555589E-2</v>
      </c>
      <c r="E71" s="466">
        <v>6.269999999999995E-2</v>
      </c>
    </row>
    <row r="72" spans="1:5" x14ac:dyDescent="0.2">
      <c r="A72" s="512">
        <v>43954</v>
      </c>
      <c r="B72" s="336">
        <v>6.2373158756137442E-2</v>
      </c>
      <c r="C72" s="336">
        <v>6.4615384615384658E-2</v>
      </c>
      <c r="D72" s="465">
        <v>7.1834451901566024E-2</v>
      </c>
      <c r="E72" s="466">
        <v>6.3182326621923954E-2</v>
      </c>
    </row>
    <row r="73" spans="1:5" x14ac:dyDescent="0.2">
      <c r="A73" s="512">
        <v>43961</v>
      </c>
      <c r="B73" s="336">
        <v>6.2818681318681277E-2</v>
      </c>
      <c r="C73" s="336">
        <v>6.5051975051975089E-2</v>
      </c>
      <c r="D73" s="465">
        <v>7.2319819819819844E-2</v>
      </c>
      <c r="E73" s="466">
        <v>6.3671171171171131E-2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1"/>
  <sheetViews>
    <sheetView workbookViewId="0">
      <selection activeCell="A3" sqref="A3"/>
    </sheetView>
  </sheetViews>
  <sheetFormatPr defaultRowHeight="12.65" x14ac:dyDescent="0.2"/>
  <cols>
    <col min="1" max="1" width="11.109375" bestFit="1" customWidth="1"/>
    <col min="2" max="5" width="12.5546875" customWidth="1"/>
    <col min="6" max="127" width="12.5546875" bestFit="1" customWidth="1"/>
    <col min="128" max="128" width="11.109375" bestFit="1" customWidth="1"/>
  </cols>
  <sheetData>
    <row r="3" spans="1:7" x14ac:dyDescent="0.2">
      <c r="A3" s="547"/>
      <c r="B3" s="547"/>
      <c r="C3" s="548"/>
      <c r="D3" s="548"/>
      <c r="E3" s="548"/>
      <c r="F3" s="548"/>
      <c r="G3" s="549"/>
    </row>
    <row r="4" spans="1:7" x14ac:dyDescent="0.2">
      <c r="A4" s="556" t="s">
        <v>65</v>
      </c>
      <c r="B4" s="550"/>
      <c r="C4" s="551"/>
      <c r="D4" s="551"/>
      <c r="E4" s="551"/>
      <c r="F4" s="551"/>
      <c r="G4" s="552"/>
    </row>
    <row r="5" spans="1:7" x14ac:dyDescent="0.2">
      <c r="A5" s="557">
        <v>43667</v>
      </c>
      <c r="B5" s="547"/>
      <c r="C5" s="548"/>
      <c r="D5" s="548"/>
      <c r="E5" s="548"/>
      <c r="F5" s="548"/>
      <c r="G5" s="549"/>
    </row>
    <row r="6" spans="1:7" x14ac:dyDescent="0.2">
      <c r="A6" s="558">
        <v>43688</v>
      </c>
      <c r="B6" s="550"/>
      <c r="C6" s="551"/>
      <c r="D6" s="551"/>
      <c r="E6" s="551"/>
      <c r="F6" s="551"/>
      <c r="G6" s="552"/>
    </row>
    <row r="7" spans="1:7" x14ac:dyDescent="0.2">
      <c r="A7" s="558">
        <v>43723</v>
      </c>
      <c r="B7" s="550"/>
      <c r="C7" s="551"/>
      <c r="D7" s="551"/>
      <c r="E7" s="551"/>
      <c r="F7" s="551"/>
      <c r="G7" s="552"/>
    </row>
    <row r="8" spans="1:7" x14ac:dyDescent="0.2">
      <c r="A8" s="558">
        <v>43730</v>
      </c>
      <c r="B8" s="550"/>
      <c r="C8" s="551"/>
      <c r="D8" s="551"/>
      <c r="E8" s="551"/>
      <c r="F8" s="551"/>
      <c r="G8" s="552"/>
    </row>
    <row r="9" spans="1:7" x14ac:dyDescent="0.2">
      <c r="A9" s="558">
        <v>43737</v>
      </c>
      <c r="B9" s="550"/>
      <c r="C9" s="551"/>
      <c r="D9" s="551"/>
      <c r="E9" s="551"/>
      <c r="F9" s="551"/>
      <c r="G9" s="552"/>
    </row>
    <row r="10" spans="1:7" x14ac:dyDescent="0.2">
      <c r="A10" s="558">
        <v>43793</v>
      </c>
      <c r="B10" s="550"/>
      <c r="C10" s="551"/>
      <c r="D10" s="551"/>
      <c r="E10" s="551"/>
      <c r="F10" s="551"/>
      <c r="G10" s="552"/>
    </row>
    <row r="11" spans="1:7" x14ac:dyDescent="0.2">
      <c r="A11" s="558">
        <v>43800</v>
      </c>
      <c r="B11" s="550"/>
      <c r="C11" s="551"/>
      <c r="D11" s="551"/>
      <c r="E11" s="551"/>
      <c r="F11" s="551"/>
      <c r="G11" s="552"/>
    </row>
    <row r="12" spans="1:7" x14ac:dyDescent="0.2">
      <c r="A12" s="558">
        <v>43807</v>
      </c>
      <c r="B12" s="550"/>
      <c r="C12" s="551"/>
      <c r="D12" s="551"/>
      <c r="E12" s="551"/>
      <c r="F12" s="551"/>
      <c r="G12" s="552"/>
    </row>
    <row r="13" spans="1:7" x14ac:dyDescent="0.2">
      <c r="A13" s="558">
        <v>43814</v>
      </c>
      <c r="B13" s="550"/>
      <c r="C13" s="551"/>
      <c r="D13" s="551"/>
      <c r="E13" s="551"/>
      <c r="F13" s="551"/>
      <c r="G13" s="552"/>
    </row>
    <row r="14" spans="1:7" x14ac:dyDescent="0.2">
      <c r="A14" s="558">
        <v>43821</v>
      </c>
      <c r="B14" s="550"/>
      <c r="C14" s="551"/>
      <c r="D14" s="551"/>
      <c r="E14" s="551"/>
      <c r="F14" s="551"/>
      <c r="G14" s="552"/>
    </row>
    <row r="15" spans="1:7" x14ac:dyDescent="0.2">
      <c r="A15" s="558">
        <v>43828</v>
      </c>
      <c r="B15" s="550"/>
      <c r="C15" s="551"/>
      <c r="D15" s="551"/>
      <c r="E15" s="551"/>
      <c r="F15" s="551"/>
      <c r="G15" s="552"/>
    </row>
    <row r="16" spans="1:7" x14ac:dyDescent="0.2">
      <c r="A16" s="558">
        <v>43835</v>
      </c>
      <c r="B16" s="550"/>
      <c r="C16" s="551"/>
      <c r="D16" s="551"/>
      <c r="E16" s="551"/>
      <c r="F16" s="551"/>
      <c r="G16" s="552"/>
    </row>
    <row r="17" spans="1:7" x14ac:dyDescent="0.2">
      <c r="A17" s="558">
        <v>43842</v>
      </c>
      <c r="B17" s="550"/>
      <c r="C17" s="551"/>
      <c r="D17" s="551"/>
      <c r="E17" s="551"/>
      <c r="F17" s="551"/>
      <c r="G17" s="552"/>
    </row>
    <row r="18" spans="1:7" x14ac:dyDescent="0.2">
      <c r="A18" s="558">
        <v>43849</v>
      </c>
      <c r="B18" s="550"/>
      <c r="C18" s="551"/>
      <c r="D18" s="551"/>
      <c r="E18" s="551"/>
      <c r="F18" s="551"/>
      <c r="G18" s="552"/>
    </row>
    <row r="19" spans="1:7" x14ac:dyDescent="0.2">
      <c r="A19" s="558">
        <v>43856</v>
      </c>
      <c r="B19" s="550"/>
      <c r="C19" s="551"/>
      <c r="D19" s="551"/>
      <c r="E19" s="551"/>
      <c r="F19" s="551"/>
      <c r="G19" s="552"/>
    </row>
    <row r="20" spans="1:7" x14ac:dyDescent="0.2">
      <c r="A20" s="558">
        <v>43863</v>
      </c>
      <c r="B20" s="550"/>
      <c r="C20" s="551"/>
      <c r="D20" s="551"/>
      <c r="E20" s="551"/>
      <c r="F20" s="551"/>
      <c r="G20" s="552"/>
    </row>
    <row r="21" spans="1:7" x14ac:dyDescent="0.2">
      <c r="A21" s="558">
        <v>43870</v>
      </c>
      <c r="B21" s="550"/>
      <c r="C21" s="551"/>
      <c r="D21" s="551"/>
      <c r="E21" s="551"/>
      <c r="F21" s="551"/>
      <c r="G21" s="552"/>
    </row>
    <row r="22" spans="1:7" x14ac:dyDescent="0.2">
      <c r="A22" s="558">
        <v>43877</v>
      </c>
      <c r="B22" s="550"/>
      <c r="C22" s="551"/>
      <c r="D22" s="551"/>
      <c r="E22" s="551"/>
      <c r="F22" s="551"/>
      <c r="G22" s="552"/>
    </row>
    <row r="23" spans="1:7" x14ac:dyDescent="0.2">
      <c r="A23" s="558">
        <v>43884</v>
      </c>
      <c r="B23" s="550"/>
      <c r="C23" s="551"/>
      <c r="D23" s="551"/>
      <c r="E23" s="551"/>
      <c r="F23" s="551"/>
      <c r="G23" s="552"/>
    </row>
    <row r="24" spans="1:7" x14ac:dyDescent="0.2">
      <c r="A24" s="558">
        <v>43891</v>
      </c>
      <c r="B24" s="550"/>
      <c r="C24" s="551"/>
      <c r="D24" s="551"/>
      <c r="E24" s="551"/>
      <c r="F24" s="551"/>
      <c r="G24" s="552"/>
    </row>
    <row r="25" spans="1:7" x14ac:dyDescent="0.2">
      <c r="A25" s="558">
        <v>43933</v>
      </c>
      <c r="B25" s="550"/>
      <c r="C25" s="551"/>
      <c r="D25" s="551"/>
      <c r="E25" s="551"/>
      <c r="F25" s="551"/>
      <c r="G25" s="552"/>
    </row>
    <row r="26" spans="1:7" x14ac:dyDescent="0.2">
      <c r="A26" s="558">
        <v>43940</v>
      </c>
      <c r="B26" s="550"/>
      <c r="C26" s="551"/>
      <c r="D26" s="551"/>
      <c r="E26" s="551"/>
      <c r="F26" s="551"/>
      <c r="G26" s="552"/>
    </row>
    <row r="27" spans="1:7" x14ac:dyDescent="0.2">
      <c r="A27" s="558">
        <v>43947</v>
      </c>
      <c r="B27" s="550"/>
      <c r="C27" s="551"/>
      <c r="D27" s="551"/>
      <c r="E27" s="551"/>
      <c r="F27" s="551"/>
      <c r="G27" s="552"/>
    </row>
    <row r="28" spans="1:7" x14ac:dyDescent="0.2">
      <c r="A28" s="558">
        <v>43954</v>
      </c>
      <c r="B28" s="550"/>
      <c r="C28" s="551"/>
      <c r="D28" s="551"/>
      <c r="E28" s="551"/>
      <c r="F28" s="551"/>
      <c r="G28" s="552"/>
    </row>
    <row r="29" spans="1:7" x14ac:dyDescent="0.2">
      <c r="A29" s="558">
        <v>43961</v>
      </c>
      <c r="B29" s="550"/>
      <c r="C29" s="551"/>
      <c r="D29" s="551"/>
      <c r="E29" s="551"/>
      <c r="F29" s="551"/>
      <c r="G29" s="552"/>
    </row>
    <row r="30" spans="1:7" x14ac:dyDescent="0.2">
      <c r="A30" s="559" t="s">
        <v>66</v>
      </c>
      <c r="B30" s="550"/>
      <c r="C30" s="551"/>
      <c r="D30" s="551"/>
      <c r="E30" s="551"/>
      <c r="F30" s="551"/>
      <c r="G30" s="552"/>
    </row>
    <row r="31" spans="1:7" x14ac:dyDescent="0.2">
      <c r="A31" s="560" t="s">
        <v>67</v>
      </c>
      <c r="B31" s="553"/>
      <c r="C31" s="554"/>
      <c r="D31" s="554"/>
      <c r="E31" s="554"/>
      <c r="F31" s="554"/>
      <c r="G31" s="5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 filterMode="1"/>
  <dimension ref="A1:V155"/>
  <sheetViews>
    <sheetView topLeftCell="A39" workbookViewId="0">
      <selection activeCell="W157" sqref="W157:AB181"/>
    </sheetView>
  </sheetViews>
  <sheetFormatPr defaultRowHeight="12.65" x14ac:dyDescent="0.2"/>
  <cols>
    <col min="1" max="2" width="10.109375" bestFit="1" customWidth="1"/>
    <col min="3" max="4" width="0" hidden="1" customWidth="1"/>
    <col min="7" max="11" width="9.109375" hidden="1" customWidth="1"/>
    <col min="14" max="18" width="9.109375" hidden="1" customWidth="1"/>
    <col min="19" max="22" width="0" hidden="1" customWidth="1"/>
  </cols>
  <sheetData>
    <row r="1" spans="1:22" ht="37.9" x14ac:dyDescent="0.2">
      <c r="A1" s="498" t="s">
        <v>63</v>
      </c>
    </row>
    <row r="2" spans="1:22" x14ac:dyDescent="0.2">
      <c r="A2">
        <f>COUNTA(Лист2!B97:B994)</f>
        <v>636</v>
      </c>
    </row>
    <row r="3" spans="1:22" ht="13.3" thickBot="1" x14ac:dyDescent="0.25"/>
    <row r="4" spans="1:22" ht="27.2" thickBot="1" x14ac:dyDescent="0.3">
      <c r="A4" t="s">
        <v>65</v>
      </c>
      <c r="B4" s="480" t="s">
        <v>51</v>
      </c>
      <c r="C4" s="481">
        <v>80</v>
      </c>
      <c r="D4" s="482" t="s">
        <v>44</v>
      </c>
      <c r="E4" s="482" t="s">
        <v>45</v>
      </c>
      <c r="F4" s="482" t="s">
        <v>6</v>
      </c>
      <c r="G4" s="482" t="s">
        <v>48</v>
      </c>
      <c r="H4" s="483" t="s">
        <v>3</v>
      </c>
      <c r="I4" s="482" t="s">
        <v>4</v>
      </c>
      <c r="J4" s="484" t="s">
        <v>40</v>
      </c>
      <c r="K4" s="485" t="s">
        <v>28</v>
      </c>
      <c r="L4" s="494" t="s">
        <v>61</v>
      </c>
      <c r="M4" s="495" t="s">
        <v>62</v>
      </c>
      <c r="N4" s="486" t="s">
        <v>42</v>
      </c>
      <c r="O4" s="487" t="s">
        <v>30</v>
      </c>
      <c r="P4" s="482"/>
      <c r="Q4" s="488" t="s">
        <v>49</v>
      </c>
      <c r="R4" s="488" t="s">
        <v>50</v>
      </c>
      <c r="S4" s="484" t="s">
        <v>43</v>
      </c>
      <c r="T4" s="487" t="s">
        <v>31</v>
      </c>
      <c r="U4" s="490" t="s">
        <v>60</v>
      </c>
      <c r="V4" s="489" t="s">
        <v>27</v>
      </c>
    </row>
    <row r="5" spans="1:22" ht="13.3" x14ac:dyDescent="0.25">
      <c r="B5" s="533"/>
      <c r="C5" s="534"/>
      <c r="D5" s="535"/>
      <c r="E5" s="535"/>
      <c r="F5" s="535"/>
      <c r="G5" s="535"/>
      <c r="H5" s="536"/>
      <c r="I5" s="535"/>
      <c r="J5" s="537"/>
      <c r="K5" s="538"/>
      <c r="L5" s="539"/>
      <c r="M5" s="540"/>
      <c r="N5" s="541"/>
      <c r="O5" s="542"/>
      <c r="P5" s="535"/>
      <c r="Q5" s="543"/>
      <c r="R5" s="543"/>
      <c r="S5" s="544"/>
      <c r="T5" s="545"/>
      <c r="U5" s="546"/>
      <c r="V5" s="546"/>
    </row>
    <row r="6" spans="1:22" ht="37.9" hidden="1" x14ac:dyDescent="0.2">
      <c r="A6" s="512">
        <v>43667</v>
      </c>
      <c r="B6" s="419" t="s">
        <v>53</v>
      </c>
      <c r="C6" s="408">
        <v>1572.85</v>
      </c>
      <c r="D6" s="347"/>
      <c r="E6" s="346">
        <v>1585.31</v>
      </c>
      <c r="F6" s="346">
        <v>1690.84</v>
      </c>
      <c r="G6" s="346">
        <v>1737.76</v>
      </c>
      <c r="H6" s="347"/>
      <c r="I6" s="347"/>
      <c r="J6" s="290"/>
      <c r="K6" s="431"/>
      <c r="L6" s="256">
        <v>1549.16</v>
      </c>
      <c r="M6" s="462">
        <v>1563.74</v>
      </c>
      <c r="O6" s="442"/>
      <c r="P6" s="348"/>
      <c r="Q6" s="349"/>
      <c r="R6" s="346">
        <v>1635.11</v>
      </c>
    </row>
    <row r="7" spans="1:22" ht="37.9" hidden="1" x14ac:dyDescent="0.2">
      <c r="A7" s="561"/>
      <c r="B7" s="415" t="s">
        <v>54</v>
      </c>
      <c r="C7" s="409">
        <v>1599</v>
      </c>
      <c r="D7" s="249"/>
      <c r="E7" s="250">
        <v>1690</v>
      </c>
      <c r="F7" s="250">
        <v>1794</v>
      </c>
      <c r="G7" s="250">
        <v>2041</v>
      </c>
      <c r="H7" s="249"/>
      <c r="I7" s="249"/>
      <c r="J7" s="330"/>
      <c r="K7" s="432"/>
      <c r="L7" s="463">
        <v>1656</v>
      </c>
      <c r="M7" s="464">
        <v>1656</v>
      </c>
      <c r="O7" s="446"/>
      <c r="P7" s="331"/>
      <c r="Q7" s="332"/>
      <c r="R7" s="250">
        <v>1824</v>
      </c>
    </row>
    <row r="8" spans="1:22" ht="37.9" hidden="1" x14ac:dyDescent="0.2">
      <c r="A8" s="561"/>
      <c r="B8" s="415" t="s">
        <v>55</v>
      </c>
      <c r="C8" s="409">
        <v>1.48</v>
      </c>
      <c r="D8" s="249"/>
      <c r="E8" s="250">
        <v>1.56</v>
      </c>
      <c r="F8" s="250">
        <v>1.66</v>
      </c>
      <c r="G8" s="250">
        <v>1.88</v>
      </c>
      <c r="H8" s="249"/>
      <c r="I8" s="249"/>
      <c r="J8" s="330"/>
      <c r="K8" s="432"/>
      <c r="L8" s="463">
        <v>1.66</v>
      </c>
      <c r="M8" s="464">
        <v>1.66</v>
      </c>
      <c r="O8" s="443"/>
      <c r="P8" s="334"/>
      <c r="Q8" s="335"/>
      <c r="R8" s="250">
        <v>1.82</v>
      </c>
    </row>
    <row r="9" spans="1:22" x14ac:dyDescent="0.2">
      <c r="A9" s="512">
        <v>43667</v>
      </c>
      <c r="B9" s="415" t="s">
        <v>56</v>
      </c>
      <c r="C9" s="410">
        <f>(C7-C6)/C7</f>
        <v>1.6353971232020068E-2</v>
      </c>
      <c r="D9" s="336"/>
      <c r="E9" s="336">
        <f>(E7-E6)/E7</f>
        <v>6.1946745562130208E-2</v>
      </c>
      <c r="F9" s="336">
        <f>(F7-F6)/F7</f>
        <v>5.7502787068004504E-2</v>
      </c>
      <c r="G9" s="336">
        <f>(G7-G6)/G7</f>
        <v>0.14857422831945125</v>
      </c>
      <c r="H9" s="336"/>
      <c r="I9" s="336"/>
      <c r="J9" s="338"/>
      <c r="K9" s="433"/>
      <c r="L9" s="465">
        <f>(L7-L6)/L7</f>
        <v>6.4516908212560342E-2</v>
      </c>
      <c r="M9" s="466">
        <f>(M7-M6)/M7</f>
        <v>5.5712560386473424E-2</v>
      </c>
      <c r="O9" s="444"/>
      <c r="P9" s="340"/>
      <c r="Q9" s="341"/>
      <c r="R9" s="336">
        <f>(R7-R6)/R7</f>
        <v>0.10355811403508777</v>
      </c>
    </row>
    <row r="10" spans="1:22" ht="25.3" hidden="1" x14ac:dyDescent="0.2">
      <c r="A10" s="561"/>
      <c r="B10" s="415" t="s">
        <v>57</v>
      </c>
      <c r="C10" s="410">
        <f>(C7-C6)/C6</f>
        <v>1.6625870235559712E-2</v>
      </c>
      <c r="D10" s="336"/>
      <c r="E10" s="336">
        <f>(E7-E6)/E6</f>
        <v>6.6037557323173429E-2</v>
      </c>
      <c r="F10" s="336">
        <f>(F7-F6)/F6</f>
        <v>6.1011095077003197E-2</v>
      </c>
      <c r="G10" s="336">
        <f>(G7-G6)/G6</f>
        <v>0.17450050639904247</v>
      </c>
      <c r="H10" s="336"/>
      <c r="I10" s="336"/>
      <c r="J10" s="338"/>
      <c r="K10" s="433"/>
      <c r="L10" s="465">
        <f>(L7-L6)/L6</f>
        <v>6.896640760153884E-2</v>
      </c>
      <c r="M10" s="466">
        <f>(M7-M6)/M6</f>
        <v>5.8999577934950816E-2</v>
      </c>
      <c r="O10" s="444"/>
      <c r="P10" s="340"/>
      <c r="Q10" s="341"/>
      <c r="R10" s="336">
        <f>(R7-R6)/R6</f>
        <v>0.11552127991388965</v>
      </c>
    </row>
    <row r="11" spans="1:22" ht="25.9" hidden="1" thickBot="1" x14ac:dyDescent="0.25">
      <c r="A11" s="562"/>
      <c r="B11" s="418" t="s">
        <v>58</v>
      </c>
      <c r="C11" s="411" t="e">
        <f>C8/C1-1</f>
        <v>#DIV/0!</v>
      </c>
      <c r="D11" s="353"/>
      <c r="E11" s="353" t="e">
        <f>E8/E1-1</f>
        <v>#DIV/0!</v>
      </c>
      <c r="F11" s="353" t="e">
        <f>F8/F1-1</f>
        <v>#DIV/0!</v>
      </c>
      <c r="G11" s="353" t="e">
        <f>G8/G1-1</f>
        <v>#DIV/0!</v>
      </c>
      <c r="H11" s="353"/>
      <c r="I11" s="353"/>
      <c r="J11" s="355"/>
      <c r="K11" s="434"/>
      <c r="L11" s="467" t="e">
        <f>L8/M1-1</f>
        <v>#DIV/0!</v>
      </c>
      <c r="M11" s="292" t="e">
        <f>M8/N1-1</f>
        <v>#DIV/0!</v>
      </c>
      <c r="O11" s="445"/>
      <c r="P11" s="357"/>
      <c r="Q11" s="358"/>
      <c r="R11" s="353" t="e">
        <f>R8/R1-1</f>
        <v>#DIV/0!</v>
      </c>
    </row>
    <row r="12" spans="1:22" ht="37.9" hidden="1" x14ac:dyDescent="0.2">
      <c r="A12" s="512">
        <v>43688</v>
      </c>
      <c r="B12" s="419" t="s">
        <v>53</v>
      </c>
      <c r="C12" s="408">
        <v>1562.43</v>
      </c>
      <c r="D12" s="347"/>
      <c r="E12" s="346">
        <v>1575.35</v>
      </c>
      <c r="F12" s="346">
        <v>1680.84</v>
      </c>
      <c r="G12" s="346">
        <v>1728.68</v>
      </c>
      <c r="H12" s="347"/>
      <c r="I12" s="347"/>
      <c r="J12" s="290"/>
      <c r="K12" s="431"/>
      <c r="L12" s="256">
        <v>1540.01</v>
      </c>
      <c r="M12" s="462">
        <v>1554.51</v>
      </c>
      <c r="O12" s="442"/>
      <c r="P12" s="348"/>
      <c r="Q12" s="349"/>
      <c r="R12" s="346">
        <v>1626.3</v>
      </c>
    </row>
    <row r="13" spans="1:22" ht="37.9" hidden="1" x14ac:dyDescent="0.2">
      <c r="A13" s="561"/>
      <c r="B13" s="415" t="s">
        <v>54</v>
      </c>
      <c r="C13" s="409">
        <v>1586</v>
      </c>
      <c r="D13" s="249"/>
      <c r="E13" s="250">
        <v>1677</v>
      </c>
      <c r="F13" s="250">
        <v>1781</v>
      </c>
      <c r="G13" s="250">
        <v>2028</v>
      </c>
      <c r="H13" s="249"/>
      <c r="I13" s="249"/>
      <c r="J13" s="330"/>
      <c r="K13" s="432"/>
      <c r="L13" s="463">
        <v>1644</v>
      </c>
      <c r="M13" s="464">
        <v>1644</v>
      </c>
      <c r="O13" s="446"/>
      <c r="P13" s="331"/>
      <c r="Q13" s="332"/>
      <c r="R13" s="250">
        <v>1812</v>
      </c>
    </row>
    <row r="14" spans="1:22" ht="37.9" hidden="1" x14ac:dyDescent="0.2">
      <c r="A14" s="561"/>
      <c r="B14" s="415" t="s">
        <v>55</v>
      </c>
      <c r="C14" s="409">
        <v>1.47</v>
      </c>
      <c r="D14" s="249"/>
      <c r="E14" s="250">
        <v>1.55</v>
      </c>
      <c r="F14" s="250">
        <v>1.65</v>
      </c>
      <c r="G14" s="250">
        <v>1.87</v>
      </c>
      <c r="H14" s="249"/>
      <c r="I14" s="249"/>
      <c r="J14" s="330"/>
      <c r="K14" s="432"/>
      <c r="L14" s="463">
        <v>1.65</v>
      </c>
      <c r="M14" s="464">
        <v>1.65</v>
      </c>
      <c r="O14" s="443"/>
      <c r="P14" s="334"/>
      <c r="Q14" s="335"/>
      <c r="R14" s="250">
        <v>1.81</v>
      </c>
    </row>
    <row r="15" spans="1:22" x14ac:dyDescent="0.2">
      <c r="A15" s="512">
        <v>43688</v>
      </c>
      <c r="B15" s="415" t="s">
        <v>56</v>
      </c>
      <c r="C15" s="410">
        <f>(C13-C12)/C13</f>
        <v>1.4861286254728838E-2</v>
      </c>
      <c r="D15" s="336"/>
      <c r="E15" s="336">
        <f>(E13-E12)/E13</f>
        <v>6.06141920095409E-2</v>
      </c>
      <c r="F15" s="336">
        <f>(F13-F12)/F13</f>
        <v>5.6238068500842273E-2</v>
      </c>
      <c r="G15" s="336">
        <f>(G13-G12)/G13</f>
        <v>0.14759368836291911</v>
      </c>
      <c r="H15" s="336"/>
      <c r="I15" s="336"/>
      <c r="J15" s="338"/>
      <c r="K15" s="433"/>
      <c r="L15" s="465">
        <f>(L13-L12)/L13</f>
        <v>6.3254257907542591E-2</v>
      </c>
      <c r="M15" s="466">
        <f>(M13-M12)/M13</f>
        <v>5.4434306569343074E-2</v>
      </c>
      <c r="O15" s="444"/>
      <c r="P15" s="340"/>
      <c r="Q15" s="341"/>
      <c r="R15" s="336">
        <f>(R13-R12)/R13</f>
        <v>0.10248344370860929</v>
      </c>
    </row>
    <row r="16" spans="1:22" ht="25.3" hidden="1" x14ac:dyDescent="0.2">
      <c r="A16" s="561"/>
      <c r="B16" s="415" t="s">
        <v>57</v>
      </c>
      <c r="C16" s="410">
        <f>(C13-C12)/C12</f>
        <v>1.5085475829317112E-2</v>
      </c>
      <c r="D16" s="336"/>
      <c r="E16" s="336">
        <f>(E13-E12)/E12</f>
        <v>6.4525343574443839E-2</v>
      </c>
      <c r="F16" s="336">
        <f>(F13-F12)/F12</f>
        <v>5.9589252992551398E-2</v>
      </c>
      <c r="G16" s="336">
        <f>(G13-G12)/G12</f>
        <v>0.17314945507554894</v>
      </c>
      <c r="H16" s="336"/>
      <c r="I16" s="336"/>
      <c r="J16" s="338"/>
      <c r="K16" s="433"/>
      <c r="L16" s="465">
        <f>(L13-L12)/L12</f>
        <v>6.7525535548470475E-2</v>
      </c>
      <c r="M16" s="466">
        <f>(M13-M12)/M12</f>
        <v>5.7567979620587843E-2</v>
      </c>
      <c r="O16" s="444"/>
      <c r="P16" s="340"/>
      <c r="Q16" s="341"/>
      <c r="R16" s="336">
        <f>(R13-R12)/R12</f>
        <v>0.11418557461722932</v>
      </c>
    </row>
    <row r="17" spans="1:18" ht="25.9" hidden="1" thickBot="1" x14ac:dyDescent="0.25">
      <c r="A17" s="562"/>
      <c r="B17" s="418" t="s">
        <v>58</v>
      </c>
      <c r="C17" s="411">
        <f>C14/C8-1</f>
        <v>-6.7567567567567988E-3</v>
      </c>
      <c r="D17" s="353"/>
      <c r="E17" s="353">
        <f>E14/E8-1</f>
        <v>-6.4102564102563875E-3</v>
      </c>
      <c r="F17" s="353">
        <f>F14/F8-1</f>
        <v>-6.0240963855421326E-3</v>
      </c>
      <c r="G17" s="353">
        <f>G14/G8-1</f>
        <v>-5.3191489361701372E-3</v>
      </c>
      <c r="H17" s="353"/>
      <c r="I17" s="353"/>
      <c r="J17" s="355"/>
      <c r="K17" s="434"/>
      <c r="L17" s="467">
        <f>L14/L8-1</f>
        <v>-6.0240963855421326E-3</v>
      </c>
      <c r="M17" s="292">
        <f>M14/M8-1</f>
        <v>-6.0240963855421326E-3</v>
      </c>
      <c r="O17" s="445"/>
      <c r="P17" s="357"/>
      <c r="Q17" s="358"/>
      <c r="R17" s="353">
        <f>R14/R8-1</f>
        <v>-5.494505494505475E-3</v>
      </c>
    </row>
    <row r="18" spans="1:18" ht="37.9" hidden="1" x14ac:dyDescent="0.2">
      <c r="A18" s="512">
        <v>43723</v>
      </c>
      <c r="B18" s="419" t="s">
        <v>53</v>
      </c>
      <c r="C18" s="408">
        <v>1572.85</v>
      </c>
      <c r="D18" s="347"/>
      <c r="E18" s="346">
        <v>1585.31</v>
      </c>
      <c r="F18" s="346">
        <v>1690.84</v>
      </c>
      <c r="G18" s="346">
        <v>1737.76</v>
      </c>
      <c r="H18" s="347"/>
      <c r="I18" s="347"/>
      <c r="J18" s="290"/>
      <c r="K18" s="431"/>
      <c r="L18" s="256">
        <v>1549.16</v>
      </c>
      <c r="M18" s="462">
        <v>1563.74</v>
      </c>
      <c r="O18" s="442"/>
      <c r="P18" s="348"/>
      <c r="Q18" s="349"/>
      <c r="R18" s="346">
        <v>1635.11</v>
      </c>
    </row>
    <row r="19" spans="1:18" ht="37.9" hidden="1" x14ac:dyDescent="0.2">
      <c r="A19" s="561"/>
      <c r="B19" s="415" t="s">
        <v>54</v>
      </c>
      <c r="C19" s="409">
        <v>1599</v>
      </c>
      <c r="D19" s="249"/>
      <c r="E19" s="250">
        <v>1690</v>
      </c>
      <c r="F19" s="250">
        <v>1794</v>
      </c>
      <c r="G19" s="250">
        <v>2041</v>
      </c>
      <c r="H19" s="249"/>
      <c r="I19" s="249"/>
      <c r="J19" s="330"/>
      <c r="K19" s="432"/>
      <c r="L19" s="463">
        <v>1656</v>
      </c>
      <c r="M19" s="464">
        <v>1656</v>
      </c>
      <c r="O19" s="446"/>
      <c r="P19" s="331"/>
      <c r="Q19" s="332"/>
      <c r="R19" s="250">
        <v>1824</v>
      </c>
    </row>
    <row r="20" spans="1:18" ht="37.9" hidden="1" x14ac:dyDescent="0.2">
      <c r="A20" s="561"/>
      <c r="B20" s="415" t="s">
        <v>55</v>
      </c>
      <c r="C20" s="409">
        <v>1.48</v>
      </c>
      <c r="D20" s="249"/>
      <c r="E20" s="250">
        <v>1.56</v>
      </c>
      <c r="F20" s="250">
        <v>1.66</v>
      </c>
      <c r="G20" s="250">
        <v>1.88</v>
      </c>
      <c r="H20" s="249"/>
      <c r="I20" s="249"/>
      <c r="J20" s="330"/>
      <c r="K20" s="432"/>
      <c r="L20" s="463">
        <v>1.66</v>
      </c>
      <c r="M20" s="464">
        <v>1.66</v>
      </c>
      <c r="O20" s="443"/>
      <c r="P20" s="334"/>
      <c r="Q20" s="335"/>
      <c r="R20" s="250">
        <v>1.82</v>
      </c>
    </row>
    <row r="21" spans="1:18" x14ac:dyDescent="0.2">
      <c r="A21" s="512">
        <v>43723</v>
      </c>
      <c r="B21" s="415" t="s">
        <v>56</v>
      </c>
      <c r="C21" s="410">
        <f>(C19-C18)/C19</f>
        <v>1.6353971232020068E-2</v>
      </c>
      <c r="D21" s="336"/>
      <c r="E21" s="336">
        <f>(E19-E18)/E19</f>
        <v>6.1946745562130208E-2</v>
      </c>
      <c r="F21" s="336">
        <f>(F19-F18)/F19</f>
        <v>5.7502787068004504E-2</v>
      </c>
      <c r="G21" s="336">
        <f>(G19-G18)/G19</f>
        <v>0.14857422831945125</v>
      </c>
      <c r="H21" s="336"/>
      <c r="I21" s="336"/>
      <c r="J21" s="338"/>
      <c r="K21" s="433"/>
      <c r="L21" s="465">
        <f>(L19-L18)/L19</f>
        <v>6.4516908212560342E-2</v>
      </c>
      <c r="M21" s="466">
        <f>(M19-M18)/M19</f>
        <v>5.5712560386473424E-2</v>
      </c>
      <c r="O21" s="444"/>
      <c r="P21" s="340"/>
      <c r="Q21" s="341"/>
      <c r="R21" s="336">
        <f>(R19-R18)/R19</f>
        <v>0.10355811403508777</v>
      </c>
    </row>
    <row r="22" spans="1:18" ht="25.3" hidden="1" x14ac:dyDescent="0.2">
      <c r="A22" s="561"/>
      <c r="B22" s="415" t="s">
        <v>57</v>
      </c>
      <c r="C22" s="410">
        <f>(C19-C18)/C18</f>
        <v>1.6625870235559712E-2</v>
      </c>
      <c r="D22" s="336"/>
      <c r="E22" s="336">
        <f>(E19-E18)/E18</f>
        <v>6.6037557323173429E-2</v>
      </c>
      <c r="F22" s="336">
        <f>(F19-F18)/F18</f>
        <v>6.1011095077003197E-2</v>
      </c>
      <c r="G22" s="336">
        <f>(G19-G18)/G18</f>
        <v>0.17450050639904247</v>
      </c>
      <c r="H22" s="336"/>
      <c r="I22" s="336"/>
      <c r="J22" s="338"/>
      <c r="K22" s="433"/>
      <c r="L22" s="465">
        <f>(L19-L18)/L18</f>
        <v>6.896640760153884E-2</v>
      </c>
      <c r="M22" s="466">
        <f>(M19-M18)/M18</f>
        <v>5.8999577934950816E-2</v>
      </c>
      <c r="O22" s="444"/>
      <c r="P22" s="340"/>
      <c r="Q22" s="341"/>
      <c r="R22" s="336">
        <f>(R19-R18)/R18</f>
        <v>0.11552127991388965</v>
      </c>
    </row>
    <row r="23" spans="1:18" ht="25.9" hidden="1" thickBot="1" x14ac:dyDescent="0.25">
      <c r="A23" s="562"/>
      <c r="B23" s="418" t="s">
        <v>58</v>
      </c>
      <c r="C23" s="411">
        <f>C20/C14-1</f>
        <v>6.8027210884353817E-3</v>
      </c>
      <c r="D23" s="353"/>
      <c r="E23" s="353">
        <f>E20/E14-1</f>
        <v>6.4516129032257119E-3</v>
      </c>
      <c r="F23" s="353">
        <f>F20/F14-1</f>
        <v>6.0606060606060996E-3</v>
      </c>
      <c r="G23" s="353">
        <f>G20/G14-1</f>
        <v>5.3475935828874999E-3</v>
      </c>
      <c r="H23" s="353"/>
      <c r="I23" s="353"/>
      <c r="J23" s="355"/>
      <c r="K23" s="434"/>
      <c r="L23" s="467">
        <f>L20/L14-1</f>
        <v>6.0606060606060996E-3</v>
      </c>
      <c r="M23" s="292">
        <f>M20/M14-1</f>
        <v>6.0606060606060996E-3</v>
      </c>
      <c r="O23" s="445"/>
      <c r="P23" s="357"/>
      <c r="Q23" s="358"/>
      <c r="R23" s="353">
        <f>R20/R14-1</f>
        <v>5.5248618784531356E-3</v>
      </c>
    </row>
    <row r="24" spans="1:18" ht="37.9" hidden="1" x14ac:dyDescent="0.2">
      <c r="A24" s="512">
        <v>43730</v>
      </c>
      <c r="B24" s="419" t="s">
        <v>53</v>
      </c>
      <c r="C24" s="408">
        <v>1583.27</v>
      </c>
      <c r="D24" s="347"/>
      <c r="E24" s="346">
        <v>1595.27</v>
      </c>
      <c r="F24" s="346">
        <v>1700.84</v>
      </c>
      <c r="G24" s="346">
        <v>1746.84</v>
      </c>
      <c r="H24" s="347"/>
      <c r="I24" s="347"/>
      <c r="J24" s="290"/>
      <c r="K24" s="431"/>
      <c r="L24" s="256">
        <v>1558.31</v>
      </c>
      <c r="M24" s="462">
        <v>1572.97</v>
      </c>
      <c r="O24" s="442"/>
      <c r="P24" s="348"/>
      <c r="Q24" s="349"/>
      <c r="R24" s="346">
        <v>1643.92</v>
      </c>
    </row>
    <row r="25" spans="1:18" ht="37.9" hidden="1" x14ac:dyDescent="0.2">
      <c r="A25" s="561"/>
      <c r="B25" s="415" t="s">
        <v>54</v>
      </c>
      <c r="C25" s="409">
        <v>1612</v>
      </c>
      <c r="D25" s="249"/>
      <c r="E25" s="250">
        <v>1703</v>
      </c>
      <c r="F25" s="250">
        <v>1807</v>
      </c>
      <c r="G25" s="250">
        <v>2041</v>
      </c>
      <c r="H25" s="249"/>
      <c r="I25" s="249"/>
      <c r="J25" s="330"/>
      <c r="K25" s="432"/>
      <c r="L25" s="463">
        <v>1668</v>
      </c>
      <c r="M25" s="464">
        <v>1668</v>
      </c>
      <c r="O25" s="446"/>
      <c r="P25" s="331"/>
      <c r="Q25" s="332"/>
      <c r="R25" s="250">
        <v>1824</v>
      </c>
    </row>
    <row r="26" spans="1:18" ht="37.9" hidden="1" x14ac:dyDescent="0.2">
      <c r="A26" s="561"/>
      <c r="B26" s="415" t="s">
        <v>55</v>
      </c>
      <c r="C26" s="409">
        <v>1.49</v>
      </c>
      <c r="D26" s="249"/>
      <c r="E26" s="250">
        <v>1.57</v>
      </c>
      <c r="F26" s="250">
        <v>1.67</v>
      </c>
      <c r="G26" s="250">
        <v>1.89</v>
      </c>
      <c r="H26" s="249"/>
      <c r="I26" s="249"/>
      <c r="J26" s="330"/>
      <c r="K26" s="432"/>
      <c r="L26" s="463">
        <v>1.67</v>
      </c>
      <c r="M26" s="464">
        <v>1.67</v>
      </c>
      <c r="O26" s="443"/>
      <c r="P26" s="334"/>
      <c r="Q26" s="335"/>
      <c r="R26" s="250">
        <v>1.83</v>
      </c>
    </row>
    <row r="27" spans="1:18" x14ac:dyDescent="0.2">
      <c r="A27" s="512">
        <v>43730</v>
      </c>
      <c r="B27" s="415" t="s">
        <v>56</v>
      </c>
      <c r="C27" s="410">
        <f>(C25-C24)/C25</f>
        <v>1.78225806451613E-2</v>
      </c>
      <c r="D27" s="336"/>
      <c r="E27" s="336">
        <f>(E25-E24)/E25</f>
        <v>6.3258954785672353E-2</v>
      </c>
      <c r="F27" s="336">
        <f>(F25-F24)/F25</f>
        <v>5.8749308245711167E-2</v>
      </c>
      <c r="G27" s="336">
        <f>(G25-G24)/G25</f>
        <v>0.14412542871141601</v>
      </c>
      <c r="H27" s="336"/>
      <c r="I27" s="336"/>
      <c r="J27" s="338"/>
      <c r="K27" s="433"/>
      <c r="L27" s="465">
        <f>(L25-L24)/L25</f>
        <v>6.5761390887290203E-2</v>
      </c>
      <c r="M27" s="466">
        <f>(M25-M24)/M25</f>
        <v>5.6972422062350106E-2</v>
      </c>
      <c r="O27" s="444"/>
      <c r="P27" s="340"/>
      <c r="Q27" s="341"/>
      <c r="R27" s="336">
        <f>(R25-R24)/R25</f>
        <v>9.8728070175438554E-2</v>
      </c>
    </row>
    <row r="28" spans="1:18" ht="25.3" hidden="1" x14ac:dyDescent="0.2">
      <c r="A28" s="561"/>
      <c r="B28" s="415" t="s">
        <v>57</v>
      </c>
      <c r="C28" s="410">
        <f>(C25-C24)/C24</f>
        <v>1.8145988997454648E-2</v>
      </c>
      <c r="D28" s="336"/>
      <c r="E28" s="336">
        <f>(E25-E24)/E24</f>
        <v>6.7530888188206392E-2</v>
      </c>
      <c r="F28" s="336">
        <f>(F25-F24)/F24</f>
        <v>6.2416217868817812E-2</v>
      </c>
      <c r="G28" s="336">
        <f>(G25-G24)/G24</f>
        <v>0.16839550273636972</v>
      </c>
      <c r="H28" s="336"/>
      <c r="I28" s="336"/>
      <c r="J28" s="338"/>
      <c r="K28" s="433"/>
      <c r="L28" s="465">
        <f>(L25-L24)/L24</f>
        <v>7.0390358786120905E-2</v>
      </c>
      <c r="M28" s="466">
        <f>(M25-M24)/M24</f>
        <v>6.0414375353630374E-2</v>
      </c>
      <c r="O28" s="444"/>
      <c r="P28" s="340"/>
      <c r="Q28" s="341"/>
      <c r="R28" s="336">
        <f>(R25-R24)/R24</f>
        <v>0.10954304345710249</v>
      </c>
    </row>
    <row r="29" spans="1:18" ht="25.9" hidden="1" thickBot="1" x14ac:dyDescent="0.25">
      <c r="A29" s="562"/>
      <c r="B29" s="418" t="s">
        <v>58</v>
      </c>
      <c r="C29" s="411">
        <f>C26/C20-1</f>
        <v>6.7567567567567988E-3</v>
      </c>
      <c r="D29" s="353"/>
      <c r="E29" s="353">
        <f>E26/E20-1</f>
        <v>6.4102564102563875E-3</v>
      </c>
      <c r="F29" s="353">
        <f>F26/F20-1</f>
        <v>6.0240963855422436E-3</v>
      </c>
      <c r="G29" s="353">
        <f>G26/G20-1</f>
        <v>5.3191489361701372E-3</v>
      </c>
      <c r="H29" s="353"/>
      <c r="I29" s="353"/>
      <c r="J29" s="355"/>
      <c r="K29" s="434"/>
      <c r="L29" s="467">
        <f>L26/L20-1</f>
        <v>6.0240963855422436E-3</v>
      </c>
      <c r="M29" s="292">
        <f>M26/M20-1</f>
        <v>6.0240963855422436E-3</v>
      </c>
      <c r="O29" s="445"/>
      <c r="P29" s="357"/>
      <c r="Q29" s="358"/>
      <c r="R29" s="353">
        <f>R26/R20-1</f>
        <v>5.494505494505475E-3</v>
      </c>
    </row>
    <row r="30" spans="1:18" ht="37.9" hidden="1" x14ac:dyDescent="0.2">
      <c r="A30" s="512">
        <v>43737</v>
      </c>
      <c r="B30" s="419" t="s">
        <v>53</v>
      </c>
      <c r="C30" s="408">
        <v>1593.69</v>
      </c>
      <c r="D30" s="347"/>
      <c r="E30" s="346">
        <v>1605.23</v>
      </c>
      <c r="F30" s="346">
        <v>1710.84</v>
      </c>
      <c r="G30" s="346">
        <v>1755.92</v>
      </c>
      <c r="H30" s="347"/>
      <c r="I30" s="347"/>
      <c r="J30" s="290"/>
      <c r="K30" s="431"/>
      <c r="L30" s="256">
        <v>1567.46</v>
      </c>
      <c r="M30" s="462">
        <v>1582.2</v>
      </c>
      <c r="O30" s="442"/>
      <c r="P30" s="348"/>
      <c r="Q30" s="349"/>
      <c r="R30" s="346">
        <v>1652.73</v>
      </c>
    </row>
    <row r="31" spans="1:18" ht="37.9" hidden="1" x14ac:dyDescent="0.2">
      <c r="A31" s="561"/>
      <c r="B31" s="415" t="s">
        <v>54</v>
      </c>
      <c r="C31" s="409">
        <v>1625</v>
      </c>
      <c r="D31" s="249"/>
      <c r="E31" s="250">
        <v>1716</v>
      </c>
      <c r="F31" s="250">
        <v>1820</v>
      </c>
      <c r="G31" s="250">
        <v>2054</v>
      </c>
      <c r="H31" s="249"/>
      <c r="I31" s="249"/>
      <c r="J31" s="330"/>
      <c r="K31" s="432"/>
      <c r="L31" s="463">
        <v>1680</v>
      </c>
      <c r="M31" s="464">
        <v>1680</v>
      </c>
      <c r="O31" s="446"/>
      <c r="P31" s="331"/>
      <c r="Q31" s="332"/>
      <c r="R31" s="250">
        <v>1836</v>
      </c>
    </row>
    <row r="32" spans="1:18" ht="37.9" hidden="1" x14ac:dyDescent="0.2">
      <c r="A32" s="561"/>
      <c r="B32" s="415" t="s">
        <v>55</v>
      </c>
      <c r="C32" s="409">
        <v>1.5</v>
      </c>
      <c r="D32" s="249"/>
      <c r="E32" s="250">
        <v>1.58</v>
      </c>
      <c r="F32" s="250">
        <v>1.68</v>
      </c>
      <c r="G32" s="250">
        <v>1.9</v>
      </c>
      <c r="H32" s="249"/>
      <c r="I32" s="249"/>
      <c r="J32" s="330"/>
      <c r="K32" s="432"/>
      <c r="L32" s="463">
        <v>1.68</v>
      </c>
      <c r="M32" s="464">
        <v>1.68</v>
      </c>
      <c r="O32" s="443"/>
      <c r="P32" s="334"/>
      <c r="Q32" s="335"/>
      <c r="R32" s="250">
        <v>1.84</v>
      </c>
    </row>
    <row r="33" spans="1:18" x14ac:dyDescent="0.2">
      <c r="A33" s="512">
        <v>43737</v>
      </c>
      <c r="B33" s="415" t="s">
        <v>56</v>
      </c>
      <c r="C33" s="410">
        <f>(C31-C30)/C31</f>
        <v>1.9267692307692274E-2</v>
      </c>
      <c r="D33" s="336"/>
      <c r="E33" s="336">
        <f>(E31-E30)/E31</f>
        <v>6.4551282051282036E-2</v>
      </c>
      <c r="F33" s="336">
        <f>(F31-F30)/F31</f>
        <v>5.9978021978022024E-2</v>
      </c>
      <c r="G33" s="336">
        <f>(G31-G30)/G31</f>
        <v>0.14512171372930863</v>
      </c>
      <c r="H33" s="336"/>
      <c r="I33" s="336"/>
      <c r="J33" s="338"/>
      <c r="K33" s="433"/>
      <c r="L33" s="465">
        <f>(L31-L30)/L31</f>
        <v>6.6988095238095222E-2</v>
      </c>
      <c r="M33" s="466">
        <f>(M31-M30)/M31</f>
        <v>5.8214285714285691E-2</v>
      </c>
      <c r="O33" s="444"/>
      <c r="P33" s="340"/>
      <c r="Q33" s="341"/>
      <c r="R33" s="336">
        <f>(R31-R30)/R31</f>
        <v>9.9820261437908481E-2</v>
      </c>
    </row>
    <row r="34" spans="1:18" ht="25.3" hidden="1" x14ac:dyDescent="0.2">
      <c r="A34" s="561"/>
      <c r="B34" s="415" t="s">
        <v>57</v>
      </c>
      <c r="C34" s="410">
        <f>(C31-C30)/C30</f>
        <v>1.9646229818848046E-2</v>
      </c>
      <c r="D34" s="336"/>
      <c r="E34" s="336">
        <f>(E31-E30)/E30</f>
        <v>6.9005687658466375E-2</v>
      </c>
      <c r="F34" s="336">
        <f>(F31-F30)/F30</f>
        <v>6.3804914544901975E-2</v>
      </c>
      <c r="G34" s="336">
        <f>(G31-G30)/G30</f>
        <v>0.16975716433550497</v>
      </c>
      <c r="H34" s="336"/>
      <c r="I34" s="336"/>
      <c r="J34" s="338"/>
      <c r="K34" s="433"/>
      <c r="L34" s="465">
        <f>(L31-L30)/L30</f>
        <v>7.1797685427379299E-2</v>
      </c>
      <c r="M34" s="466">
        <f>(M31-M30)/M30</f>
        <v>6.1812665908229016E-2</v>
      </c>
      <c r="O34" s="444"/>
      <c r="P34" s="340"/>
      <c r="Q34" s="341"/>
      <c r="R34" s="336">
        <f>(R31-R30)/R30</f>
        <v>0.11088925595832348</v>
      </c>
    </row>
    <row r="35" spans="1:18" ht="25.9" hidden="1" thickBot="1" x14ac:dyDescent="0.25">
      <c r="A35" s="562"/>
      <c r="B35" s="418" t="s">
        <v>58</v>
      </c>
      <c r="C35" s="411">
        <f>C32/C26-1</f>
        <v>6.7114093959732557E-3</v>
      </c>
      <c r="D35" s="353"/>
      <c r="E35" s="353">
        <f>E32/E26-1</f>
        <v>6.3694267515923553E-3</v>
      </c>
      <c r="F35" s="353">
        <f>F32/F26-1</f>
        <v>5.9880239520957446E-3</v>
      </c>
      <c r="G35" s="353">
        <f>G32/G26-1</f>
        <v>5.2910052910053462E-3</v>
      </c>
      <c r="H35" s="353"/>
      <c r="I35" s="353"/>
      <c r="J35" s="355"/>
      <c r="K35" s="434"/>
      <c r="L35" s="467">
        <f>L32/L26-1</f>
        <v>5.9880239520957446E-3</v>
      </c>
      <c r="M35" s="292">
        <f>M32/M26-1</f>
        <v>5.9880239520957446E-3</v>
      </c>
      <c r="O35" s="445"/>
      <c r="P35" s="357"/>
      <c r="Q35" s="358"/>
      <c r="R35" s="353">
        <f>R32/R26-1</f>
        <v>5.464480874316946E-3</v>
      </c>
    </row>
    <row r="36" spans="1:18" ht="37.9" hidden="1" x14ac:dyDescent="0.2">
      <c r="A36" s="512">
        <v>43793</v>
      </c>
      <c r="B36" s="419" t="s">
        <v>53</v>
      </c>
      <c r="C36" s="408">
        <v>1604.11</v>
      </c>
      <c r="D36" s="347"/>
      <c r="E36" s="346">
        <v>1615.19</v>
      </c>
      <c r="F36" s="346">
        <v>1720.84</v>
      </c>
      <c r="G36" s="346">
        <v>1765</v>
      </c>
      <c r="H36" s="347"/>
      <c r="I36" s="347"/>
      <c r="J36" s="290"/>
      <c r="K36" s="431"/>
      <c r="L36" s="256">
        <v>1576.61</v>
      </c>
      <c r="M36" s="462">
        <v>1591.43</v>
      </c>
      <c r="O36" s="442"/>
      <c r="P36" s="348"/>
      <c r="Q36" s="349"/>
      <c r="R36" s="346">
        <v>1661.54</v>
      </c>
    </row>
    <row r="37" spans="1:18" ht="37.9" hidden="1" x14ac:dyDescent="0.2">
      <c r="A37" s="561"/>
      <c r="B37" s="415" t="s">
        <v>54</v>
      </c>
      <c r="C37" s="409">
        <v>1638</v>
      </c>
      <c r="D37" s="249"/>
      <c r="E37" s="250">
        <v>1716</v>
      </c>
      <c r="F37" s="250">
        <v>1820</v>
      </c>
      <c r="G37" s="250">
        <v>2054</v>
      </c>
      <c r="H37" s="249"/>
      <c r="I37" s="249"/>
      <c r="J37" s="330"/>
      <c r="K37" s="432"/>
      <c r="L37" s="463">
        <v>1680</v>
      </c>
      <c r="M37" s="464">
        <v>1680</v>
      </c>
      <c r="O37" s="446"/>
      <c r="P37" s="331"/>
      <c r="Q37" s="332"/>
      <c r="R37" s="250">
        <v>1836</v>
      </c>
    </row>
    <row r="38" spans="1:18" ht="37.9" hidden="1" x14ac:dyDescent="0.2">
      <c r="A38" s="561"/>
      <c r="B38" s="415" t="s">
        <v>55</v>
      </c>
      <c r="C38" s="409">
        <v>1.51</v>
      </c>
      <c r="D38" s="249"/>
      <c r="E38" s="250">
        <v>1.59</v>
      </c>
      <c r="F38" s="250">
        <v>1.69</v>
      </c>
      <c r="G38" s="250">
        <v>1.91</v>
      </c>
      <c r="H38" s="249"/>
      <c r="I38" s="249"/>
      <c r="J38" s="330"/>
      <c r="K38" s="432"/>
      <c r="L38" s="463">
        <v>1.69</v>
      </c>
      <c r="M38" s="464">
        <v>1.69</v>
      </c>
      <c r="O38" s="443"/>
      <c r="P38" s="334"/>
      <c r="Q38" s="335"/>
      <c r="R38" s="250">
        <v>1.85</v>
      </c>
    </row>
    <row r="39" spans="1:18" x14ac:dyDescent="0.2">
      <c r="A39" s="512">
        <v>43793</v>
      </c>
      <c r="B39" s="415" t="s">
        <v>56</v>
      </c>
      <c r="C39" s="410">
        <f>(C37-C36)/C37</f>
        <v>2.068986568986575E-2</v>
      </c>
      <c r="D39" s="336"/>
      <c r="E39" s="336">
        <f>(E37-E36)/E37</f>
        <v>5.8747086247086217E-2</v>
      </c>
      <c r="F39" s="336">
        <f>(F37-F36)/F37</f>
        <v>5.4483516483516528E-2</v>
      </c>
      <c r="G39" s="336">
        <f>(G37-G36)/G37</f>
        <v>0.14070107108081792</v>
      </c>
      <c r="H39" s="336"/>
      <c r="I39" s="336"/>
      <c r="J39" s="338"/>
      <c r="K39" s="433"/>
      <c r="L39" s="465">
        <f>(L37-L36)/L37</f>
        <v>6.1541666666666724E-2</v>
      </c>
      <c r="M39" s="466">
        <f>(M37-M36)/M37</f>
        <v>5.2720238095238056E-2</v>
      </c>
      <c r="O39" s="444"/>
      <c r="P39" s="340"/>
      <c r="Q39" s="341"/>
      <c r="R39" s="336">
        <f>(R37-R36)/R37</f>
        <v>9.5021786492374749E-2</v>
      </c>
    </row>
    <row r="40" spans="1:18" ht="25.3" hidden="1" x14ac:dyDescent="0.2">
      <c r="A40" s="561"/>
      <c r="B40" s="415" t="s">
        <v>57</v>
      </c>
      <c r="C40" s="410">
        <f>(C37-C36)/C36</f>
        <v>2.1126980069945393E-2</v>
      </c>
      <c r="D40" s="336"/>
      <c r="E40" s="336">
        <f>(E37-E36)/E36</f>
        <v>6.2413709842185715E-2</v>
      </c>
      <c r="F40" s="336">
        <f>(F37-F36)/F36</f>
        <v>5.7623021315171712E-2</v>
      </c>
      <c r="G40" s="336">
        <f>(G37-G36)/G36</f>
        <v>0.16373937677053824</v>
      </c>
      <c r="H40" s="336"/>
      <c r="I40" s="336"/>
      <c r="J40" s="338"/>
      <c r="K40" s="433"/>
      <c r="L40" s="465">
        <f>(L37-L36)/L36</f>
        <v>6.5577409758913185E-2</v>
      </c>
      <c r="M40" s="466">
        <f>(M37-M36)/M36</f>
        <v>5.5654348604713959E-2</v>
      </c>
      <c r="O40" s="444"/>
      <c r="P40" s="340"/>
      <c r="Q40" s="341"/>
      <c r="R40" s="336">
        <f>(R37-R36)/R36</f>
        <v>0.10499897685279923</v>
      </c>
    </row>
    <row r="41" spans="1:18" ht="25.9" hidden="1" thickBot="1" x14ac:dyDescent="0.25">
      <c r="A41" s="562"/>
      <c r="B41" s="418" t="s">
        <v>58</v>
      </c>
      <c r="C41" s="411">
        <f>C38/C32-1</f>
        <v>6.6666666666665986E-3</v>
      </c>
      <c r="D41" s="353"/>
      <c r="E41" s="353">
        <f>E38/E32-1</f>
        <v>6.3291139240506666E-3</v>
      </c>
      <c r="F41" s="353">
        <f>F38/F32-1</f>
        <v>5.9523809523809312E-3</v>
      </c>
      <c r="G41" s="353">
        <f>G38/G32-1</f>
        <v>5.2631578947368585E-3</v>
      </c>
      <c r="H41" s="353"/>
      <c r="I41" s="353"/>
      <c r="J41" s="355"/>
      <c r="K41" s="434"/>
      <c r="L41" s="467">
        <f>L38/L32-1</f>
        <v>5.9523809523809312E-3</v>
      </c>
      <c r="M41" s="292">
        <f>M38/M32-1</f>
        <v>5.9523809523809312E-3</v>
      </c>
      <c r="O41" s="445"/>
      <c r="P41" s="357"/>
      <c r="Q41" s="358"/>
      <c r="R41" s="353">
        <f>R38/R32-1</f>
        <v>5.4347826086955653E-3</v>
      </c>
    </row>
    <row r="42" spans="1:18" ht="37.9" hidden="1" x14ac:dyDescent="0.2">
      <c r="A42" s="512">
        <v>43800</v>
      </c>
      <c r="B42" s="419" t="s">
        <v>53</v>
      </c>
      <c r="C42" s="408">
        <v>1614.53</v>
      </c>
      <c r="D42" s="347"/>
      <c r="E42" s="346">
        <v>1625.15</v>
      </c>
      <c r="F42" s="346">
        <v>1730.84</v>
      </c>
      <c r="G42" s="346">
        <v>1774.08</v>
      </c>
      <c r="H42" s="347"/>
      <c r="I42" s="347"/>
      <c r="J42" s="290"/>
      <c r="K42" s="431"/>
      <c r="L42" s="256">
        <v>1585.76</v>
      </c>
      <c r="M42" s="462">
        <v>1600.66</v>
      </c>
      <c r="O42" s="442"/>
      <c r="P42" s="348"/>
      <c r="Q42" s="349"/>
      <c r="R42" s="346">
        <v>1670.35</v>
      </c>
    </row>
    <row r="43" spans="1:18" ht="37.9" hidden="1" x14ac:dyDescent="0.2">
      <c r="A43" s="561"/>
      <c r="B43" s="415" t="s">
        <v>54</v>
      </c>
      <c r="C43" s="409">
        <v>1651</v>
      </c>
      <c r="D43" s="249"/>
      <c r="E43" s="250">
        <v>1729</v>
      </c>
      <c r="F43" s="250">
        <v>1846</v>
      </c>
      <c r="G43" s="250">
        <v>2080</v>
      </c>
      <c r="H43" s="249"/>
      <c r="I43" s="249"/>
      <c r="J43" s="330"/>
      <c r="K43" s="432"/>
      <c r="L43" s="463">
        <v>1704</v>
      </c>
      <c r="M43" s="464">
        <v>1704</v>
      </c>
      <c r="O43" s="446"/>
      <c r="P43" s="331"/>
      <c r="Q43" s="332"/>
      <c r="R43" s="250">
        <v>1860</v>
      </c>
    </row>
    <row r="44" spans="1:18" ht="37.9" hidden="1" x14ac:dyDescent="0.2">
      <c r="A44" s="561"/>
      <c r="B44" s="415" t="s">
        <v>55</v>
      </c>
      <c r="C44" s="409">
        <v>1.52</v>
      </c>
      <c r="D44" s="249"/>
      <c r="E44" s="250">
        <v>1.6</v>
      </c>
      <c r="F44" s="250">
        <v>1.7</v>
      </c>
      <c r="G44" s="250">
        <v>1.92</v>
      </c>
      <c r="H44" s="249"/>
      <c r="I44" s="249"/>
      <c r="J44" s="330"/>
      <c r="K44" s="432"/>
      <c r="L44" s="463">
        <v>1.7</v>
      </c>
      <c r="M44" s="464">
        <v>1.7</v>
      </c>
      <c r="O44" s="443"/>
      <c r="P44" s="334"/>
      <c r="Q44" s="335"/>
      <c r="R44" s="250">
        <v>1.86</v>
      </c>
    </row>
    <row r="45" spans="1:18" x14ac:dyDescent="0.2">
      <c r="A45" s="512">
        <v>43800</v>
      </c>
      <c r="B45" s="415" t="s">
        <v>56</v>
      </c>
      <c r="C45" s="410">
        <f>(C43-C42)/C43</f>
        <v>2.2089642640823758E-2</v>
      </c>
      <c r="D45" s="336"/>
      <c r="E45" s="336">
        <f>(E43-E42)/E43</f>
        <v>6.0063620589936327E-2</v>
      </c>
      <c r="F45" s="336">
        <f>(F43-F42)/F43</f>
        <v>6.2383531960996795E-2</v>
      </c>
      <c r="G45" s="336">
        <f>(G43-G42)/G43</f>
        <v>0.14707692307692311</v>
      </c>
      <c r="H45" s="336"/>
      <c r="I45" s="336"/>
      <c r="J45" s="338"/>
      <c r="K45" s="433"/>
      <c r="L45" s="465">
        <f>(L43-L42)/L43</f>
        <v>6.9389671361502356E-2</v>
      </c>
      <c r="M45" s="466">
        <f>(M43-M42)/M43</f>
        <v>6.0645539906103239E-2</v>
      </c>
      <c r="O45" s="444"/>
      <c r="P45" s="340"/>
      <c r="Q45" s="341"/>
      <c r="R45" s="336">
        <f>(R43-R42)/R43</f>
        <v>0.1019623655913979</v>
      </c>
    </row>
    <row r="46" spans="1:18" ht="25.3" hidden="1" x14ac:dyDescent="0.2">
      <c r="A46" s="561"/>
      <c r="B46" s="415" t="s">
        <v>57</v>
      </c>
      <c r="C46" s="410">
        <f>(C43-C42)/C42</f>
        <v>2.2588617120772005E-2</v>
      </c>
      <c r="D46" s="336"/>
      <c r="E46" s="336">
        <f>(E43-E42)/E42</f>
        <v>6.3901793680583269E-2</v>
      </c>
      <c r="F46" s="336">
        <f>(F43-F42)/F42</f>
        <v>6.6534168380670708E-2</v>
      </c>
      <c r="G46" s="336">
        <f>(G43-G42)/G42</f>
        <v>0.17243867243867247</v>
      </c>
      <c r="H46" s="336"/>
      <c r="I46" s="336"/>
      <c r="J46" s="338"/>
      <c r="K46" s="433"/>
      <c r="L46" s="465">
        <f>(L43-L42)/L42</f>
        <v>7.4563616184037937E-2</v>
      </c>
      <c r="M46" s="466">
        <f>(M43-M42)/M42</f>
        <v>6.4560868641685254E-2</v>
      </c>
      <c r="O46" s="444"/>
      <c r="P46" s="340"/>
      <c r="Q46" s="341"/>
      <c r="R46" s="336">
        <f>(R43-R42)/R42</f>
        <v>0.11353907863621403</v>
      </c>
    </row>
    <row r="47" spans="1:18" ht="25.9" hidden="1" thickBot="1" x14ac:dyDescent="0.25">
      <c r="A47" s="562"/>
      <c r="B47" s="418" t="s">
        <v>58</v>
      </c>
      <c r="C47" s="411">
        <f>C44/C38-1</f>
        <v>6.6225165562914245E-3</v>
      </c>
      <c r="D47" s="353"/>
      <c r="E47" s="353">
        <f>E44/E38-1</f>
        <v>6.2893081761006275E-3</v>
      </c>
      <c r="F47" s="353">
        <f>F44/F38-1</f>
        <v>5.9171597633136397E-3</v>
      </c>
      <c r="G47" s="353">
        <f>G44/G38-1</f>
        <v>5.2356020942407877E-3</v>
      </c>
      <c r="H47" s="353"/>
      <c r="I47" s="353"/>
      <c r="J47" s="355"/>
      <c r="K47" s="434"/>
      <c r="L47" s="467">
        <f>L44/L38-1</f>
        <v>5.9171597633136397E-3</v>
      </c>
      <c r="M47" s="292">
        <f>M44/M38-1</f>
        <v>5.9171597633136397E-3</v>
      </c>
      <c r="O47" s="445"/>
      <c r="P47" s="357"/>
      <c r="Q47" s="358"/>
      <c r="R47" s="353">
        <f>R44/R38-1</f>
        <v>5.4054054054053502E-3</v>
      </c>
    </row>
    <row r="48" spans="1:18" ht="37.9" hidden="1" x14ac:dyDescent="0.2">
      <c r="A48" s="512">
        <v>43807</v>
      </c>
      <c r="B48" s="419" t="s">
        <v>53</v>
      </c>
      <c r="C48" s="408">
        <v>1624.95</v>
      </c>
      <c r="D48" s="347"/>
      <c r="E48" s="346">
        <v>1635.11</v>
      </c>
      <c r="F48" s="346">
        <v>1740.84</v>
      </c>
      <c r="G48" s="346">
        <v>1783.16</v>
      </c>
      <c r="H48" s="347"/>
      <c r="I48" s="347"/>
      <c r="J48" s="290"/>
      <c r="K48" s="431"/>
      <c r="L48" s="256">
        <v>1594.91</v>
      </c>
      <c r="M48" s="462">
        <v>1609.89</v>
      </c>
      <c r="O48" s="442"/>
      <c r="P48" s="348"/>
      <c r="Q48" s="349"/>
      <c r="R48" s="346">
        <v>1679.16</v>
      </c>
    </row>
    <row r="49" spans="1:18" ht="37.9" hidden="1" x14ac:dyDescent="0.2">
      <c r="A49" s="561"/>
      <c r="B49" s="415" t="s">
        <v>54</v>
      </c>
      <c r="C49" s="409">
        <v>1651</v>
      </c>
      <c r="D49" s="249"/>
      <c r="E49" s="250">
        <v>1742</v>
      </c>
      <c r="F49" s="250">
        <v>1846</v>
      </c>
      <c r="G49" s="250">
        <v>2093</v>
      </c>
      <c r="H49" s="249"/>
      <c r="I49" s="249"/>
      <c r="J49" s="330"/>
      <c r="K49" s="432"/>
      <c r="L49" s="463">
        <v>1704</v>
      </c>
      <c r="M49" s="464">
        <v>1704</v>
      </c>
      <c r="O49" s="446"/>
      <c r="P49" s="331"/>
      <c r="Q49" s="332"/>
      <c r="R49" s="250">
        <v>1872</v>
      </c>
    </row>
    <row r="50" spans="1:18" ht="37.9" hidden="1" x14ac:dyDescent="0.2">
      <c r="A50" s="561"/>
      <c r="B50" s="415" t="s">
        <v>55</v>
      </c>
      <c r="C50" s="409">
        <v>1.53</v>
      </c>
      <c r="D50" s="249"/>
      <c r="E50" s="250">
        <v>1.61</v>
      </c>
      <c r="F50" s="250">
        <v>1.71</v>
      </c>
      <c r="G50" s="250">
        <v>1.93</v>
      </c>
      <c r="H50" s="249"/>
      <c r="I50" s="249"/>
      <c r="J50" s="330"/>
      <c r="K50" s="432"/>
      <c r="L50" s="463">
        <v>1.71</v>
      </c>
      <c r="M50" s="464">
        <v>1.71</v>
      </c>
      <c r="O50" s="443"/>
      <c r="P50" s="334"/>
      <c r="Q50" s="335"/>
      <c r="R50" s="250">
        <v>1.87</v>
      </c>
    </row>
    <row r="51" spans="1:18" x14ac:dyDescent="0.2">
      <c r="A51" s="512">
        <v>43807</v>
      </c>
      <c r="B51" s="415" t="s">
        <v>56</v>
      </c>
      <c r="C51" s="410">
        <f>(C49-C48)/C49</f>
        <v>1.5778316172016933E-2</v>
      </c>
      <c r="D51" s="336"/>
      <c r="E51" s="336">
        <f>(E49-E48)/E49</f>
        <v>6.1360505166475371E-2</v>
      </c>
      <c r="F51" s="336">
        <f>(F49-F48)/F49</f>
        <v>5.6966413867822363E-2</v>
      </c>
      <c r="G51" s="336">
        <f>(G49-G48)/G49</f>
        <v>0.14803631151457233</v>
      </c>
      <c r="H51" s="336"/>
      <c r="I51" s="336"/>
      <c r="J51" s="338"/>
      <c r="K51" s="433"/>
      <c r="L51" s="465">
        <f>(L49-L48)/L49</f>
        <v>6.4019953051643139E-2</v>
      </c>
      <c r="M51" s="466">
        <f>(M49-M48)/M49</f>
        <v>5.5228873239436559E-2</v>
      </c>
      <c r="O51" s="444"/>
      <c r="P51" s="340"/>
      <c r="Q51" s="341"/>
      <c r="R51" s="336">
        <f>(R49-R48)/R49</f>
        <v>0.10301282051282047</v>
      </c>
    </row>
    <row r="52" spans="1:18" ht="25.3" hidden="1" x14ac:dyDescent="0.2">
      <c r="A52" s="561"/>
      <c r="B52" s="415" t="s">
        <v>57</v>
      </c>
      <c r="C52" s="410">
        <f>(C49-C48)/C48</f>
        <v>1.6031262500384599E-2</v>
      </c>
      <c r="D52" s="336"/>
      <c r="E52" s="336">
        <f>(E49-E48)/E48</f>
        <v>6.5371748689690673E-2</v>
      </c>
      <c r="F52" s="336">
        <f>(F49-F48)/F48</f>
        <v>6.0407619310218104E-2</v>
      </c>
      <c r="G52" s="336">
        <f>(G49-G48)/G48</f>
        <v>0.17375894479463419</v>
      </c>
      <c r="H52" s="336"/>
      <c r="I52" s="336"/>
      <c r="J52" s="338"/>
      <c r="K52" s="433"/>
      <c r="L52" s="465">
        <f>(L49-L48)/L48</f>
        <v>6.8398843821908389E-2</v>
      </c>
      <c r="M52" s="466">
        <f>(M49-M48)/M48</f>
        <v>5.8457410133611547E-2</v>
      </c>
      <c r="O52" s="444"/>
      <c r="P52" s="340"/>
      <c r="Q52" s="341"/>
      <c r="R52" s="336">
        <f>(R49-R48)/R48</f>
        <v>0.11484313585364105</v>
      </c>
    </row>
    <row r="53" spans="1:18" ht="25.9" hidden="1" thickBot="1" x14ac:dyDescent="0.25">
      <c r="A53" s="562"/>
      <c r="B53" s="418" t="s">
        <v>58</v>
      </c>
      <c r="C53" s="411">
        <f>C50/C44-1</f>
        <v>6.5789473684210176E-3</v>
      </c>
      <c r="D53" s="353"/>
      <c r="E53" s="353">
        <f>E50/E44-1</f>
        <v>6.2500000000000888E-3</v>
      </c>
      <c r="F53" s="353">
        <f>F50/F44-1</f>
        <v>5.8823529411764497E-3</v>
      </c>
      <c r="G53" s="353">
        <f>G50/G44-1</f>
        <v>5.2083333333332593E-3</v>
      </c>
      <c r="H53" s="353"/>
      <c r="I53" s="353"/>
      <c r="J53" s="355"/>
      <c r="K53" s="434"/>
      <c r="L53" s="467">
        <f>L50/L44-1</f>
        <v>5.8823529411764497E-3</v>
      </c>
      <c r="M53" s="292">
        <f>M50/M44-1</f>
        <v>5.8823529411764497E-3</v>
      </c>
      <c r="O53" s="445"/>
      <c r="P53" s="357"/>
      <c r="Q53" s="358"/>
      <c r="R53" s="353">
        <f>R50/R44-1</f>
        <v>5.3763440860215006E-3</v>
      </c>
    </row>
    <row r="54" spans="1:18" ht="37.9" hidden="1" x14ac:dyDescent="0.2">
      <c r="A54" s="512">
        <v>43814</v>
      </c>
      <c r="B54" s="419" t="s">
        <v>53</v>
      </c>
      <c r="C54" s="408">
        <v>1635.37</v>
      </c>
      <c r="D54" s="347"/>
      <c r="E54" s="346">
        <v>1645.07</v>
      </c>
      <c r="F54" s="346">
        <v>1750.84</v>
      </c>
      <c r="G54" s="346">
        <v>1792.24</v>
      </c>
      <c r="H54" s="347"/>
      <c r="I54" s="347"/>
      <c r="J54" s="290"/>
      <c r="K54" s="431"/>
      <c r="L54" s="256">
        <v>1604.06</v>
      </c>
      <c r="M54" s="462">
        <v>1619.12</v>
      </c>
      <c r="O54" s="442"/>
      <c r="P54" s="348"/>
      <c r="Q54" s="349"/>
      <c r="R54" s="346">
        <v>1687.97</v>
      </c>
    </row>
    <row r="55" spans="1:18" ht="37.9" hidden="1" x14ac:dyDescent="0.2">
      <c r="A55" s="561"/>
      <c r="B55" s="415" t="s">
        <v>54</v>
      </c>
      <c r="C55" s="409">
        <v>1664</v>
      </c>
      <c r="D55" s="249"/>
      <c r="E55" s="250">
        <v>1755</v>
      </c>
      <c r="F55" s="250">
        <v>1859</v>
      </c>
      <c r="G55" s="250">
        <v>2106</v>
      </c>
      <c r="H55" s="249"/>
      <c r="I55" s="249"/>
      <c r="J55" s="330"/>
      <c r="K55" s="432"/>
      <c r="L55" s="463">
        <v>1716</v>
      </c>
      <c r="M55" s="464">
        <v>1716</v>
      </c>
      <c r="O55" s="446"/>
      <c r="P55" s="331"/>
      <c r="Q55" s="332"/>
      <c r="R55" s="250">
        <v>1884</v>
      </c>
    </row>
    <row r="56" spans="1:18" ht="37.9" hidden="1" x14ac:dyDescent="0.2">
      <c r="A56" s="561"/>
      <c r="B56" s="415" t="s">
        <v>55</v>
      </c>
      <c r="C56" s="409">
        <v>1.54</v>
      </c>
      <c r="D56" s="249"/>
      <c r="E56" s="250">
        <v>1.62</v>
      </c>
      <c r="F56" s="250">
        <v>1.72</v>
      </c>
      <c r="G56" s="250">
        <v>1.94</v>
      </c>
      <c r="H56" s="249"/>
      <c r="I56" s="249"/>
      <c r="J56" s="330"/>
      <c r="K56" s="432"/>
      <c r="L56" s="463">
        <v>1.72</v>
      </c>
      <c r="M56" s="464">
        <v>1.72</v>
      </c>
      <c r="O56" s="443"/>
      <c r="P56" s="334"/>
      <c r="Q56" s="335"/>
      <c r="R56" s="250">
        <v>1.88</v>
      </c>
    </row>
    <row r="57" spans="1:18" x14ac:dyDescent="0.2">
      <c r="A57" s="512">
        <v>43814</v>
      </c>
      <c r="B57" s="415" t="s">
        <v>56</v>
      </c>
      <c r="C57" s="410">
        <f>(C55-C54)/C55</f>
        <v>1.7205528846153912E-2</v>
      </c>
      <c r="D57" s="336"/>
      <c r="E57" s="336">
        <f>(E55-E54)/E55</f>
        <v>6.2638176638176668E-2</v>
      </c>
      <c r="F57" s="336">
        <f>(F55-F54)/F55</f>
        <v>5.8181818181818223E-2</v>
      </c>
      <c r="G57" s="336">
        <f>(G55-G54)/G55</f>
        <v>0.1489838556505223</v>
      </c>
      <c r="H57" s="336"/>
      <c r="I57" s="336"/>
      <c r="J57" s="338"/>
      <c r="K57" s="433"/>
      <c r="L57" s="465">
        <f>(L55-L54)/L55</f>
        <v>6.5233100233100264E-2</v>
      </c>
      <c r="M57" s="466">
        <f>(M55-M54)/M55</f>
        <v>5.6456876456876519E-2</v>
      </c>
      <c r="O57" s="444"/>
      <c r="P57" s="340"/>
      <c r="Q57" s="341"/>
      <c r="R57" s="336">
        <f>(R55-R54)/R55</f>
        <v>0.10404989384288746</v>
      </c>
    </row>
    <row r="58" spans="1:18" ht="25.3" hidden="1" x14ac:dyDescent="0.2">
      <c r="A58" s="561"/>
      <c r="B58" s="415" t="s">
        <v>57</v>
      </c>
      <c r="C58" s="410">
        <f>(C55-C54)/C54</f>
        <v>1.7506741593645542E-2</v>
      </c>
      <c r="D58" s="336"/>
      <c r="E58" s="336">
        <f>(E55-E54)/E54</f>
        <v>6.6823904149975424E-2</v>
      </c>
      <c r="F58" s="336">
        <f>(F55-F54)/F54</f>
        <v>6.1776061776061826E-2</v>
      </c>
      <c r="G58" s="336">
        <f>(G55-G54)/G54</f>
        <v>0.17506583939650938</v>
      </c>
      <c r="H58" s="336"/>
      <c r="I58" s="336"/>
      <c r="J58" s="338"/>
      <c r="K58" s="433"/>
      <c r="L58" s="465">
        <f>(L55-L54)/L54</f>
        <v>6.9785419498023804E-2</v>
      </c>
      <c r="M58" s="466">
        <f>(M55-M54)/M54</f>
        <v>5.9834972083601043E-2</v>
      </c>
      <c r="O58" s="444"/>
      <c r="P58" s="340"/>
      <c r="Q58" s="341"/>
      <c r="R58" s="336">
        <f>(R55-R54)/R54</f>
        <v>0.11613358057311443</v>
      </c>
    </row>
    <row r="59" spans="1:18" ht="25.9" hidden="1" thickBot="1" x14ac:dyDescent="0.25">
      <c r="A59" s="562"/>
      <c r="B59" s="418" t="s">
        <v>58</v>
      </c>
      <c r="C59" s="411">
        <f>C56/C50-1</f>
        <v>6.5359477124182774E-3</v>
      </c>
      <c r="D59" s="353"/>
      <c r="E59" s="353">
        <f>E56/E50-1</f>
        <v>6.2111801242235032E-3</v>
      </c>
      <c r="F59" s="353">
        <f>F56/F50-1</f>
        <v>5.8479532163742132E-3</v>
      </c>
      <c r="G59" s="353">
        <f>G56/G50-1</f>
        <v>5.1813471502590858E-3</v>
      </c>
      <c r="H59" s="353"/>
      <c r="I59" s="353"/>
      <c r="J59" s="355"/>
      <c r="K59" s="434"/>
      <c r="L59" s="467">
        <f>L56/L50-1</f>
        <v>5.8479532163742132E-3</v>
      </c>
      <c r="M59" s="292">
        <f>M56/M50-1</f>
        <v>5.8479532163742132E-3</v>
      </c>
      <c r="O59" s="445"/>
      <c r="P59" s="357"/>
      <c r="Q59" s="358"/>
      <c r="R59" s="353">
        <f>R56/R50-1</f>
        <v>5.3475935828874999E-3</v>
      </c>
    </row>
    <row r="60" spans="1:18" ht="37.9" hidden="1" x14ac:dyDescent="0.2">
      <c r="A60" s="512">
        <v>43821</v>
      </c>
      <c r="B60" s="419" t="s">
        <v>53</v>
      </c>
      <c r="C60" s="408">
        <v>1645.79</v>
      </c>
      <c r="D60" s="347"/>
      <c r="E60" s="346">
        <v>1655.03</v>
      </c>
      <c r="F60" s="346">
        <v>1760.84</v>
      </c>
      <c r="G60" s="346">
        <v>1801.32</v>
      </c>
      <c r="H60" s="347"/>
      <c r="I60" s="347"/>
      <c r="J60" s="290"/>
      <c r="K60" s="431"/>
      <c r="L60" s="256">
        <v>1613.21</v>
      </c>
      <c r="M60" s="462">
        <v>1628.35</v>
      </c>
      <c r="O60" s="442"/>
      <c r="P60" s="348"/>
      <c r="Q60" s="349"/>
      <c r="R60" s="346">
        <v>1696.78</v>
      </c>
    </row>
    <row r="61" spans="1:18" ht="37.9" hidden="1" x14ac:dyDescent="0.2">
      <c r="A61" s="561"/>
      <c r="B61" s="415" t="s">
        <v>54</v>
      </c>
      <c r="C61" s="409">
        <v>1677</v>
      </c>
      <c r="D61" s="249"/>
      <c r="E61" s="250">
        <v>1768</v>
      </c>
      <c r="F61" s="250">
        <v>1872</v>
      </c>
      <c r="G61" s="250">
        <v>2106</v>
      </c>
      <c r="H61" s="249"/>
      <c r="I61" s="249"/>
      <c r="J61" s="330"/>
      <c r="K61" s="432"/>
      <c r="L61" s="463">
        <v>1728</v>
      </c>
      <c r="M61" s="464">
        <v>1728</v>
      </c>
      <c r="O61" s="446"/>
      <c r="P61" s="331"/>
      <c r="Q61" s="332"/>
      <c r="R61" s="250">
        <v>1884</v>
      </c>
    </row>
    <row r="62" spans="1:18" ht="37.9" hidden="1" x14ac:dyDescent="0.2">
      <c r="A62" s="561"/>
      <c r="B62" s="415" t="s">
        <v>55</v>
      </c>
      <c r="C62" s="409">
        <v>1.55</v>
      </c>
      <c r="D62" s="249"/>
      <c r="E62" s="250">
        <v>1.63</v>
      </c>
      <c r="F62" s="250">
        <v>1.73</v>
      </c>
      <c r="G62" s="250">
        <v>1.95</v>
      </c>
      <c r="H62" s="249"/>
      <c r="I62" s="249"/>
      <c r="J62" s="330"/>
      <c r="K62" s="432"/>
      <c r="L62" s="463">
        <v>1.73</v>
      </c>
      <c r="M62" s="464">
        <v>1.73</v>
      </c>
      <c r="O62" s="443"/>
      <c r="P62" s="334"/>
      <c r="Q62" s="335"/>
      <c r="R62" s="250">
        <v>1.89</v>
      </c>
    </row>
    <row r="63" spans="1:18" x14ac:dyDescent="0.2">
      <c r="A63" s="512">
        <v>43821</v>
      </c>
      <c r="B63" s="415" t="s">
        <v>56</v>
      </c>
      <c r="C63" s="410">
        <f>(C61-C60)/C61</f>
        <v>1.8610614192009562E-2</v>
      </c>
      <c r="D63" s="336"/>
      <c r="E63" s="336">
        <f>(E61-E60)/E61</f>
        <v>6.3897058823529432E-2</v>
      </c>
      <c r="F63" s="336">
        <f>(F61-F60)/F61</f>
        <v>5.9380341880341928E-2</v>
      </c>
      <c r="G63" s="336">
        <f>(G61-G60)/G61</f>
        <v>0.14467236467236469</v>
      </c>
      <c r="H63" s="336"/>
      <c r="I63" s="336"/>
      <c r="J63" s="338"/>
      <c r="K63" s="433"/>
      <c r="L63" s="465">
        <f>(L61-L60)/L61</f>
        <v>6.6429398148148133E-2</v>
      </c>
      <c r="M63" s="466">
        <f>(M61-M60)/M61</f>
        <v>5.7667824074074128E-2</v>
      </c>
      <c r="O63" s="444"/>
      <c r="P63" s="340"/>
      <c r="Q63" s="341"/>
      <c r="R63" s="336">
        <f>(R61-R60)/R61</f>
        <v>9.937367303609343E-2</v>
      </c>
    </row>
    <row r="64" spans="1:18" ht="25.3" hidden="1" x14ac:dyDescent="0.2">
      <c r="A64" s="561"/>
      <c r="B64" s="415" t="s">
        <v>57</v>
      </c>
      <c r="C64" s="410">
        <f>(C61-C60)/C60</f>
        <v>1.8963537267816695E-2</v>
      </c>
      <c r="D64" s="336"/>
      <c r="E64" s="336">
        <f>(E61-E60)/E60</f>
        <v>6.8258581415442637E-2</v>
      </c>
      <c r="F64" s="336">
        <f>(F61-F60)/F60</f>
        <v>6.3128961177619819E-2</v>
      </c>
      <c r="G64" s="336">
        <f>(G61-G60)/G60</f>
        <v>0.16914262873892483</v>
      </c>
      <c r="H64" s="336"/>
      <c r="I64" s="336"/>
      <c r="J64" s="338"/>
      <c r="K64" s="433"/>
      <c r="L64" s="465">
        <f>(L61-L60)/L60</f>
        <v>7.1156266078191907E-2</v>
      </c>
      <c r="M64" s="466">
        <f>(M61-M60)/M60</f>
        <v>6.119691712469684E-2</v>
      </c>
      <c r="O64" s="444"/>
      <c r="P64" s="340"/>
      <c r="Q64" s="341"/>
      <c r="R64" s="336">
        <f>(R61-R60)/R60</f>
        <v>0.11033840568606421</v>
      </c>
    </row>
    <row r="65" spans="1:18" ht="25.9" hidden="1" thickBot="1" x14ac:dyDescent="0.25">
      <c r="A65" s="562"/>
      <c r="B65" s="418" t="s">
        <v>58</v>
      </c>
      <c r="C65" s="411">
        <f>C62/C56-1</f>
        <v>6.4935064935065512E-3</v>
      </c>
      <c r="D65" s="353"/>
      <c r="E65" s="353">
        <f>E62/E56-1</f>
        <v>6.1728395061726449E-3</v>
      </c>
      <c r="F65" s="353">
        <f>F62/F56-1</f>
        <v>5.8139534883721034E-3</v>
      </c>
      <c r="G65" s="353">
        <f>G62/G56-1</f>
        <v>5.1546391752577136E-3</v>
      </c>
      <c r="H65" s="353"/>
      <c r="I65" s="353"/>
      <c r="J65" s="355"/>
      <c r="K65" s="434"/>
      <c r="L65" s="467">
        <f>L62/L56-1</f>
        <v>5.8139534883721034E-3</v>
      </c>
      <c r="M65" s="292">
        <f>M62/M56-1</f>
        <v>5.8139534883721034E-3</v>
      </c>
      <c r="O65" s="445"/>
      <c r="P65" s="357"/>
      <c r="Q65" s="358"/>
      <c r="R65" s="353">
        <f>R62/R56-1</f>
        <v>5.3191489361701372E-3</v>
      </c>
    </row>
    <row r="66" spans="1:18" ht="37.9" hidden="1" x14ac:dyDescent="0.2">
      <c r="A66" s="512">
        <v>43828</v>
      </c>
      <c r="B66" s="419" t="s">
        <v>53</v>
      </c>
      <c r="C66" s="408">
        <v>1656.21</v>
      </c>
      <c r="D66" s="347"/>
      <c r="E66" s="346">
        <v>1664.99</v>
      </c>
      <c r="F66" s="346">
        <v>1770.84</v>
      </c>
      <c r="G66" s="346">
        <v>1810.4</v>
      </c>
      <c r="H66" s="347"/>
      <c r="I66" s="347"/>
      <c r="J66" s="290"/>
      <c r="K66" s="431"/>
      <c r="L66" s="256">
        <v>1622.36</v>
      </c>
      <c r="M66" s="462">
        <v>1637.58</v>
      </c>
      <c r="O66" s="442"/>
      <c r="P66" s="348"/>
      <c r="Q66" s="349"/>
      <c r="R66" s="346">
        <v>1705.59</v>
      </c>
    </row>
    <row r="67" spans="1:18" ht="37.9" hidden="1" x14ac:dyDescent="0.2">
      <c r="A67" s="561"/>
      <c r="B67" s="415" t="s">
        <v>54</v>
      </c>
      <c r="C67" s="409">
        <v>1690</v>
      </c>
      <c r="D67" s="249"/>
      <c r="E67" s="250">
        <v>1781</v>
      </c>
      <c r="F67" s="250">
        <v>1885</v>
      </c>
      <c r="G67" s="250">
        <v>2119</v>
      </c>
      <c r="H67" s="249"/>
      <c r="I67" s="249"/>
      <c r="J67" s="330"/>
      <c r="K67" s="432"/>
      <c r="L67" s="463">
        <v>1740</v>
      </c>
      <c r="M67" s="464">
        <v>1740</v>
      </c>
      <c r="O67" s="446"/>
      <c r="P67" s="331"/>
      <c r="Q67" s="332"/>
      <c r="R67" s="250">
        <v>1896</v>
      </c>
    </row>
    <row r="68" spans="1:18" ht="37.9" hidden="1" x14ac:dyDescent="0.2">
      <c r="A68" s="561"/>
      <c r="B68" s="415" t="s">
        <v>55</v>
      </c>
      <c r="C68" s="409">
        <v>1.56</v>
      </c>
      <c r="D68" s="249"/>
      <c r="E68" s="250">
        <v>1.64</v>
      </c>
      <c r="F68" s="250">
        <v>1.74</v>
      </c>
      <c r="G68" s="250">
        <v>1.96</v>
      </c>
      <c r="H68" s="249"/>
      <c r="I68" s="249"/>
      <c r="J68" s="330"/>
      <c r="K68" s="432"/>
      <c r="L68" s="463">
        <v>1.74</v>
      </c>
      <c r="M68" s="464">
        <v>1.74</v>
      </c>
      <c r="O68" s="443"/>
      <c r="P68" s="334"/>
      <c r="Q68" s="335"/>
      <c r="R68" s="250">
        <v>1.9</v>
      </c>
    </row>
    <row r="69" spans="1:18" x14ac:dyDescent="0.2">
      <c r="A69" s="512">
        <v>43828</v>
      </c>
      <c r="B69" s="415" t="s">
        <v>56</v>
      </c>
      <c r="C69" s="410">
        <f>(C67-C66)/C67</f>
        <v>1.9994082840236665E-2</v>
      </c>
      <c r="D69" s="336"/>
      <c r="E69" s="336">
        <f>(E67-E66)/E67</f>
        <v>6.513756316676024E-2</v>
      </c>
      <c r="F69" s="336">
        <f>(F67-F66)/F67</f>
        <v>6.0562334217506675E-2</v>
      </c>
      <c r="G69" s="336">
        <f>(G67-G66)/G67</f>
        <v>0.14563473336479468</v>
      </c>
      <c r="H69" s="336"/>
      <c r="I69" s="336"/>
      <c r="J69" s="338"/>
      <c r="K69" s="433"/>
      <c r="L69" s="465">
        <f>(L67-L66)/L67</f>
        <v>6.7609195402298913E-2</v>
      </c>
      <c r="M69" s="466">
        <f>(M67-M66)/M67</f>
        <v>5.8862068965517281E-2</v>
      </c>
      <c r="O69" s="444"/>
      <c r="P69" s="340"/>
      <c r="Q69" s="341"/>
      <c r="R69" s="336">
        <f>(R67-R66)/R67</f>
        <v>0.10042721518987346</v>
      </c>
    </row>
    <row r="70" spans="1:18" ht="25.3" hidden="1" x14ac:dyDescent="0.2">
      <c r="A70" s="561"/>
      <c r="B70" s="415" t="s">
        <v>57</v>
      </c>
      <c r="C70" s="410">
        <f>(C67-C66)/C66</f>
        <v>2.0402002161561614E-2</v>
      </c>
      <c r="D70" s="336"/>
      <c r="E70" s="336">
        <f>(E67-E66)/E66</f>
        <v>6.9676094150715615E-2</v>
      </c>
      <c r="F70" s="336">
        <f>(F67-F66)/F66</f>
        <v>6.4466580831695736E-2</v>
      </c>
      <c r="G70" s="336">
        <f>(G67-G66)/G66</f>
        <v>0.17045956694653108</v>
      </c>
      <c r="H70" s="336"/>
      <c r="I70" s="336"/>
      <c r="J70" s="338"/>
      <c r="K70" s="433"/>
      <c r="L70" s="465">
        <f>(L67-L66)/L66</f>
        <v>7.2511649695505373E-2</v>
      </c>
      <c r="M70" s="466">
        <f>(M67-M66)/M66</f>
        <v>6.2543509324735333E-2</v>
      </c>
      <c r="O70" s="444"/>
      <c r="P70" s="340"/>
      <c r="Q70" s="341"/>
      <c r="R70" s="336">
        <f>(R67-R66)/R66</f>
        <v>0.11163878775086632</v>
      </c>
    </row>
    <row r="71" spans="1:18" ht="25.9" hidden="1" thickBot="1" x14ac:dyDescent="0.25">
      <c r="A71" s="562"/>
      <c r="B71" s="418" t="s">
        <v>58</v>
      </c>
      <c r="C71" s="411">
        <f>C68/C62-1</f>
        <v>6.4516129032257119E-3</v>
      </c>
      <c r="D71" s="353"/>
      <c r="E71" s="353">
        <f>E68/E62-1</f>
        <v>6.1349693251533388E-3</v>
      </c>
      <c r="F71" s="353">
        <f>F68/F62-1</f>
        <v>5.7803468208093012E-3</v>
      </c>
      <c r="G71" s="353">
        <f>G68/G62-1</f>
        <v>5.12820512820511E-3</v>
      </c>
      <c r="H71" s="353"/>
      <c r="I71" s="353"/>
      <c r="J71" s="355"/>
      <c r="K71" s="434"/>
      <c r="L71" s="467">
        <f>L68/L62-1</f>
        <v>5.7803468208093012E-3</v>
      </c>
      <c r="M71" s="292">
        <f>M68/M62-1</f>
        <v>5.7803468208093012E-3</v>
      </c>
      <c r="O71" s="445"/>
      <c r="P71" s="357"/>
      <c r="Q71" s="358"/>
      <c r="R71" s="353">
        <f>R68/R62-1</f>
        <v>5.2910052910053462E-3</v>
      </c>
    </row>
    <row r="72" spans="1:18" ht="37.9" hidden="1" x14ac:dyDescent="0.2">
      <c r="A72" s="512">
        <v>43835</v>
      </c>
      <c r="B72" s="419" t="s">
        <v>53</v>
      </c>
      <c r="C72" s="408">
        <v>1666.63</v>
      </c>
      <c r="D72" s="347"/>
      <c r="E72" s="346">
        <v>1674.95</v>
      </c>
      <c r="F72" s="346">
        <v>1780.84</v>
      </c>
      <c r="G72" s="346">
        <v>1819.48</v>
      </c>
      <c r="H72" s="347"/>
      <c r="I72" s="347"/>
      <c r="J72" s="290"/>
      <c r="K72" s="431"/>
      <c r="L72" s="256">
        <v>1631.51</v>
      </c>
      <c r="M72" s="462">
        <v>1646.81</v>
      </c>
      <c r="O72" s="442"/>
      <c r="P72" s="348"/>
      <c r="Q72" s="349"/>
      <c r="R72" s="346">
        <v>1714.4</v>
      </c>
    </row>
    <row r="73" spans="1:18" ht="37.9" hidden="1" x14ac:dyDescent="0.2">
      <c r="A73" s="561"/>
      <c r="B73" s="415" t="s">
        <v>54</v>
      </c>
      <c r="C73" s="409">
        <v>1703</v>
      </c>
      <c r="D73" s="249"/>
      <c r="E73" s="250">
        <v>1781</v>
      </c>
      <c r="F73" s="250">
        <v>1898</v>
      </c>
      <c r="G73" s="250">
        <v>2132</v>
      </c>
      <c r="H73" s="249"/>
      <c r="I73" s="249"/>
      <c r="J73" s="330"/>
      <c r="K73" s="432"/>
      <c r="L73" s="463">
        <v>1752</v>
      </c>
      <c r="M73" s="464">
        <v>1752</v>
      </c>
      <c r="O73" s="446"/>
      <c r="P73" s="331"/>
      <c r="Q73" s="332"/>
      <c r="R73" s="250">
        <v>1908</v>
      </c>
    </row>
    <row r="74" spans="1:18" ht="37.9" hidden="1" x14ac:dyDescent="0.2">
      <c r="A74" s="561"/>
      <c r="B74" s="415" t="s">
        <v>55</v>
      </c>
      <c r="C74" s="409">
        <v>1.57</v>
      </c>
      <c r="D74" s="249"/>
      <c r="E74" s="250">
        <v>1.65</v>
      </c>
      <c r="F74" s="250">
        <v>1.75</v>
      </c>
      <c r="G74" s="250">
        <v>1.97</v>
      </c>
      <c r="H74" s="249"/>
      <c r="I74" s="249"/>
      <c r="J74" s="330"/>
      <c r="K74" s="432"/>
      <c r="L74" s="463">
        <v>1.75</v>
      </c>
      <c r="M74" s="464">
        <v>1.75</v>
      </c>
      <c r="O74" s="443"/>
      <c r="P74" s="334"/>
      <c r="Q74" s="335"/>
      <c r="R74" s="250">
        <v>1.91</v>
      </c>
    </row>
    <row r="75" spans="1:18" x14ac:dyDescent="0.2">
      <c r="A75" s="512">
        <v>43835</v>
      </c>
      <c r="B75" s="415" t="s">
        <v>56</v>
      </c>
      <c r="C75" s="410">
        <f>(C73-C72)/C73</f>
        <v>2.1356429829712208E-2</v>
      </c>
      <c r="D75" s="336"/>
      <c r="E75" s="336">
        <f>(E73-E72)/E73</f>
        <v>5.9545199326221196E-2</v>
      </c>
      <c r="F75" s="336">
        <f>(F73-F72)/F73</f>
        <v>6.1728134878819854E-2</v>
      </c>
      <c r="G75" s="336">
        <f>(G73-G72)/G73</f>
        <v>0.14658536585365853</v>
      </c>
      <c r="H75" s="336"/>
      <c r="I75" s="336"/>
      <c r="J75" s="338"/>
      <c r="K75" s="433"/>
      <c r="L75" s="465">
        <f>(L73-L72)/L73</f>
        <v>6.8772831050228314E-2</v>
      </c>
      <c r="M75" s="466">
        <f>(M73-M72)/M73</f>
        <v>6.0039954337899576E-2</v>
      </c>
      <c r="O75" s="444"/>
      <c r="P75" s="340"/>
      <c r="Q75" s="341"/>
      <c r="R75" s="336">
        <f>(R73-R72)/R73</f>
        <v>0.10146750524109011</v>
      </c>
    </row>
    <row r="76" spans="1:18" ht="25.3" hidden="1" x14ac:dyDescent="0.2">
      <c r="A76" s="561"/>
      <c r="B76" s="415" t="s">
        <v>57</v>
      </c>
      <c r="C76" s="410">
        <f>(C73-C72)/C72</f>
        <v>2.1822480094562013E-2</v>
      </c>
      <c r="D76" s="336"/>
      <c r="E76" s="336">
        <f>(E73-E72)/E72</f>
        <v>6.3315322845458044E-2</v>
      </c>
      <c r="F76" s="336">
        <f>(F73-F72)/F72</f>
        <v>6.5789178140652771E-2</v>
      </c>
      <c r="G76" s="336">
        <f>(G73-G72)/G72</f>
        <v>0.17176336096027436</v>
      </c>
      <c r="H76" s="336"/>
      <c r="I76" s="336"/>
      <c r="J76" s="338"/>
      <c r="K76" s="433"/>
      <c r="L76" s="465">
        <f>(L73-L72)/L72</f>
        <v>7.3851830512837807E-2</v>
      </c>
      <c r="M76" s="466">
        <f>(M73-M72)/M72</f>
        <v>6.3875006831389206E-2</v>
      </c>
      <c r="O76" s="444"/>
      <c r="P76" s="340"/>
      <c r="Q76" s="341"/>
      <c r="R76" s="336">
        <f>(R73-R72)/R72</f>
        <v>0.11292580494633685</v>
      </c>
    </row>
    <row r="77" spans="1:18" ht="25.9" hidden="1" thickBot="1" x14ac:dyDescent="0.25">
      <c r="A77" s="562"/>
      <c r="B77" s="418" t="s">
        <v>58</v>
      </c>
      <c r="C77" s="411">
        <f>C74/C68-1</f>
        <v>6.4102564102563875E-3</v>
      </c>
      <c r="D77" s="353"/>
      <c r="E77" s="353">
        <f>E74/E68-1</f>
        <v>6.0975609756097615E-3</v>
      </c>
      <c r="F77" s="353">
        <f>F74/F68-1</f>
        <v>5.7471264367816577E-3</v>
      </c>
      <c r="G77" s="353">
        <f>G74/G68-1</f>
        <v>5.1020408163264808E-3</v>
      </c>
      <c r="H77" s="353"/>
      <c r="I77" s="353"/>
      <c r="J77" s="355"/>
      <c r="K77" s="434"/>
      <c r="L77" s="467">
        <f>L74/L68-1</f>
        <v>5.7471264367816577E-3</v>
      </c>
      <c r="M77" s="292">
        <f>M74/M68-1</f>
        <v>5.7471264367816577E-3</v>
      </c>
      <c r="O77" s="445"/>
      <c r="P77" s="357"/>
      <c r="Q77" s="358"/>
      <c r="R77" s="353">
        <f>R74/R68-1</f>
        <v>5.2631578947368585E-3</v>
      </c>
    </row>
    <row r="78" spans="1:18" ht="37.9" hidden="1" x14ac:dyDescent="0.2">
      <c r="A78" s="512">
        <v>43842</v>
      </c>
      <c r="B78" s="419" t="s">
        <v>53</v>
      </c>
      <c r="C78" s="408">
        <v>1677.05</v>
      </c>
      <c r="D78" s="347"/>
      <c r="E78" s="346">
        <v>1684.91</v>
      </c>
      <c r="F78" s="346">
        <v>1790.84</v>
      </c>
      <c r="G78" s="346">
        <v>1828.56</v>
      </c>
      <c r="H78" s="347"/>
      <c r="I78" s="347"/>
      <c r="J78" s="290"/>
      <c r="K78" s="431"/>
      <c r="L78" s="256">
        <v>1640.66</v>
      </c>
      <c r="M78" s="462">
        <v>1656.04</v>
      </c>
      <c r="O78" s="442"/>
      <c r="P78" s="348"/>
      <c r="Q78" s="349"/>
      <c r="R78" s="346">
        <v>1714.4</v>
      </c>
    </row>
    <row r="79" spans="1:18" ht="37.9" hidden="1" x14ac:dyDescent="0.2">
      <c r="A79" s="561"/>
      <c r="B79" s="415" t="s">
        <v>54</v>
      </c>
      <c r="C79" s="409">
        <v>1716</v>
      </c>
      <c r="D79" s="249"/>
      <c r="E79" s="250">
        <v>1794</v>
      </c>
      <c r="F79" s="250">
        <v>1911</v>
      </c>
      <c r="G79" s="250">
        <v>2145</v>
      </c>
      <c r="H79" s="249"/>
      <c r="I79" s="249"/>
      <c r="J79" s="330"/>
      <c r="K79" s="432"/>
      <c r="L79" s="463">
        <v>1764</v>
      </c>
      <c r="M79" s="464">
        <v>1764</v>
      </c>
      <c r="O79" s="446"/>
      <c r="P79" s="331"/>
      <c r="Q79" s="332"/>
      <c r="R79" s="250">
        <v>1920</v>
      </c>
    </row>
    <row r="80" spans="1:18" ht="37.9" hidden="1" x14ac:dyDescent="0.2">
      <c r="A80" s="561"/>
      <c r="B80" s="415" t="s">
        <v>55</v>
      </c>
      <c r="C80" s="409">
        <v>1.58</v>
      </c>
      <c r="D80" s="249"/>
      <c r="E80" s="250">
        <v>1.66</v>
      </c>
      <c r="F80" s="250">
        <v>1.76</v>
      </c>
      <c r="G80" s="250">
        <v>1.98</v>
      </c>
      <c r="H80" s="249"/>
      <c r="I80" s="249"/>
      <c r="J80" s="330"/>
      <c r="K80" s="432"/>
      <c r="L80" s="463">
        <v>1.76</v>
      </c>
      <c r="M80" s="464">
        <v>1.76</v>
      </c>
      <c r="O80" s="443"/>
      <c r="P80" s="334"/>
      <c r="Q80" s="335"/>
      <c r="R80" s="250">
        <v>1.92</v>
      </c>
    </row>
    <row r="81" spans="1:18" x14ac:dyDescent="0.2">
      <c r="A81" s="512">
        <v>43842</v>
      </c>
      <c r="B81" s="415" t="s">
        <v>56</v>
      </c>
      <c r="C81" s="410">
        <f>(C79-C78)/C79</f>
        <v>2.2698135198135225E-2</v>
      </c>
      <c r="D81" s="336"/>
      <c r="E81" s="336">
        <f>(E79-E78)/E79</f>
        <v>6.0808249721293152E-2</v>
      </c>
      <c r="F81" s="336">
        <f>(F79-F78)/F79</f>
        <v>6.2878074306645784E-2</v>
      </c>
      <c r="G81" s="336">
        <f>(G79-G78)/G79</f>
        <v>0.14752447552447556</v>
      </c>
      <c r="H81" s="336"/>
      <c r="I81" s="336"/>
      <c r="J81" s="338"/>
      <c r="K81" s="433"/>
      <c r="L81" s="465">
        <f>(L79-L78)/L79</f>
        <v>6.9920634920634869E-2</v>
      </c>
      <c r="M81" s="466">
        <f>(M79-M78)/M79</f>
        <v>6.1201814058956937E-2</v>
      </c>
      <c r="O81" s="444"/>
      <c r="P81" s="340"/>
      <c r="Q81" s="341"/>
      <c r="R81" s="336">
        <f>(R79-R78)/R79</f>
        <v>0.10708333333333328</v>
      </c>
    </row>
    <row r="82" spans="1:18" ht="25.3" hidden="1" x14ac:dyDescent="0.2">
      <c r="A82" s="561"/>
      <c r="B82" s="415" t="s">
        <v>57</v>
      </c>
      <c r="C82" s="410">
        <f>(C79-C78)/C78</f>
        <v>2.322530634149253E-2</v>
      </c>
      <c r="D82" s="336"/>
      <c r="E82" s="336">
        <f>(E79-E78)/E78</f>
        <v>6.4745297968437435E-2</v>
      </c>
      <c r="F82" s="336">
        <f>(F79-F78)/F78</f>
        <v>6.7097004757544002E-2</v>
      </c>
      <c r="G82" s="336">
        <f>(G79-G78)/G78</f>
        <v>0.17305420658879123</v>
      </c>
      <c r="H82" s="336"/>
      <c r="I82" s="336"/>
      <c r="J82" s="338"/>
      <c r="K82" s="433"/>
      <c r="L82" s="465">
        <f>(L79-L78)/L78</f>
        <v>7.5177062889324978E-2</v>
      </c>
      <c r="M82" s="466">
        <f>(M79-M78)/M78</f>
        <v>6.5191662037148879E-2</v>
      </c>
      <c r="O82" s="444"/>
      <c r="P82" s="340"/>
      <c r="Q82" s="341"/>
      <c r="R82" s="336">
        <f>(R79-R78)/R78</f>
        <v>0.11992533831077923</v>
      </c>
    </row>
    <row r="83" spans="1:18" ht="25.9" hidden="1" thickBot="1" x14ac:dyDescent="0.25">
      <c r="A83" s="562"/>
      <c r="B83" s="418" t="s">
        <v>58</v>
      </c>
      <c r="C83" s="411">
        <f>C80/C74-1</f>
        <v>6.3694267515923553E-3</v>
      </c>
      <c r="D83" s="353"/>
      <c r="E83" s="353">
        <f>E80/E74-1</f>
        <v>6.0606060606060996E-3</v>
      </c>
      <c r="F83" s="353">
        <f>F80/F74-1</f>
        <v>5.7142857142857828E-3</v>
      </c>
      <c r="G83" s="353">
        <f>G80/G74-1</f>
        <v>5.0761421319795996E-3</v>
      </c>
      <c r="H83" s="353"/>
      <c r="I83" s="353"/>
      <c r="J83" s="355"/>
      <c r="K83" s="434"/>
      <c r="L83" s="467">
        <f>L80/L74-1</f>
        <v>5.7142857142857828E-3</v>
      </c>
      <c r="M83" s="292">
        <f>M80/M74-1</f>
        <v>5.7142857142857828E-3</v>
      </c>
      <c r="O83" s="445"/>
      <c r="P83" s="357"/>
      <c r="Q83" s="358"/>
      <c r="R83" s="353">
        <f>R80/R74-1</f>
        <v>5.2356020942407877E-3</v>
      </c>
    </row>
    <row r="84" spans="1:18" ht="37.9" hidden="1" x14ac:dyDescent="0.2">
      <c r="A84" s="512">
        <v>43849</v>
      </c>
      <c r="B84" s="419" t="s">
        <v>53</v>
      </c>
      <c r="C84" s="408">
        <v>1687.47</v>
      </c>
      <c r="D84" s="347"/>
      <c r="E84" s="346">
        <v>1694.87</v>
      </c>
      <c r="F84" s="346">
        <v>1800.84</v>
      </c>
      <c r="G84" s="346">
        <v>1827.64</v>
      </c>
      <c r="H84" s="347"/>
      <c r="I84" s="347"/>
      <c r="J84" s="290"/>
      <c r="K84" s="431"/>
      <c r="L84" s="256">
        <v>1649.81</v>
      </c>
      <c r="M84" s="462">
        <v>1665.27</v>
      </c>
      <c r="O84" s="442"/>
      <c r="P84" s="348"/>
      <c r="Q84" s="349"/>
      <c r="R84" s="346">
        <v>1732.02</v>
      </c>
    </row>
    <row r="85" spans="1:18" ht="37.9" hidden="1" x14ac:dyDescent="0.2">
      <c r="A85" s="561"/>
      <c r="B85" s="415" t="s">
        <v>54</v>
      </c>
      <c r="C85" s="409">
        <v>1716</v>
      </c>
      <c r="D85" s="249"/>
      <c r="E85" s="250">
        <v>1807</v>
      </c>
      <c r="F85" s="250">
        <v>1911</v>
      </c>
      <c r="G85" s="250">
        <v>2158</v>
      </c>
      <c r="H85" s="249"/>
      <c r="I85" s="249"/>
      <c r="J85" s="330"/>
      <c r="K85" s="432"/>
      <c r="L85" s="463">
        <v>1764</v>
      </c>
      <c r="M85" s="464">
        <v>1764</v>
      </c>
      <c r="O85" s="446"/>
      <c r="P85" s="331"/>
      <c r="Q85" s="332"/>
      <c r="R85" s="250">
        <v>1932</v>
      </c>
    </row>
    <row r="86" spans="1:18" ht="37.9" hidden="1" x14ac:dyDescent="0.2">
      <c r="A86" s="561"/>
      <c r="B86" s="415" t="s">
        <v>55</v>
      </c>
      <c r="C86" s="409">
        <v>1.59</v>
      </c>
      <c r="D86" s="249"/>
      <c r="E86" s="250">
        <v>1.67</v>
      </c>
      <c r="F86" s="250">
        <v>1.77</v>
      </c>
      <c r="G86" s="250">
        <v>1.99</v>
      </c>
      <c r="H86" s="249"/>
      <c r="I86" s="249"/>
      <c r="J86" s="330"/>
      <c r="K86" s="432"/>
      <c r="L86" s="463">
        <v>1.77</v>
      </c>
      <c r="M86" s="464">
        <v>1.77</v>
      </c>
      <c r="O86" s="443"/>
      <c r="P86" s="334"/>
      <c r="Q86" s="335"/>
      <c r="R86" s="250">
        <v>1.93</v>
      </c>
    </row>
    <row r="87" spans="1:18" x14ac:dyDescent="0.2">
      <c r="A87" s="512">
        <v>43849</v>
      </c>
      <c r="B87" s="415" t="s">
        <v>56</v>
      </c>
      <c r="C87" s="410">
        <f>(C85-C84)/C85</f>
        <v>1.6625874125874109E-2</v>
      </c>
      <c r="D87" s="336"/>
      <c r="E87" s="336">
        <f>(E85-E84)/E85</f>
        <v>6.2053126729385781E-2</v>
      </c>
      <c r="F87" s="336">
        <f>(F85-F84)/F85</f>
        <v>5.7645211930926261E-2</v>
      </c>
      <c r="G87" s="336">
        <f>(G85-G84)/G85</f>
        <v>0.15308619091751619</v>
      </c>
      <c r="H87" s="336"/>
      <c r="I87" s="336"/>
      <c r="J87" s="338"/>
      <c r="K87" s="433"/>
      <c r="L87" s="465">
        <f>(L85-L84)/L85</f>
        <v>6.4733560090702982E-2</v>
      </c>
      <c r="M87" s="466">
        <f>(M85-M84)/M85</f>
        <v>5.5969387755102053E-2</v>
      </c>
      <c r="O87" s="444"/>
      <c r="P87" s="340"/>
      <c r="Q87" s="341"/>
      <c r="R87" s="336">
        <f>(R85-R84)/R85</f>
        <v>0.10350931677018635</v>
      </c>
    </row>
    <row r="88" spans="1:18" ht="25.3" hidden="1" x14ac:dyDescent="0.2">
      <c r="A88" s="561"/>
      <c r="B88" s="415" t="s">
        <v>57</v>
      </c>
      <c r="C88" s="410">
        <f>(C85-C84)/C84</f>
        <v>1.690696723497305E-2</v>
      </c>
      <c r="D88" s="336"/>
      <c r="E88" s="336">
        <f>(E85-E84)/E84</f>
        <v>6.6158466431053775E-2</v>
      </c>
      <c r="F88" s="336">
        <f>(F85-F84)/F84</f>
        <v>6.1171453321783219E-2</v>
      </c>
      <c r="G88" s="336">
        <f>(G85-G84)/G84</f>
        <v>0.18075769845264925</v>
      </c>
      <c r="H88" s="336"/>
      <c r="I88" s="336"/>
      <c r="J88" s="338"/>
      <c r="K88" s="433"/>
      <c r="L88" s="465">
        <f>(L85-L84)/L84</f>
        <v>6.9214030706566246E-2</v>
      </c>
      <c r="M88" s="466">
        <f>(M85-M84)/M84</f>
        <v>5.928768307841973E-2</v>
      </c>
      <c r="O88" s="444"/>
      <c r="P88" s="340"/>
      <c r="Q88" s="341"/>
      <c r="R88" s="336">
        <f>(R85-R84)/R84</f>
        <v>0.11546056050161085</v>
      </c>
    </row>
    <row r="89" spans="1:18" ht="25.9" hidden="1" thickBot="1" x14ac:dyDescent="0.25">
      <c r="A89" s="562"/>
      <c r="B89" s="418" t="s">
        <v>58</v>
      </c>
      <c r="C89" s="411">
        <f>C86/C80-1</f>
        <v>6.3291139240506666E-3</v>
      </c>
      <c r="D89" s="353"/>
      <c r="E89" s="353">
        <f>E86/E80-1</f>
        <v>6.0240963855422436E-3</v>
      </c>
      <c r="F89" s="353">
        <f>F86/F80-1</f>
        <v>5.6818181818181213E-3</v>
      </c>
      <c r="G89" s="353">
        <f>G86/G80-1</f>
        <v>5.050505050504972E-3</v>
      </c>
      <c r="H89" s="353"/>
      <c r="I89" s="353"/>
      <c r="J89" s="355"/>
      <c r="K89" s="434"/>
      <c r="L89" s="467">
        <f>L86/L80-1</f>
        <v>5.6818181818181213E-3</v>
      </c>
      <c r="M89" s="292">
        <f>M86/M80-1</f>
        <v>5.6818181818181213E-3</v>
      </c>
      <c r="O89" s="445"/>
      <c r="P89" s="357"/>
      <c r="Q89" s="358"/>
      <c r="R89" s="353">
        <f>R86/R80-1</f>
        <v>5.2083333333332593E-3</v>
      </c>
    </row>
    <row r="90" spans="1:18" ht="37.9" hidden="1" x14ac:dyDescent="0.2">
      <c r="A90" s="512">
        <v>43856</v>
      </c>
      <c r="B90" s="419" t="s">
        <v>53</v>
      </c>
      <c r="C90" s="408">
        <v>1697.89</v>
      </c>
      <c r="D90" s="347"/>
      <c r="E90" s="346">
        <v>1704.83</v>
      </c>
      <c r="F90" s="346">
        <v>1810.84</v>
      </c>
      <c r="G90" s="346">
        <v>1846.72</v>
      </c>
      <c r="H90" s="347"/>
      <c r="I90" s="347"/>
      <c r="J90" s="290"/>
      <c r="K90" s="431"/>
      <c r="L90" s="256">
        <v>1658.96</v>
      </c>
      <c r="M90" s="462">
        <v>1674.5</v>
      </c>
      <c r="O90" s="442"/>
      <c r="P90" s="348"/>
      <c r="Q90" s="349"/>
      <c r="R90" s="346">
        <v>1740.83</v>
      </c>
    </row>
    <row r="91" spans="1:18" ht="37.9" hidden="1" x14ac:dyDescent="0.2">
      <c r="A91" s="561"/>
      <c r="B91" s="415" t="s">
        <v>54</v>
      </c>
      <c r="C91" s="409">
        <v>1729</v>
      </c>
      <c r="D91" s="249"/>
      <c r="E91" s="250">
        <v>1820</v>
      </c>
      <c r="F91" s="250">
        <v>1924</v>
      </c>
      <c r="G91" s="250">
        <v>2171</v>
      </c>
      <c r="H91" s="249"/>
      <c r="I91" s="249"/>
      <c r="J91" s="330"/>
      <c r="K91" s="432"/>
      <c r="L91" s="463">
        <v>1776</v>
      </c>
      <c r="M91" s="464">
        <v>1776</v>
      </c>
      <c r="O91" s="446"/>
      <c r="P91" s="331"/>
      <c r="Q91" s="332"/>
      <c r="R91" s="250">
        <v>1944</v>
      </c>
    </row>
    <row r="92" spans="1:18" ht="37.9" hidden="1" x14ac:dyDescent="0.2">
      <c r="A92" s="561"/>
      <c r="B92" s="415" t="s">
        <v>55</v>
      </c>
      <c r="C92" s="409">
        <v>1.6</v>
      </c>
      <c r="D92" s="249"/>
      <c r="E92" s="250">
        <v>1.68</v>
      </c>
      <c r="F92" s="250">
        <v>1.78</v>
      </c>
      <c r="G92" s="250">
        <v>2</v>
      </c>
      <c r="H92" s="249"/>
      <c r="I92" s="249"/>
      <c r="J92" s="330"/>
      <c r="K92" s="432"/>
      <c r="L92" s="463">
        <v>1.78</v>
      </c>
      <c r="M92" s="464">
        <v>1.78</v>
      </c>
      <c r="O92" s="443"/>
      <c r="P92" s="334"/>
      <c r="Q92" s="335"/>
      <c r="R92" s="250">
        <v>1.94</v>
      </c>
    </row>
    <row r="93" spans="1:18" x14ac:dyDescent="0.2">
      <c r="A93" s="512">
        <v>43856</v>
      </c>
      <c r="B93" s="415" t="s">
        <v>56</v>
      </c>
      <c r="C93" s="410">
        <f>(C91-C90)/C91</f>
        <v>1.7993059572006882E-2</v>
      </c>
      <c r="D93" s="336"/>
      <c r="E93" s="336">
        <f>(E91-E90)/E91</f>
        <v>6.3280219780219818E-2</v>
      </c>
      <c r="F93" s="336">
        <f>(F91-F90)/F91</f>
        <v>5.8814968814968858E-2</v>
      </c>
      <c r="G93" s="336">
        <f>(G91-G90)/G91</f>
        <v>0.1493689543988945</v>
      </c>
      <c r="H93" s="336"/>
      <c r="I93" s="336"/>
      <c r="J93" s="338"/>
      <c r="K93" s="433"/>
      <c r="L93" s="465">
        <f>(L91-L90)/L91</f>
        <v>6.590090090090088E-2</v>
      </c>
      <c r="M93" s="466">
        <f>(M91-M90)/M91</f>
        <v>5.71509009009009E-2</v>
      </c>
      <c r="O93" s="444"/>
      <c r="P93" s="340"/>
      <c r="Q93" s="341"/>
      <c r="R93" s="336">
        <f>(R91-R90)/R91</f>
        <v>0.10451131687242803</v>
      </c>
    </row>
    <row r="94" spans="1:18" ht="25.3" hidden="1" x14ac:dyDescent="0.2">
      <c r="A94" s="561"/>
      <c r="B94" s="415" t="s">
        <v>57</v>
      </c>
      <c r="C94" s="410">
        <f>(C91-C90)/C90</f>
        <v>1.8322741755944082E-2</v>
      </c>
      <c r="D94" s="336"/>
      <c r="E94" s="336">
        <f>(E91-E90)/E90</f>
        <v>6.7555122798167611E-2</v>
      </c>
      <c r="F94" s="336">
        <f>(F91-F90)/F90</f>
        <v>6.2490335976673854E-2</v>
      </c>
      <c r="G94" s="336">
        <f>(G91-G90)/G90</f>
        <v>0.17559781666955465</v>
      </c>
      <c r="H94" s="336"/>
      <c r="I94" s="336"/>
      <c r="J94" s="338"/>
      <c r="K94" s="433"/>
      <c r="L94" s="465">
        <f>(L91-L90)/L90</f>
        <v>7.0550224236871267E-2</v>
      </c>
      <c r="M94" s="466">
        <f>(M91-M90)/M90</f>
        <v>6.0615108987757536E-2</v>
      </c>
      <c r="O94" s="444"/>
      <c r="P94" s="340"/>
      <c r="Q94" s="341"/>
      <c r="R94" s="336">
        <f>(R91-R90)/R90</f>
        <v>0.11670869642641733</v>
      </c>
    </row>
    <row r="95" spans="1:18" ht="25.9" hidden="1" thickBot="1" x14ac:dyDescent="0.25">
      <c r="A95" s="562"/>
      <c r="B95" s="418" t="s">
        <v>58</v>
      </c>
      <c r="C95" s="411">
        <f>C92/C86-1</f>
        <v>6.2893081761006275E-3</v>
      </c>
      <c r="D95" s="353"/>
      <c r="E95" s="353">
        <f>E92/E86-1</f>
        <v>5.9880239520957446E-3</v>
      </c>
      <c r="F95" s="353">
        <f>F92/F86-1</f>
        <v>5.6497175141243527E-3</v>
      </c>
      <c r="G95" s="353">
        <f>G92/G86-1</f>
        <v>5.0251256281406143E-3</v>
      </c>
      <c r="H95" s="353"/>
      <c r="I95" s="353"/>
      <c r="J95" s="355"/>
      <c r="K95" s="434"/>
      <c r="L95" s="467">
        <f>L92/L86-1</f>
        <v>5.6497175141243527E-3</v>
      </c>
      <c r="M95" s="292">
        <f>M92/M86-1</f>
        <v>5.6497175141243527E-3</v>
      </c>
      <c r="O95" s="445"/>
      <c r="P95" s="357"/>
      <c r="Q95" s="358"/>
      <c r="R95" s="353">
        <f>R92/R86-1</f>
        <v>5.1813471502590858E-3</v>
      </c>
    </row>
    <row r="96" spans="1:18" ht="37.9" hidden="1" x14ac:dyDescent="0.2">
      <c r="A96" s="512">
        <v>43863</v>
      </c>
      <c r="B96" s="419" t="s">
        <v>53</v>
      </c>
      <c r="C96" s="408">
        <v>1708.31</v>
      </c>
      <c r="D96" s="347"/>
      <c r="E96" s="346">
        <v>1714.79</v>
      </c>
      <c r="F96" s="346">
        <v>1820.84</v>
      </c>
      <c r="G96" s="346">
        <v>1855.8</v>
      </c>
      <c r="H96" s="347"/>
      <c r="I96" s="347"/>
      <c r="J96" s="290"/>
      <c r="K96" s="431"/>
      <c r="L96" s="256">
        <v>1668.11</v>
      </c>
      <c r="M96" s="462">
        <v>1683.73</v>
      </c>
      <c r="O96" s="442"/>
      <c r="P96" s="348"/>
      <c r="Q96" s="349"/>
      <c r="R96" s="346">
        <v>1749.64</v>
      </c>
    </row>
    <row r="97" spans="1:18" ht="37.9" hidden="1" x14ac:dyDescent="0.2">
      <c r="A97" s="561"/>
      <c r="B97" s="415" t="s">
        <v>54</v>
      </c>
      <c r="C97" s="409">
        <v>1742</v>
      </c>
      <c r="D97" s="249"/>
      <c r="E97" s="250">
        <v>1833</v>
      </c>
      <c r="F97" s="250">
        <v>1937</v>
      </c>
      <c r="G97" s="250">
        <v>2171</v>
      </c>
      <c r="H97" s="249"/>
      <c r="I97" s="249"/>
      <c r="J97" s="330"/>
      <c r="K97" s="432"/>
      <c r="L97" s="463">
        <v>1788</v>
      </c>
      <c r="M97" s="464">
        <v>1788</v>
      </c>
      <c r="O97" s="446"/>
      <c r="P97" s="331"/>
      <c r="Q97" s="332"/>
      <c r="R97" s="250">
        <v>1944</v>
      </c>
    </row>
    <row r="98" spans="1:18" ht="37.9" hidden="1" x14ac:dyDescent="0.2">
      <c r="A98" s="561"/>
      <c r="B98" s="415" t="s">
        <v>55</v>
      </c>
      <c r="C98" s="409">
        <v>1.61</v>
      </c>
      <c r="D98" s="249"/>
      <c r="E98" s="250">
        <v>1.69</v>
      </c>
      <c r="F98" s="250">
        <v>1.79</v>
      </c>
      <c r="G98" s="250">
        <v>2.0099999999999998</v>
      </c>
      <c r="H98" s="249"/>
      <c r="I98" s="249"/>
      <c r="J98" s="330"/>
      <c r="K98" s="432"/>
      <c r="L98" s="463">
        <v>1.79</v>
      </c>
      <c r="M98" s="464">
        <v>1.79</v>
      </c>
      <c r="O98" s="443"/>
      <c r="P98" s="334"/>
      <c r="Q98" s="335"/>
      <c r="R98" s="250">
        <v>1.95</v>
      </c>
    </row>
    <row r="99" spans="1:18" x14ac:dyDescent="0.2">
      <c r="A99" s="512">
        <v>43863</v>
      </c>
      <c r="B99" s="415" t="s">
        <v>56</v>
      </c>
      <c r="C99" s="410">
        <f>(C97-C96)/C97</f>
        <v>1.9339839265212429E-2</v>
      </c>
      <c r="D99" s="336"/>
      <c r="E99" s="336">
        <f>(E97-E96)/E97</f>
        <v>6.4489907255864717E-2</v>
      </c>
      <c r="F99" s="336">
        <f>(F97-F96)/F97</f>
        <v>5.996902426432632E-2</v>
      </c>
      <c r="G99" s="336">
        <f>(G97-G96)/G97</f>
        <v>0.14518654997696917</v>
      </c>
      <c r="H99" s="336"/>
      <c r="I99" s="336"/>
      <c r="J99" s="338"/>
      <c r="K99" s="433"/>
      <c r="L99" s="465">
        <f>(L97-L96)/L97</f>
        <v>6.7052572706935182E-2</v>
      </c>
      <c r="M99" s="466">
        <f>(M97-M96)/M97</f>
        <v>5.8316554809843393E-2</v>
      </c>
      <c r="O99" s="444"/>
      <c r="P99" s="340"/>
      <c r="Q99" s="341"/>
      <c r="R99" s="336">
        <f>(R97-R96)/R97</f>
        <v>9.9979423868312711E-2</v>
      </c>
    </row>
    <row r="100" spans="1:18" ht="25.3" hidden="1" x14ac:dyDescent="0.2">
      <c r="A100" s="561"/>
      <c r="B100" s="415" t="s">
        <v>57</v>
      </c>
      <c r="C100" s="410">
        <f>(C97-C96)/C96</f>
        <v>1.9721244973102105E-2</v>
      </c>
      <c r="D100" s="336"/>
      <c r="E100" s="336">
        <f>(E97-E96)/E96</f>
        <v>6.8935554790965678E-2</v>
      </c>
      <c r="F100" s="336">
        <f>(F97-F96)/F96</f>
        <v>6.3794732101667403E-2</v>
      </c>
      <c r="G100" s="336">
        <f>(G97-G96)/G96</f>
        <v>0.16984588856557822</v>
      </c>
      <c r="H100" s="336"/>
      <c r="I100" s="336"/>
      <c r="J100" s="338"/>
      <c r="K100" s="433"/>
      <c r="L100" s="465">
        <f>(L97-L96)/L96</f>
        <v>7.1871759056657006E-2</v>
      </c>
      <c r="M100" s="466">
        <f>(M97-M96)/M96</f>
        <v>6.19279813271724E-2</v>
      </c>
      <c r="O100" s="444"/>
      <c r="P100" s="340"/>
      <c r="Q100" s="341"/>
      <c r="R100" s="336">
        <f>(R97-R96)/R96</f>
        <v>0.11108570906014946</v>
      </c>
    </row>
    <row r="101" spans="1:18" ht="25.9" hidden="1" thickBot="1" x14ac:dyDescent="0.25">
      <c r="A101" s="562"/>
      <c r="B101" s="418" t="s">
        <v>58</v>
      </c>
      <c r="C101" s="411">
        <f>C98/C92-1</f>
        <v>6.2500000000000888E-3</v>
      </c>
      <c r="D101" s="353"/>
      <c r="E101" s="353">
        <f>E98/E92-1</f>
        <v>5.9523809523809312E-3</v>
      </c>
      <c r="F101" s="353">
        <f>F98/F92-1</f>
        <v>5.6179775280897903E-3</v>
      </c>
      <c r="G101" s="353">
        <f>G98/G92-1</f>
        <v>4.9999999999998934E-3</v>
      </c>
      <c r="H101" s="353"/>
      <c r="I101" s="353"/>
      <c r="J101" s="355"/>
      <c r="K101" s="434"/>
      <c r="L101" s="467">
        <f>L98/L92-1</f>
        <v>5.6179775280897903E-3</v>
      </c>
      <c r="M101" s="292">
        <f>M98/M92-1</f>
        <v>5.6179775280897903E-3</v>
      </c>
      <c r="O101" s="445"/>
      <c r="P101" s="357"/>
      <c r="Q101" s="358"/>
      <c r="R101" s="353">
        <f>R98/R92-1</f>
        <v>5.1546391752577136E-3</v>
      </c>
    </row>
    <row r="102" spans="1:18" ht="37.9" hidden="1" x14ac:dyDescent="0.2">
      <c r="A102" s="512">
        <v>43870</v>
      </c>
      <c r="B102" s="419" t="s">
        <v>53</v>
      </c>
      <c r="C102" s="408">
        <v>1718.73</v>
      </c>
      <c r="D102" s="347"/>
      <c r="E102" s="346">
        <v>1724.75</v>
      </c>
      <c r="F102" s="346">
        <v>1830.84</v>
      </c>
      <c r="G102" s="346">
        <v>1864.88</v>
      </c>
      <c r="H102" s="347"/>
      <c r="I102" s="347"/>
      <c r="J102" s="290"/>
      <c r="K102" s="431"/>
      <c r="L102" s="256">
        <v>1677.26</v>
      </c>
      <c r="M102" s="462">
        <v>1692.96</v>
      </c>
      <c r="O102" s="442"/>
      <c r="P102" s="348"/>
      <c r="Q102" s="349"/>
      <c r="R102" s="346">
        <v>1758.45</v>
      </c>
    </row>
    <row r="103" spans="1:18" ht="37.9" hidden="1" x14ac:dyDescent="0.2">
      <c r="A103" s="561"/>
      <c r="B103" s="415" t="s">
        <v>54</v>
      </c>
      <c r="C103" s="409">
        <v>1755</v>
      </c>
      <c r="D103" s="249"/>
      <c r="E103" s="250">
        <v>1846</v>
      </c>
      <c r="F103" s="250">
        <v>1950</v>
      </c>
      <c r="G103" s="250">
        <v>2184</v>
      </c>
      <c r="H103" s="249"/>
      <c r="I103" s="249"/>
      <c r="J103" s="330"/>
      <c r="K103" s="432"/>
      <c r="L103" s="463">
        <v>1800</v>
      </c>
      <c r="M103" s="464">
        <v>1800</v>
      </c>
      <c r="O103" s="446"/>
      <c r="P103" s="331"/>
      <c r="Q103" s="332"/>
      <c r="R103" s="250">
        <v>1956</v>
      </c>
    </row>
    <row r="104" spans="1:18" ht="37.9" hidden="1" x14ac:dyDescent="0.2">
      <c r="A104" s="561"/>
      <c r="B104" s="415" t="s">
        <v>55</v>
      </c>
      <c r="C104" s="409">
        <v>1.62</v>
      </c>
      <c r="D104" s="249"/>
      <c r="E104" s="250">
        <v>1.7</v>
      </c>
      <c r="F104" s="250">
        <v>1.8</v>
      </c>
      <c r="G104" s="250">
        <v>2.02</v>
      </c>
      <c r="H104" s="249"/>
      <c r="I104" s="249"/>
      <c r="J104" s="330"/>
      <c r="K104" s="432"/>
      <c r="L104" s="463">
        <v>1.8</v>
      </c>
      <c r="M104" s="464">
        <v>1.8</v>
      </c>
      <c r="O104" s="443"/>
      <c r="P104" s="334"/>
      <c r="Q104" s="335"/>
      <c r="R104" s="250">
        <v>1.96</v>
      </c>
    </row>
    <row r="105" spans="1:18" x14ac:dyDescent="0.2">
      <c r="A105" s="512">
        <v>43870</v>
      </c>
      <c r="B105" s="415" t="s">
        <v>56</v>
      </c>
      <c r="C105" s="410">
        <f>(C103-C102)/C103</f>
        <v>2.0666666666666656E-2</v>
      </c>
      <c r="D105" s="336"/>
      <c r="E105" s="336">
        <f>(E103-E102)/E103</f>
        <v>6.5682556879739978E-2</v>
      </c>
      <c r="F105" s="336">
        <f>(F103-F102)/F103</f>
        <v>6.1107692307692349E-2</v>
      </c>
      <c r="G105" s="336">
        <f>(G103-G102)/G103</f>
        <v>0.14611721611721606</v>
      </c>
      <c r="H105" s="336"/>
      <c r="I105" s="336"/>
      <c r="J105" s="338"/>
      <c r="K105" s="433"/>
      <c r="L105" s="465">
        <f>(L103-L102)/L103</f>
        <v>6.8188888888888896E-2</v>
      </c>
      <c r="M105" s="466">
        <f>(M103-M102)/M103</f>
        <v>5.9466666666666647E-2</v>
      </c>
      <c r="O105" s="444"/>
      <c r="P105" s="340"/>
      <c r="Q105" s="341"/>
      <c r="R105" s="336">
        <f>(R103-R102)/R103</f>
        <v>0.1009969325153374</v>
      </c>
    </row>
    <row r="106" spans="1:18" ht="25.3" hidden="1" x14ac:dyDescent="0.2">
      <c r="A106" s="561"/>
      <c r="B106" s="415" t="s">
        <v>57</v>
      </c>
      <c r="C106" s="410">
        <f>(C103-C102)/C102</f>
        <v>2.1102791014295429E-2</v>
      </c>
      <c r="D106" s="336"/>
      <c r="E106" s="336">
        <f>(E103-E102)/E102</f>
        <v>7.030004348456298E-2</v>
      </c>
      <c r="F106" s="336">
        <f>(F103-F102)/F102</f>
        <v>6.5084879071901469E-2</v>
      </c>
      <c r="G106" s="336">
        <f>(G103-G102)/G102</f>
        <v>0.17112093003303155</v>
      </c>
      <c r="H106" s="336"/>
      <c r="I106" s="336"/>
      <c r="J106" s="338"/>
      <c r="K106" s="433"/>
      <c r="L106" s="465">
        <f>(L103-L102)/L102</f>
        <v>7.3178875070054744E-2</v>
      </c>
      <c r="M106" s="466">
        <f>(M103-M102)/M102</f>
        <v>6.3226538134391816E-2</v>
      </c>
      <c r="O106" s="444"/>
      <c r="P106" s="340"/>
      <c r="Q106" s="341"/>
      <c r="R106" s="336">
        <f>(R103-R102)/R102</f>
        <v>0.11234325684551733</v>
      </c>
    </row>
    <row r="107" spans="1:18" ht="25.9" hidden="1" thickBot="1" x14ac:dyDescent="0.25">
      <c r="A107" s="562"/>
      <c r="B107" s="418" t="s">
        <v>58</v>
      </c>
      <c r="C107" s="411">
        <f>C104/C98-1</f>
        <v>6.2111801242235032E-3</v>
      </c>
      <c r="D107" s="353"/>
      <c r="E107" s="353">
        <f>E104/E98-1</f>
        <v>5.9171597633136397E-3</v>
      </c>
      <c r="F107" s="353">
        <f>F104/F98-1</f>
        <v>5.5865921787709993E-3</v>
      </c>
      <c r="G107" s="353">
        <f>G104/G98-1</f>
        <v>4.9751243781095411E-3</v>
      </c>
      <c r="H107" s="353"/>
      <c r="I107" s="353"/>
      <c r="J107" s="355"/>
      <c r="K107" s="434"/>
      <c r="L107" s="467">
        <f>L104/L98-1</f>
        <v>5.5865921787709993E-3</v>
      </c>
      <c r="M107" s="292">
        <f>M104/M98-1</f>
        <v>5.5865921787709993E-3</v>
      </c>
      <c r="O107" s="445"/>
      <c r="P107" s="357"/>
      <c r="Q107" s="358"/>
      <c r="R107" s="353">
        <f>R104/R98-1</f>
        <v>5.12820512820511E-3</v>
      </c>
    </row>
    <row r="108" spans="1:18" ht="37.9" hidden="1" x14ac:dyDescent="0.2">
      <c r="A108" s="512">
        <v>43877</v>
      </c>
      <c r="B108" s="419" t="s">
        <v>53</v>
      </c>
      <c r="C108" s="408">
        <v>1729.15</v>
      </c>
      <c r="D108" s="347"/>
      <c r="E108" s="346">
        <v>1734.71</v>
      </c>
      <c r="F108" s="346">
        <v>1840.84</v>
      </c>
      <c r="G108" s="346">
        <v>1873.96</v>
      </c>
      <c r="H108" s="347"/>
      <c r="I108" s="347"/>
      <c r="J108" s="290"/>
      <c r="K108" s="431"/>
      <c r="L108" s="256">
        <v>1686.41</v>
      </c>
      <c r="M108" s="462">
        <v>1702.19</v>
      </c>
      <c r="O108" s="442"/>
      <c r="P108" s="348"/>
      <c r="Q108" s="349"/>
      <c r="R108" s="346">
        <v>1767.26</v>
      </c>
    </row>
    <row r="109" spans="1:18" ht="37.9" hidden="1" x14ac:dyDescent="0.2">
      <c r="A109" s="561"/>
      <c r="B109" s="415" t="s">
        <v>54</v>
      </c>
      <c r="C109" s="409">
        <v>1768</v>
      </c>
      <c r="D109" s="249"/>
      <c r="E109" s="250">
        <v>1846</v>
      </c>
      <c r="F109" s="250">
        <v>1963</v>
      </c>
      <c r="G109" s="250">
        <v>2197</v>
      </c>
      <c r="H109" s="249"/>
      <c r="I109" s="249"/>
      <c r="J109" s="330"/>
      <c r="K109" s="432"/>
      <c r="L109" s="463">
        <v>1812</v>
      </c>
      <c r="M109" s="464">
        <v>1812</v>
      </c>
      <c r="O109" s="446"/>
      <c r="P109" s="331"/>
      <c r="Q109" s="332"/>
      <c r="R109" s="250">
        <v>1968</v>
      </c>
    </row>
    <row r="110" spans="1:18" ht="37.9" hidden="1" x14ac:dyDescent="0.2">
      <c r="A110" s="561"/>
      <c r="B110" s="415" t="s">
        <v>55</v>
      </c>
      <c r="C110" s="409">
        <v>1.63</v>
      </c>
      <c r="D110" s="249"/>
      <c r="E110" s="250">
        <v>1.71</v>
      </c>
      <c r="F110" s="250">
        <v>1.81</v>
      </c>
      <c r="G110" s="250">
        <v>2.0299999999999998</v>
      </c>
      <c r="H110" s="249"/>
      <c r="I110" s="249"/>
      <c r="J110" s="330"/>
      <c r="K110" s="432"/>
      <c r="L110" s="463">
        <v>1.81</v>
      </c>
      <c r="M110" s="464">
        <v>1.81</v>
      </c>
      <c r="O110" s="443"/>
      <c r="P110" s="334"/>
      <c r="Q110" s="335"/>
      <c r="R110" s="250">
        <v>1.97</v>
      </c>
    </row>
    <row r="111" spans="1:18" x14ac:dyDescent="0.2">
      <c r="A111" s="512">
        <v>43877</v>
      </c>
      <c r="B111" s="415" t="s">
        <v>56</v>
      </c>
      <c r="C111" s="410">
        <f>(C109-C108)/C109</f>
        <v>2.1973981900452438E-2</v>
      </c>
      <c r="D111" s="336"/>
      <c r="E111" s="336">
        <f>(E109-E108)/E109</f>
        <v>6.0287107258938225E-2</v>
      </c>
      <c r="F111" s="336">
        <f>(F109-F108)/F109</f>
        <v>6.2231278655119758E-2</v>
      </c>
      <c r="G111" s="336">
        <f>(G109-G108)/G109</f>
        <v>0.1470368684569868</v>
      </c>
      <c r="H111" s="336"/>
      <c r="I111" s="336"/>
      <c r="J111" s="338"/>
      <c r="K111" s="433"/>
      <c r="L111" s="465">
        <f>(L109-L108)/L109</f>
        <v>6.9310154525386275E-2</v>
      </c>
      <c r="M111" s="466">
        <f>(M109-M108)/M109</f>
        <v>6.0601545253863104E-2</v>
      </c>
      <c r="O111" s="444"/>
      <c r="P111" s="340"/>
      <c r="Q111" s="341"/>
      <c r="R111" s="336">
        <f>(R109-R108)/R109</f>
        <v>0.10200203252032521</v>
      </c>
    </row>
    <row r="112" spans="1:18" ht="25.3" hidden="1" x14ac:dyDescent="0.2">
      <c r="A112" s="561"/>
      <c r="B112" s="415" t="s">
        <v>57</v>
      </c>
      <c r="C112" s="410">
        <f>(C109-C108)/C108</f>
        <v>2.2467686435531854E-2</v>
      </c>
      <c r="D112" s="336"/>
      <c r="E112" s="336">
        <f>(E109-E108)/E108</f>
        <v>6.4154815502302953E-2</v>
      </c>
      <c r="F112" s="336">
        <f>(F109-F108)/F108</f>
        <v>6.6361009104539279E-2</v>
      </c>
      <c r="G112" s="336">
        <f>(G109-G108)/G108</f>
        <v>0.17238361544536701</v>
      </c>
      <c r="H112" s="336"/>
      <c r="I112" s="336"/>
      <c r="J112" s="338"/>
      <c r="K112" s="433"/>
      <c r="L112" s="465">
        <f>(L109-L108)/L108</f>
        <v>7.4471806974579086E-2</v>
      </c>
      <c r="M112" s="466">
        <f>(M109-M108)/M108</f>
        <v>6.4511012284175051E-2</v>
      </c>
      <c r="O112" s="444"/>
      <c r="P112" s="340"/>
      <c r="Q112" s="341"/>
      <c r="R112" s="336">
        <f>(R109-R108)/R108</f>
        <v>0.11358826658216675</v>
      </c>
    </row>
    <row r="113" spans="1:18" ht="25.9" hidden="1" thickBot="1" x14ac:dyDescent="0.25">
      <c r="A113" s="562"/>
      <c r="B113" s="418" t="s">
        <v>58</v>
      </c>
      <c r="C113" s="411">
        <f>C110/C104-1</f>
        <v>6.1728395061726449E-3</v>
      </c>
      <c r="D113" s="353"/>
      <c r="E113" s="353">
        <f>E110/E104-1</f>
        <v>5.8823529411764497E-3</v>
      </c>
      <c r="F113" s="353">
        <f>F110/F104-1</f>
        <v>5.5555555555555358E-3</v>
      </c>
      <c r="G113" s="353">
        <f>G110/G104-1</f>
        <v>4.9504950495049549E-3</v>
      </c>
      <c r="H113" s="353"/>
      <c r="I113" s="353"/>
      <c r="J113" s="355"/>
      <c r="K113" s="434"/>
      <c r="L113" s="467">
        <f>L110/L104-1</f>
        <v>5.5555555555555358E-3</v>
      </c>
      <c r="M113" s="292">
        <f>M110/M104-1</f>
        <v>5.5555555555555358E-3</v>
      </c>
      <c r="O113" s="445"/>
      <c r="P113" s="357"/>
      <c r="Q113" s="358"/>
      <c r="R113" s="353">
        <f>R110/R104-1</f>
        <v>5.1020408163264808E-3</v>
      </c>
    </row>
    <row r="114" spans="1:18" ht="37.9" hidden="1" x14ac:dyDescent="0.2">
      <c r="A114" s="512">
        <v>43884</v>
      </c>
      <c r="B114" s="419" t="s">
        <v>53</v>
      </c>
      <c r="C114" s="408">
        <v>1739.57</v>
      </c>
      <c r="D114" s="347"/>
      <c r="E114" s="346">
        <v>1744.67</v>
      </c>
      <c r="F114" s="346">
        <v>1850.84</v>
      </c>
      <c r="G114" s="346">
        <v>1883.04</v>
      </c>
      <c r="H114" s="347"/>
      <c r="I114" s="347"/>
      <c r="J114" s="290"/>
      <c r="K114" s="431"/>
      <c r="L114" s="256">
        <v>1695.56</v>
      </c>
      <c r="M114" s="462">
        <v>1711.42</v>
      </c>
      <c r="O114" s="442"/>
      <c r="P114" s="348"/>
      <c r="Q114" s="349"/>
      <c r="R114" s="346">
        <v>1776.07</v>
      </c>
    </row>
    <row r="115" spans="1:18" ht="37.9" hidden="1" x14ac:dyDescent="0.2">
      <c r="A115" s="561"/>
      <c r="B115" s="415" t="s">
        <v>54</v>
      </c>
      <c r="C115" s="409">
        <v>1781</v>
      </c>
      <c r="D115" s="249"/>
      <c r="E115" s="250">
        <v>1859</v>
      </c>
      <c r="F115" s="250">
        <v>1976</v>
      </c>
      <c r="G115" s="250">
        <v>2210</v>
      </c>
      <c r="H115" s="249"/>
      <c r="I115" s="249"/>
      <c r="J115" s="330"/>
      <c r="K115" s="432"/>
      <c r="L115" s="463">
        <v>1824</v>
      </c>
      <c r="M115" s="464">
        <v>1824</v>
      </c>
      <c r="O115" s="446"/>
      <c r="P115" s="331"/>
      <c r="Q115" s="332"/>
      <c r="R115" s="250">
        <v>1980</v>
      </c>
    </row>
    <row r="116" spans="1:18" ht="37.9" hidden="1" x14ac:dyDescent="0.2">
      <c r="A116" s="561"/>
      <c r="B116" s="415" t="s">
        <v>55</v>
      </c>
      <c r="C116" s="409">
        <v>1.64</v>
      </c>
      <c r="D116" s="249"/>
      <c r="E116" s="250">
        <v>1.72</v>
      </c>
      <c r="F116" s="250">
        <v>1.82</v>
      </c>
      <c r="G116" s="250">
        <v>2.04</v>
      </c>
      <c r="H116" s="249"/>
      <c r="I116" s="249"/>
      <c r="J116" s="330"/>
      <c r="K116" s="432"/>
      <c r="L116" s="463">
        <v>1.82</v>
      </c>
      <c r="M116" s="464">
        <v>1.82</v>
      </c>
      <c r="O116" s="443"/>
      <c r="P116" s="334"/>
      <c r="Q116" s="335"/>
      <c r="R116" s="250">
        <v>1.98</v>
      </c>
    </row>
    <row r="117" spans="1:18" x14ac:dyDescent="0.2">
      <c r="A117" s="512">
        <v>43884</v>
      </c>
      <c r="B117" s="415" t="s">
        <v>56</v>
      </c>
      <c r="C117" s="410">
        <f>(C115-C114)/C115</f>
        <v>2.3262212240314467E-2</v>
      </c>
      <c r="D117" s="336"/>
      <c r="E117" s="336">
        <f>(E115-E114)/E115</f>
        <v>6.1500806885422234E-2</v>
      </c>
      <c r="F117" s="336">
        <f>(F115-F114)/F115</f>
        <v>6.3340080971659954E-2</v>
      </c>
      <c r="G117" s="336">
        <f>(G115-G114)/G115</f>
        <v>0.14794570135746607</v>
      </c>
      <c r="H117" s="336"/>
      <c r="I117" s="336"/>
      <c r="J117" s="338"/>
      <c r="K117" s="433"/>
      <c r="L117" s="465">
        <f>(L115-L114)/L115</f>
        <v>7.0416666666666697E-2</v>
      </c>
      <c r="M117" s="466">
        <f>(M115-M114)/M115</f>
        <v>6.1721491228070136E-2</v>
      </c>
      <c r="O117" s="444"/>
      <c r="P117" s="340"/>
      <c r="Q117" s="341"/>
      <c r="R117" s="336">
        <f>(R115-R114)/R115</f>
        <v>0.10299494949494953</v>
      </c>
    </row>
    <row r="118" spans="1:18" ht="25.3" hidden="1" x14ac:dyDescent="0.2">
      <c r="A118" s="561"/>
      <c r="B118" s="415" t="s">
        <v>57</v>
      </c>
      <c r="C118" s="410">
        <f>(C115-C114)/C114</f>
        <v>2.3816230447754369E-2</v>
      </c>
      <c r="D118" s="336"/>
      <c r="E118" s="336">
        <f>(E115-E114)/E114</f>
        <v>6.5531017327058946E-2</v>
      </c>
      <c r="F118" s="336">
        <f>(F115-F114)/F114</f>
        <v>6.7623349398111168E-2</v>
      </c>
      <c r="G118" s="336">
        <f>(G115-G114)/G114</f>
        <v>0.17363412354490612</v>
      </c>
      <c r="H118" s="336"/>
      <c r="I118" s="336"/>
      <c r="J118" s="338"/>
      <c r="K118" s="433"/>
      <c r="L118" s="465">
        <f>(L115-L114)/L114</f>
        <v>7.5750784401613661E-2</v>
      </c>
      <c r="M118" s="466">
        <f>(M115-M114)/M114</f>
        <v>6.5781631627537321E-2</v>
      </c>
      <c r="O118" s="444"/>
      <c r="P118" s="340"/>
      <c r="Q118" s="341"/>
      <c r="R118" s="336">
        <f>(R115-R114)/R114</f>
        <v>0.11482092485093497</v>
      </c>
    </row>
    <row r="119" spans="1:18" ht="25.9" hidden="1" thickBot="1" x14ac:dyDescent="0.25">
      <c r="A119" s="562"/>
      <c r="B119" s="418" t="s">
        <v>58</v>
      </c>
      <c r="C119" s="411">
        <f>C116/C110-1</f>
        <v>6.1349693251533388E-3</v>
      </c>
      <c r="D119" s="353"/>
      <c r="E119" s="353">
        <f>E116/E110-1</f>
        <v>5.8479532163742132E-3</v>
      </c>
      <c r="F119" s="353">
        <f>F116/F110-1</f>
        <v>5.5248618784531356E-3</v>
      </c>
      <c r="G119" s="353">
        <f>G116/G110-1</f>
        <v>4.9261083743843415E-3</v>
      </c>
      <c r="H119" s="353"/>
      <c r="I119" s="353"/>
      <c r="J119" s="355"/>
      <c r="K119" s="434"/>
      <c r="L119" s="467">
        <f>L116/L110-1</f>
        <v>5.5248618784531356E-3</v>
      </c>
      <c r="M119" s="292">
        <f>M116/M110-1</f>
        <v>5.5248618784531356E-3</v>
      </c>
      <c r="O119" s="445"/>
      <c r="P119" s="357"/>
      <c r="Q119" s="358"/>
      <c r="R119" s="353">
        <f>R116/R110-1</f>
        <v>5.0761421319795996E-3</v>
      </c>
    </row>
    <row r="120" spans="1:18" ht="37.9" hidden="1" x14ac:dyDescent="0.2">
      <c r="A120" s="512">
        <v>43891</v>
      </c>
      <c r="B120" s="419" t="s">
        <v>53</v>
      </c>
      <c r="C120" s="408">
        <v>1749.99</v>
      </c>
      <c r="D120" s="347"/>
      <c r="E120" s="346">
        <v>1754.63</v>
      </c>
      <c r="F120" s="346">
        <v>1860.84</v>
      </c>
      <c r="G120" s="346">
        <v>1892.12</v>
      </c>
      <c r="H120" s="347"/>
      <c r="I120" s="347"/>
      <c r="J120" s="290"/>
      <c r="K120" s="431"/>
      <c r="L120" s="256">
        <v>1704.71</v>
      </c>
      <c r="M120" s="462">
        <v>1720.65</v>
      </c>
      <c r="O120" s="442"/>
      <c r="P120" s="348"/>
      <c r="Q120" s="349"/>
      <c r="R120" s="346">
        <v>1784.88</v>
      </c>
    </row>
    <row r="121" spans="1:18" ht="37.9" hidden="1" x14ac:dyDescent="0.2">
      <c r="A121" s="561"/>
      <c r="B121" s="415" t="s">
        <v>54</v>
      </c>
      <c r="C121" s="517">
        <v>1781</v>
      </c>
      <c r="D121" s="249"/>
      <c r="E121" s="250">
        <v>1872</v>
      </c>
      <c r="F121" s="514">
        <v>1976</v>
      </c>
      <c r="G121" s="514">
        <v>2223</v>
      </c>
      <c r="H121" s="518"/>
      <c r="I121" s="518"/>
      <c r="J121" s="518"/>
      <c r="K121" s="519"/>
      <c r="L121" s="515">
        <v>1824</v>
      </c>
      <c r="M121" s="516">
        <v>1824</v>
      </c>
      <c r="O121" s="446"/>
      <c r="P121" s="331"/>
      <c r="Q121" s="332"/>
      <c r="R121" s="250">
        <v>1992</v>
      </c>
    </row>
    <row r="122" spans="1:18" ht="37.9" hidden="1" x14ac:dyDescent="0.2">
      <c r="A122" s="561"/>
      <c r="B122" s="415" t="s">
        <v>55</v>
      </c>
      <c r="C122" s="409">
        <v>1.65</v>
      </c>
      <c r="D122" s="249"/>
      <c r="E122" s="250">
        <v>1.73</v>
      </c>
      <c r="F122" s="250">
        <v>1.83</v>
      </c>
      <c r="G122" s="250">
        <v>2.0499999999999998</v>
      </c>
      <c r="H122" s="249"/>
      <c r="I122" s="249"/>
      <c r="J122" s="330"/>
      <c r="K122" s="432"/>
      <c r="L122" s="463">
        <v>1.83</v>
      </c>
      <c r="M122" s="464">
        <v>1.83</v>
      </c>
      <c r="O122" s="443"/>
      <c r="P122" s="334"/>
      <c r="Q122" s="335"/>
      <c r="R122" s="250">
        <v>1.99</v>
      </c>
    </row>
    <row r="123" spans="1:18" x14ac:dyDescent="0.2">
      <c r="A123" s="512">
        <v>43891</v>
      </c>
      <c r="B123" s="415" t="s">
        <v>56</v>
      </c>
      <c r="C123" s="410">
        <f>(C121-C120)/C121</f>
        <v>1.7411566535654122E-2</v>
      </c>
      <c r="D123" s="336"/>
      <c r="E123" s="336">
        <f>(E121-E120)/E121</f>
        <v>6.2697649572649519E-2</v>
      </c>
      <c r="F123" s="336">
        <f>(F121-F120)/F121</f>
        <v>5.827935222672069E-2</v>
      </c>
      <c r="G123" s="336">
        <f>(G121-G120)/G121</f>
        <v>0.14884390463337838</v>
      </c>
      <c r="H123" s="336"/>
      <c r="I123" s="336"/>
      <c r="J123" s="338"/>
      <c r="K123" s="433"/>
      <c r="L123" s="465">
        <f>(L121-L120)/L121</f>
        <v>6.540021929824559E-2</v>
      </c>
      <c r="M123" s="466">
        <f>(M121-M120)/M121</f>
        <v>5.6661184210526266E-2</v>
      </c>
      <c r="O123" s="444"/>
      <c r="P123" s="340"/>
      <c r="Q123" s="341"/>
      <c r="R123" s="336">
        <f>(R121-R120)/R121</f>
        <v>0.10397590361445777</v>
      </c>
    </row>
    <row r="124" spans="1:18" ht="25.3" hidden="1" x14ac:dyDescent="0.2">
      <c r="A124" s="561"/>
      <c r="B124" s="415" t="s">
        <v>57</v>
      </c>
      <c r="C124" s="410">
        <f>(C121-C120)/C120</f>
        <v>1.7720101257721468E-2</v>
      </c>
      <c r="D124" s="336"/>
      <c r="E124" s="336">
        <f>(E121-E120)/E120</f>
        <v>6.6891595379082708E-2</v>
      </c>
      <c r="F124" s="336">
        <f>(F121-F120)/F120</f>
        <v>6.1886029964962105E-2</v>
      </c>
      <c r="G124" s="336">
        <f>(G121-G120)/G120</f>
        <v>0.17487262964294026</v>
      </c>
      <c r="H124" s="336"/>
      <c r="I124" s="336"/>
      <c r="J124" s="338"/>
      <c r="K124" s="433"/>
      <c r="L124" s="465">
        <f>(L121-L120)/L120</f>
        <v>6.9976711581441989E-2</v>
      </c>
      <c r="M124" s="466">
        <f>(M121-M120)/M120</f>
        <v>6.0064510504751055E-2</v>
      </c>
      <c r="O124" s="444"/>
      <c r="P124" s="340"/>
      <c r="Q124" s="341"/>
      <c r="R124" s="336">
        <f>(R121-R120)/R120</f>
        <v>0.11604141454887716</v>
      </c>
    </row>
    <row r="125" spans="1:18" ht="25.9" hidden="1" thickBot="1" x14ac:dyDescent="0.25">
      <c r="A125" s="562"/>
      <c r="B125" s="418" t="s">
        <v>58</v>
      </c>
      <c r="C125" s="411">
        <f>C122/C116-1</f>
        <v>6.0975609756097615E-3</v>
      </c>
      <c r="D125" s="353"/>
      <c r="E125" s="353">
        <f>E122/E116-1</f>
        <v>5.8139534883721034E-3</v>
      </c>
      <c r="F125" s="353">
        <f>F122/F116-1</f>
        <v>5.494505494505475E-3</v>
      </c>
      <c r="G125" s="353">
        <f>G122/G116-1</f>
        <v>4.9019607843137081E-3</v>
      </c>
      <c r="H125" s="353"/>
      <c r="I125" s="353"/>
      <c r="J125" s="355"/>
      <c r="K125" s="434"/>
      <c r="L125" s="467">
        <f>L122/L116-1</f>
        <v>5.494505494505475E-3</v>
      </c>
      <c r="M125" s="292">
        <f>M122/M116-1</f>
        <v>5.494505494505475E-3</v>
      </c>
      <c r="O125" s="445"/>
      <c r="P125" s="357"/>
      <c r="Q125" s="358"/>
      <c r="R125" s="353">
        <f>R122/R116-1</f>
        <v>5.050505050504972E-3</v>
      </c>
    </row>
    <row r="126" spans="1:18" ht="37.9" hidden="1" x14ac:dyDescent="0.2">
      <c r="A126" s="512">
        <v>43933</v>
      </c>
      <c r="B126" s="419" t="s">
        <v>53</v>
      </c>
      <c r="C126" s="408">
        <v>1739.57</v>
      </c>
      <c r="D126" s="347"/>
      <c r="E126" s="346">
        <v>1744.67</v>
      </c>
      <c r="F126" s="346">
        <v>1850.84</v>
      </c>
      <c r="G126" s="346">
        <v>1883.04</v>
      </c>
      <c r="H126" s="347"/>
      <c r="I126" s="347"/>
      <c r="J126" s="290"/>
      <c r="K126" s="431"/>
      <c r="L126" s="256">
        <v>1695.56</v>
      </c>
      <c r="M126" s="462">
        <v>1711.42</v>
      </c>
      <c r="O126" s="442"/>
      <c r="P126" s="348"/>
      <c r="Q126" s="349"/>
      <c r="R126" s="346">
        <v>1776.07</v>
      </c>
    </row>
    <row r="127" spans="1:18" ht="37.9" hidden="1" x14ac:dyDescent="0.2">
      <c r="A127" s="561"/>
      <c r="B127" s="415" t="s">
        <v>54</v>
      </c>
      <c r="C127" s="409">
        <v>1781</v>
      </c>
      <c r="D127" s="249"/>
      <c r="E127" s="250">
        <v>1859</v>
      </c>
      <c r="F127" s="250">
        <v>1976</v>
      </c>
      <c r="G127" s="250">
        <v>2210</v>
      </c>
      <c r="H127" s="249"/>
      <c r="I127" s="249"/>
      <c r="J127" s="330"/>
      <c r="K127" s="432"/>
      <c r="L127" s="245">
        <v>1824</v>
      </c>
      <c r="M127" s="520">
        <v>1824</v>
      </c>
      <c r="O127" s="446"/>
      <c r="P127" s="331"/>
      <c r="Q127" s="332"/>
      <c r="R127" s="250">
        <v>1980</v>
      </c>
    </row>
    <row r="128" spans="1:18" ht="37.9" hidden="1" x14ac:dyDescent="0.2">
      <c r="A128" s="561"/>
      <c r="B128" s="415" t="s">
        <v>55</v>
      </c>
      <c r="C128" s="409">
        <v>1.64</v>
      </c>
      <c r="D128" s="249"/>
      <c r="E128" s="250">
        <v>1.72</v>
      </c>
      <c r="F128" s="250">
        <v>1.82</v>
      </c>
      <c r="G128" s="250">
        <v>2.04</v>
      </c>
      <c r="H128" s="249"/>
      <c r="I128" s="249"/>
      <c r="J128" s="330"/>
      <c r="K128" s="432"/>
      <c r="L128" s="463">
        <v>1.82</v>
      </c>
      <c r="M128" s="464">
        <v>1.82</v>
      </c>
      <c r="O128" s="443"/>
      <c r="P128" s="334"/>
      <c r="Q128" s="335"/>
      <c r="R128" s="250">
        <v>1.98</v>
      </c>
    </row>
    <row r="129" spans="1:18" x14ac:dyDescent="0.2">
      <c r="A129" s="512">
        <v>43933</v>
      </c>
      <c r="B129" s="415" t="s">
        <v>56</v>
      </c>
      <c r="C129" s="410">
        <f>(C127-C126)/C127</f>
        <v>2.3262212240314467E-2</v>
      </c>
      <c r="D129" s="336"/>
      <c r="E129" s="336">
        <f>(E127-E126)/E127</f>
        <v>6.1500806885422234E-2</v>
      </c>
      <c r="F129" s="336">
        <f>(F127-F126)/F127</f>
        <v>6.3340080971659954E-2</v>
      </c>
      <c r="G129" s="336">
        <f>(G127-G126)/G127</f>
        <v>0.14794570135746607</v>
      </c>
      <c r="H129" s="336"/>
      <c r="I129" s="336"/>
      <c r="J129" s="338"/>
      <c r="K129" s="433"/>
      <c r="L129" s="465">
        <f>(L127-L126)/L127</f>
        <v>7.0416666666666697E-2</v>
      </c>
      <c r="M129" s="466">
        <f>(M127-M126)/M127</f>
        <v>6.1721491228070136E-2</v>
      </c>
      <c r="O129" s="444"/>
      <c r="P129" s="340"/>
      <c r="Q129" s="341"/>
      <c r="R129" s="336">
        <f>(R127-R126)/R127</f>
        <v>0.10299494949494953</v>
      </c>
    </row>
    <row r="130" spans="1:18" ht="25.3" hidden="1" x14ac:dyDescent="0.2">
      <c r="A130" s="561"/>
      <c r="B130" s="415" t="s">
        <v>57</v>
      </c>
      <c r="C130" s="410">
        <f>(C127-C126)/C126</f>
        <v>2.3816230447754369E-2</v>
      </c>
      <c r="D130" s="336"/>
      <c r="E130" s="336">
        <f>(E127-E126)/E126</f>
        <v>6.5531017327058946E-2</v>
      </c>
      <c r="F130" s="336">
        <f>(F127-F126)/F126</f>
        <v>6.7623349398111168E-2</v>
      </c>
      <c r="G130" s="336">
        <f>(G127-G126)/G126</f>
        <v>0.17363412354490612</v>
      </c>
      <c r="H130" s="336"/>
      <c r="I130" s="336"/>
      <c r="J130" s="338"/>
      <c r="K130" s="433"/>
      <c r="L130" s="465">
        <f>(L127-L126)/L126</f>
        <v>7.5750784401613661E-2</v>
      </c>
      <c r="M130" s="466">
        <f>(M127-M126)/M126</f>
        <v>6.5781631627537321E-2</v>
      </c>
      <c r="O130" s="444"/>
      <c r="P130" s="340"/>
      <c r="Q130" s="341"/>
      <c r="R130" s="336">
        <f>(R127-R126)/R126</f>
        <v>0.11482092485093497</v>
      </c>
    </row>
    <row r="131" spans="1:18" ht="25.9" hidden="1" thickBot="1" x14ac:dyDescent="0.25">
      <c r="A131" s="562"/>
      <c r="B131" s="418" t="s">
        <v>58</v>
      </c>
      <c r="C131" s="411">
        <f>C128/C122-1</f>
        <v>-6.0606060606060996E-3</v>
      </c>
      <c r="D131" s="353"/>
      <c r="E131" s="353">
        <f>E128/E122-1</f>
        <v>-5.7803468208093012E-3</v>
      </c>
      <c r="F131" s="353">
        <f>F128/F122-1</f>
        <v>-5.464480874316946E-3</v>
      </c>
      <c r="G131" s="353">
        <f>G128/G122-1</f>
        <v>-4.8780487804876982E-3</v>
      </c>
      <c r="H131" s="353"/>
      <c r="I131" s="353"/>
      <c r="J131" s="355"/>
      <c r="K131" s="434"/>
      <c r="L131" s="467">
        <f>L128/L122-1</f>
        <v>-5.464480874316946E-3</v>
      </c>
      <c r="M131" s="292">
        <f>M128/M122-1</f>
        <v>-5.464480874316946E-3</v>
      </c>
      <c r="O131" s="445"/>
      <c r="P131" s="357"/>
      <c r="Q131" s="358"/>
      <c r="R131" s="353">
        <f>R128/R122-1</f>
        <v>-5.0251256281407253E-3</v>
      </c>
    </row>
    <row r="132" spans="1:18" ht="37.9" hidden="1" x14ac:dyDescent="0.2">
      <c r="A132" s="512">
        <v>43940</v>
      </c>
      <c r="B132" s="419" t="s">
        <v>53</v>
      </c>
      <c r="C132" s="408">
        <v>1726.57</v>
      </c>
      <c r="D132" s="521"/>
      <c r="E132" s="346">
        <v>1731.67</v>
      </c>
      <c r="F132" s="346">
        <v>1837.84</v>
      </c>
      <c r="G132" s="346">
        <v>1870.04</v>
      </c>
      <c r="H132" s="521"/>
      <c r="I132" s="521"/>
      <c r="J132" s="522"/>
      <c r="K132" s="523"/>
      <c r="L132" s="256">
        <v>1683.56</v>
      </c>
      <c r="M132" s="462">
        <v>1699.32</v>
      </c>
      <c r="O132" s="524"/>
      <c r="P132" s="525"/>
      <c r="Q132" s="526"/>
      <c r="R132" s="346">
        <v>1764.07</v>
      </c>
    </row>
    <row r="133" spans="1:18" ht="37.9" hidden="1" x14ac:dyDescent="0.2">
      <c r="A133" s="561"/>
      <c r="B133" s="415" t="s">
        <v>54</v>
      </c>
      <c r="C133" s="409">
        <v>1798</v>
      </c>
      <c r="D133" s="527"/>
      <c r="E133" s="250">
        <v>1846</v>
      </c>
      <c r="F133" s="250">
        <v>1963</v>
      </c>
      <c r="G133" s="250">
        <v>2197</v>
      </c>
      <c r="H133" s="527"/>
      <c r="I133" s="527"/>
      <c r="J133" s="528"/>
      <c r="K133" s="529"/>
      <c r="L133" s="245">
        <v>1812</v>
      </c>
      <c r="M133" s="520">
        <v>1812</v>
      </c>
      <c r="O133" s="530"/>
      <c r="P133" s="531"/>
      <c r="Q133" s="532"/>
      <c r="R133" s="250">
        <v>1968</v>
      </c>
    </row>
    <row r="134" spans="1:18" ht="37.9" hidden="1" x14ac:dyDescent="0.2">
      <c r="A134" s="561"/>
      <c r="B134" s="415" t="s">
        <v>55</v>
      </c>
      <c r="C134" s="409">
        <v>1.63</v>
      </c>
      <c r="D134" s="527"/>
      <c r="E134" s="250">
        <v>1.71</v>
      </c>
      <c r="F134" s="250">
        <v>1.81</v>
      </c>
      <c r="G134" s="250">
        <v>2.0299999999999998</v>
      </c>
      <c r="H134" s="527"/>
      <c r="I134" s="527"/>
      <c r="J134" s="528"/>
      <c r="K134" s="529"/>
      <c r="L134" s="463">
        <v>1.81</v>
      </c>
      <c r="M134" s="464">
        <v>1.81</v>
      </c>
      <c r="O134" s="530"/>
      <c r="P134" s="531"/>
      <c r="Q134" s="532"/>
      <c r="R134" s="250">
        <v>1.97</v>
      </c>
    </row>
    <row r="135" spans="1:18" x14ac:dyDescent="0.2">
      <c r="A135" s="512">
        <v>43940</v>
      </c>
      <c r="B135" s="415" t="s">
        <v>56</v>
      </c>
      <c r="C135" s="410">
        <f>(C133-C132)/C133</f>
        <v>3.9727474972191361E-2</v>
      </c>
      <c r="D135" s="336"/>
      <c r="E135" s="336">
        <f>(E133-E132)/E133</f>
        <v>6.1933911159263236E-2</v>
      </c>
      <c r="F135" s="336">
        <f>(F133-F132)/F133</f>
        <v>6.3759551706571618E-2</v>
      </c>
      <c r="G135" s="336">
        <f>(G133-G132)/G133</f>
        <v>0.14882111970869369</v>
      </c>
      <c r="H135" s="336"/>
      <c r="I135" s="336"/>
      <c r="J135" s="338"/>
      <c r="K135" s="433"/>
      <c r="L135" s="465">
        <f>(L133-L132)/L133</f>
        <v>7.0883002207505555E-2</v>
      </c>
      <c r="M135" s="466">
        <f>(M133-M132)/M133</f>
        <v>6.2185430463576191E-2</v>
      </c>
      <c r="O135" s="444"/>
      <c r="P135" s="340"/>
      <c r="Q135" s="341"/>
      <c r="R135" s="336">
        <f>(R133-R132)/R133</f>
        <v>0.10362296747967482</v>
      </c>
    </row>
    <row r="136" spans="1:18" ht="25.3" hidden="1" x14ac:dyDescent="0.2">
      <c r="A136" s="561"/>
      <c r="B136" s="415" t="s">
        <v>57</v>
      </c>
      <c r="C136" s="410">
        <f>(C133-C132)/C132</f>
        <v>4.1371042008143351E-2</v>
      </c>
      <c r="D136" s="336"/>
      <c r="E136" s="336">
        <f>(E133-E132)/E132</f>
        <v>6.6022972044327111E-2</v>
      </c>
      <c r="F136" s="336">
        <f>(F133-F132)/F132</f>
        <v>6.8101684586253472E-2</v>
      </c>
      <c r="G136" s="336">
        <f>(G133-G132)/G132</f>
        <v>0.17484117986781034</v>
      </c>
      <c r="H136" s="336"/>
      <c r="I136" s="336"/>
      <c r="J136" s="338"/>
      <c r="K136" s="433"/>
      <c r="L136" s="465">
        <f>(L133-L132)/L132</f>
        <v>7.6290717289553125E-2</v>
      </c>
      <c r="M136" s="466">
        <f>(M133-M132)/M132</f>
        <v>6.6308876491773222E-2</v>
      </c>
      <c r="O136" s="444"/>
      <c r="P136" s="340"/>
      <c r="Q136" s="341"/>
      <c r="R136" s="336">
        <f>(R133-R132)/R132</f>
        <v>0.11560198858321953</v>
      </c>
    </row>
    <row r="137" spans="1:18" ht="25.9" hidden="1" thickBot="1" x14ac:dyDescent="0.25">
      <c r="A137" s="562"/>
      <c r="B137" s="418" t="s">
        <v>58</v>
      </c>
      <c r="C137" s="411">
        <f>C134/C128-1</f>
        <v>-6.0975609756097615E-3</v>
      </c>
      <c r="D137" s="353"/>
      <c r="E137" s="353">
        <f>E134/E128-1</f>
        <v>-5.8139534883721034E-3</v>
      </c>
      <c r="F137" s="353">
        <f>F134/F128-1</f>
        <v>-5.494505494505475E-3</v>
      </c>
      <c r="G137" s="353">
        <f>G134/G128-1</f>
        <v>-4.9019607843138191E-3</v>
      </c>
      <c r="H137" s="353"/>
      <c r="I137" s="353"/>
      <c r="J137" s="355"/>
      <c r="K137" s="434"/>
      <c r="L137" s="467">
        <f>L134/L128-1</f>
        <v>-5.494505494505475E-3</v>
      </c>
      <c r="M137" s="292">
        <f>M134/M128-1</f>
        <v>-5.494505494505475E-3</v>
      </c>
      <c r="O137" s="445"/>
      <c r="P137" s="357"/>
      <c r="Q137" s="358"/>
      <c r="R137" s="353">
        <f>R134/R128-1</f>
        <v>-5.050505050505083E-3</v>
      </c>
    </row>
    <row r="138" spans="1:18" ht="37.9" hidden="1" x14ac:dyDescent="0.2">
      <c r="A138" s="512">
        <v>43947</v>
      </c>
      <c r="B138" s="419" t="s">
        <v>53</v>
      </c>
      <c r="C138" s="408">
        <v>1713.57</v>
      </c>
      <c r="D138" s="521"/>
      <c r="E138" s="346">
        <v>1731.67</v>
      </c>
      <c r="F138" s="346">
        <v>1824.84</v>
      </c>
      <c r="G138" s="346">
        <v>1857.04</v>
      </c>
      <c r="H138" s="521"/>
      <c r="I138" s="521"/>
      <c r="J138" s="522"/>
      <c r="K138" s="523"/>
      <c r="L138" s="256">
        <v>1671.56</v>
      </c>
      <c r="M138" s="462">
        <v>1687.14</v>
      </c>
      <c r="O138" s="524"/>
      <c r="P138" s="525"/>
      <c r="Q138" s="526"/>
      <c r="R138" s="346">
        <v>1752.07</v>
      </c>
    </row>
    <row r="139" spans="1:18" ht="37.9" hidden="1" x14ac:dyDescent="0.2">
      <c r="A139" s="561"/>
      <c r="B139" s="415" t="s">
        <v>54</v>
      </c>
      <c r="C139" s="409">
        <v>1755</v>
      </c>
      <c r="D139" s="527"/>
      <c r="E139" s="250">
        <v>1846</v>
      </c>
      <c r="F139" s="250">
        <v>1950</v>
      </c>
      <c r="G139" s="250">
        <v>2184</v>
      </c>
      <c r="H139" s="527"/>
      <c r="I139" s="527"/>
      <c r="J139" s="528"/>
      <c r="K139" s="529"/>
      <c r="L139" s="245">
        <v>1800</v>
      </c>
      <c r="M139" s="520">
        <v>1800</v>
      </c>
      <c r="O139" s="530"/>
      <c r="P139" s="531"/>
      <c r="Q139" s="532"/>
      <c r="R139" s="250">
        <v>1956</v>
      </c>
    </row>
    <row r="140" spans="1:18" ht="37.9" hidden="1" x14ac:dyDescent="0.2">
      <c r="A140" s="561"/>
      <c r="B140" s="415" t="s">
        <v>55</v>
      </c>
      <c r="C140" s="409">
        <v>1.62</v>
      </c>
      <c r="D140" s="527"/>
      <c r="E140" s="250">
        <v>1.7</v>
      </c>
      <c r="F140" s="250">
        <v>1.8</v>
      </c>
      <c r="G140" s="250">
        <v>2.02</v>
      </c>
      <c r="H140" s="527"/>
      <c r="I140" s="527"/>
      <c r="J140" s="528"/>
      <c r="K140" s="529"/>
      <c r="L140" s="463">
        <v>1.8</v>
      </c>
      <c r="M140" s="464">
        <v>1.8</v>
      </c>
      <c r="O140" s="530"/>
      <c r="P140" s="531"/>
      <c r="Q140" s="532"/>
      <c r="R140" s="250">
        <v>1.96</v>
      </c>
    </row>
    <row r="141" spans="1:18" x14ac:dyDescent="0.2">
      <c r="A141" s="512">
        <v>43947</v>
      </c>
      <c r="B141" s="415" t="s">
        <v>56</v>
      </c>
      <c r="C141" s="410">
        <f>(C139-C138)/C139</f>
        <v>2.3606837606837645E-2</v>
      </c>
      <c r="D141" s="336"/>
      <c r="E141" s="336">
        <f>(E139-E138)/E139</f>
        <v>6.1933911159263236E-2</v>
      </c>
      <c r="F141" s="336">
        <f>(F139-F138)/F139</f>
        <v>6.4184615384615423E-2</v>
      </c>
      <c r="G141" s="336">
        <f>(G139-G138)/G139</f>
        <v>0.14970695970695971</v>
      </c>
      <c r="H141" s="336"/>
      <c r="I141" s="336"/>
      <c r="J141" s="338"/>
      <c r="K141" s="433"/>
      <c r="L141" s="465">
        <f>(L139-L138)/L139</f>
        <v>7.1355555555555589E-2</v>
      </c>
      <c r="M141" s="466">
        <f>(M139-M138)/M139</f>
        <v>6.269999999999995E-2</v>
      </c>
      <c r="O141" s="444"/>
      <c r="P141" s="340"/>
      <c r="Q141" s="341"/>
      <c r="R141" s="336">
        <f>(R139-R138)/R139</f>
        <v>0.104258691206544</v>
      </c>
    </row>
    <row r="142" spans="1:18" ht="25.3" hidden="1" x14ac:dyDescent="0.2">
      <c r="A142" s="561"/>
      <c r="B142" s="415" t="s">
        <v>57</v>
      </c>
      <c r="C142" s="410">
        <f>(C139-C138)/C138</f>
        <v>2.4177594145555807E-2</v>
      </c>
      <c r="D142" s="336"/>
      <c r="E142" s="336">
        <f>(E139-E138)/E138</f>
        <v>6.6022972044327111E-2</v>
      </c>
      <c r="F142" s="336">
        <f>(F139-F138)/F138</f>
        <v>6.858683501019272E-2</v>
      </c>
      <c r="G142" s="336">
        <f>(G139-G138)/G138</f>
        <v>0.17606513591521994</v>
      </c>
      <c r="H142" s="336"/>
      <c r="I142" s="336"/>
      <c r="J142" s="338"/>
      <c r="K142" s="433"/>
      <c r="L142" s="465">
        <f>(L139-L138)/L138</f>
        <v>7.6838402450405643E-2</v>
      </c>
      <c r="M142" s="466">
        <f>(M139-M138)/M138</f>
        <v>6.6894270777765857E-2</v>
      </c>
      <c r="O142" s="444"/>
      <c r="P142" s="340"/>
      <c r="Q142" s="341"/>
      <c r="R142" s="336">
        <f>(R139-R138)/R138</f>
        <v>0.11639375139121158</v>
      </c>
    </row>
    <row r="143" spans="1:18" ht="25.9" hidden="1" thickBot="1" x14ac:dyDescent="0.25">
      <c r="A143" s="562"/>
      <c r="B143" s="418" t="s">
        <v>58</v>
      </c>
      <c r="C143" s="411">
        <f>C140/C134-1</f>
        <v>-6.1349693251532278E-3</v>
      </c>
      <c r="D143" s="353"/>
      <c r="E143" s="353">
        <f>E140/E134-1</f>
        <v>-5.8479532163743242E-3</v>
      </c>
      <c r="F143" s="353">
        <f>F140/F134-1</f>
        <v>-5.5248618784530246E-3</v>
      </c>
      <c r="G143" s="353">
        <f>G140/G134-1</f>
        <v>-4.9261083743841194E-3</v>
      </c>
      <c r="H143" s="353"/>
      <c r="I143" s="353"/>
      <c r="J143" s="355"/>
      <c r="K143" s="434"/>
      <c r="L143" s="467">
        <f>L140/L134-1</f>
        <v>-5.5248618784530246E-3</v>
      </c>
      <c r="M143" s="292">
        <f>M140/M134-1</f>
        <v>-5.5248618784530246E-3</v>
      </c>
      <c r="O143" s="445"/>
      <c r="P143" s="357"/>
      <c r="Q143" s="358"/>
      <c r="R143" s="353">
        <f>R140/R134-1</f>
        <v>-5.0761421319797106E-3</v>
      </c>
    </row>
    <row r="144" spans="1:18" ht="37.9" hidden="1" x14ac:dyDescent="0.2">
      <c r="A144" s="512">
        <v>43954</v>
      </c>
      <c r="B144" s="419" t="s">
        <v>53</v>
      </c>
      <c r="C144" s="408">
        <v>1700.57</v>
      </c>
      <c r="D144" s="521"/>
      <c r="E144" s="346">
        <v>1718.67</v>
      </c>
      <c r="F144" s="346">
        <v>1811.84</v>
      </c>
      <c r="G144" s="346">
        <v>1844.04</v>
      </c>
      <c r="H144" s="521"/>
      <c r="I144" s="521"/>
      <c r="J144" s="522"/>
      <c r="K144" s="523"/>
      <c r="L144" s="256">
        <v>1659.56</v>
      </c>
      <c r="M144" s="462">
        <v>1675.03</v>
      </c>
      <c r="O144" s="442"/>
      <c r="P144" s="348"/>
      <c r="Q144" s="349"/>
      <c r="R144" s="346">
        <v>1740.07</v>
      </c>
    </row>
    <row r="145" spans="1:18" ht="37.9" hidden="1" x14ac:dyDescent="0.2">
      <c r="A145" s="561"/>
      <c r="B145" s="415" t="s">
        <v>54</v>
      </c>
      <c r="C145" s="409">
        <v>1742</v>
      </c>
      <c r="D145" s="527"/>
      <c r="E145" s="250">
        <v>1833</v>
      </c>
      <c r="F145" s="250">
        <v>1937</v>
      </c>
      <c r="G145" s="250">
        <v>2171</v>
      </c>
      <c r="H145" s="249"/>
      <c r="I145" s="249"/>
      <c r="J145" s="330"/>
      <c r="K145" s="432"/>
      <c r="L145" s="245">
        <v>1788</v>
      </c>
      <c r="M145" s="520">
        <v>1788</v>
      </c>
      <c r="O145" s="530"/>
      <c r="P145" s="531"/>
      <c r="Q145" s="532"/>
      <c r="R145" s="250">
        <v>1944</v>
      </c>
    </row>
    <row r="146" spans="1:18" ht="37.9" hidden="1" x14ac:dyDescent="0.2">
      <c r="A146" s="561"/>
      <c r="B146" s="415" t="s">
        <v>55</v>
      </c>
      <c r="C146" s="409">
        <v>1.61</v>
      </c>
      <c r="D146" s="527"/>
      <c r="E146" s="250">
        <v>1.69</v>
      </c>
      <c r="F146" s="250">
        <v>1.79</v>
      </c>
      <c r="G146" s="250">
        <v>2.0099999999999998</v>
      </c>
      <c r="H146" s="249"/>
      <c r="I146" s="249"/>
      <c r="J146" s="330"/>
      <c r="K146" s="432"/>
      <c r="L146" s="463">
        <v>1.79</v>
      </c>
      <c r="M146" s="464">
        <v>1.79</v>
      </c>
      <c r="O146" s="530"/>
      <c r="P146" s="531"/>
      <c r="Q146" s="532"/>
      <c r="R146" s="250">
        <v>1.95</v>
      </c>
    </row>
    <row r="147" spans="1:18" x14ac:dyDescent="0.2">
      <c r="A147" s="512">
        <v>43954</v>
      </c>
      <c r="B147" s="415" t="s">
        <v>56</v>
      </c>
      <c r="C147" s="410">
        <f>(C145-C144)/C145</f>
        <v>2.3783008036739415E-2</v>
      </c>
      <c r="D147" s="336"/>
      <c r="E147" s="336">
        <f>(E145-E144)/E145</f>
        <v>6.2373158756137442E-2</v>
      </c>
      <c r="F147" s="336">
        <f>(F145-F144)/F145</f>
        <v>6.4615384615384658E-2</v>
      </c>
      <c r="G147" s="336">
        <f>(G145-G144)/G145</f>
        <v>0.15060340856748045</v>
      </c>
      <c r="H147" s="336"/>
      <c r="I147" s="336"/>
      <c r="J147" s="338"/>
      <c r="K147" s="433"/>
      <c r="L147" s="465">
        <f>(L145-L144)/L145</f>
        <v>7.1834451901566024E-2</v>
      </c>
      <c r="M147" s="466">
        <f>(M145-M144)/M145</f>
        <v>6.3182326621923954E-2</v>
      </c>
      <c r="O147" s="444"/>
      <c r="P147" s="340"/>
      <c r="Q147" s="341"/>
      <c r="R147" s="336">
        <f>(R145-R144)/R145</f>
        <v>0.10490226337448563</v>
      </c>
    </row>
    <row r="148" spans="1:18" ht="25.3" hidden="1" x14ac:dyDescent="0.2">
      <c r="A148" s="561"/>
      <c r="B148" s="415" t="s">
        <v>57</v>
      </c>
      <c r="C148" s="410">
        <f>(C145-C144)/C144</f>
        <v>2.4362419659290747E-2</v>
      </c>
      <c r="D148" s="336"/>
      <c r="E148" s="336">
        <f>(E145-E144)/E144</f>
        <v>6.6522369041177143E-2</v>
      </c>
      <c r="F148" s="336">
        <f>(F145-F144)/F144</f>
        <v>6.9078947368421101E-2</v>
      </c>
      <c r="G148" s="336">
        <f>(G145-G144)/G144</f>
        <v>0.17730634910305634</v>
      </c>
      <c r="H148" s="336"/>
      <c r="I148" s="336"/>
      <c r="J148" s="338"/>
      <c r="K148" s="433"/>
      <c r="L148" s="465">
        <f>(L145-L144)/L144</f>
        <v>7.7394008050326632E-2</v>
      </c>
      <c r="M148" s="466">
        <f>(M145-M144)/M144</f>
        <v>6.7443568174898383E-2</v>
      </c>
      <c r="O148" s="444"/>
      <c r="P148" s="340"/>
      <c r="Q148" s="341"/>
      <c r="R148" s="336">
        <f>(R145-R144)/R144</f>
        <v>0.11719643462619324</v>
      </c>
    </row>
    <row r="149" spans="1:18" ht="25.9" hidden="1" thickBot="1" x14ac:dyDescent="0.25">
      <c r="A149" s="562"/>
      <c r="B149" s="418" t="s">
        <v>58</v>
      </c>
      <c r="C149" s="411">
        <f>C146/C140-1</f>
        <v>-6.1728395061728669E-3</v>
      </c>
      <c r="D149" s="353"/>
      <c r="E149" s="353">
        <f>E146/E140-1</f>
        <v>-5.8823529411764497E-3</v>
      </c>
      <c r="F149" s="353">
        <f>F146/F140-1</f>
        <v>-5.5555555555555358E-3</v>
      </c>
      <c r="G149" s="353">
        <f>G146/G140-1</f>
        <v>-4.9504950495050659E-3</v>
      </c>
      <c r="H149" s="353"/>
      <c r="I149" s="353"/>
      <c r="J149" s="355"/>
      <c r="K149" s="434"/>
      <c r="L149" s="467">
        <f>L146/L140-1</f>
        <v>-5.5555555555555358E-3</v>
      </c>
      <c r="M149" s="292">
        <f>M146/M140-1</f>
        <v>-5.5555555555555358E-3</v>
      </c>
      <c r="O149" s="445"/>
      <c r="P149" s="357"/>
      <c r="Q149" s="358"/>
      <c r="R149" s="353">
        <f>R146/R140-1</f>
        <v>-5.1020408163264808E-3</v>
      </c>
    </row>
    <row r="150" spans="1:18" ht="37.9" hidden="1" x14ac:dyDescent="0.2">
      <c r="A150" s="512">
        <v>43961</v>
      </c>
      <c r="B150" s="419" t="s">
        <v>53</v>
      </c>
      <c r="C150" s="408">
        <v>1687.57</v>
      </c>
      <c r="D150" s="521"/>
      <c r="E150" s="346">
        <v>1705.67</v>
      </c>
      <c r="F150" s="346">
        <v>1798.84</v>
      </c>
      <c r="G150" s="346">
        <v>1844.04</v>
      </c>
      <c r="H150" s="521"/>
      <c r="I150" s="521"/>
      <c r="J150" s="522"/>
      <c r="K150" s="523"/>
      <c r="L150" s="256">
        <v>1647.56</v>
      </c>
      <c r="M150" s="462">
        <v>1662.92</v>
      </c>
      <c r="O150" s="442"/>
      <c r="P150" s="348"/>
      <c r="Q150" s="349"/>
      <c r="R150" s="346">
        <v>1740.07</v>
      </c>
    </row>
    <row r="151" spans="1:18" ht="37.9" hidden="1" x14ac:dyDescent="0.2">
      <c r="A151" s="561"/>
      <c r="B151" s="415" t="s">
        <v>54</v>
      </c>
      <c r="C151" s="409">
        <v>1729</v>
      </c>
      <c r="D151" s="249"/>
      <c r="E151" s="250">
        <v>1820</v>
      </c>
      <c r="F151" s="250">
        <v>1924</v>
      </c>
      <c r="G151" s="250">
        <v>2171</v>
      </c>
      <c r="H151" s="249"/>
      <c r="I151" s="249"/>
      <c r="J151" s="330"/>
      <c r="K151" s="432"/>
      <c r="L151" s="245">
        <v>1776</v>
      </c>
      <c r="M151" s="520">
        <v>1776</v>
      </c>
      <c r="O151" s="530"/>
      <c r="P151" s="531"/>
      <c r="Q151" s="532"/>
      <c r="R151" s="250">
        <v>1944</v>
      </c>
    </row>
    <row r="152" spans="1:18" ht="37.9" hidden="1" x14ac:dyDescent="0.2">
      <c r="A152" s="561"/>
      <c r="B152" s="415" t="s">
        <v>55</v>
      </c>
      <c r="C152" s="409">
        <v>1.6</v>
      </c>
      <c r="D152" s="249"/>
      <c r="E152" s="250">
        <v>1.68</v>
      </c>
      <c r="F152" s="250">
        <v>1.78</v>
      </c>
      <c r="G152" s="250">
        <v>2</v>
      </c>
      <c r="H152" s="249"/>
      <c r="I152" s="249"/>
      <c r="J152" s="330"/>
      <c r="K152" s="432"/>
      <c r="L152" s="463">
        <v>1.78</v>
      </c>
      <c r="M152" s="464">
        <v>1.78</v>
      </c>
      <c r="O152" s="530"/>
      <c r="P152" s="531"/>
      <c r="Q152" s="532"/>
      <c r="R152" s="250">
        <v>1.94</v>
      </c>
    </row>
    <row r="153" spans="1:18" x14ac:dyDescent="0.2">
      <c r="A153" s="512">
        <v>43961</v>
      </c>
      <c r="B153" s="415" t="s">
        <v>56</v>
      </c>
      <c r="C153" s="410">
        <f>(C151-C150)/C151</f>
        <v>2.3961827646038211E-2</v>
      </c>
      <c r="D153" s="336"/>
      <c r="E153" s="336">
        <f>(E151-E150)/E151</f>
        <v>6.2818681318681277E-2</v>
      </c>
      <c r="F153" s="336">
        <f>(F151-F150)/F151</f>
        <v>6.5051975051975089E-2</v>
      </c>
      <c r="G153" s="336">
        <f>(G151-G150)/G151</f>
        <v>0.15060340856748045</v>
      </c>
      <c r="H153" s="336"/>
      <c r="I153" s="336"/>
      <c r="J153" s="338"/>
      <c r="K153" s="433"/>
      <c r="L153" s="465">
        <f>(L151-L150)/L151</f>
        <v>7.2319819819819844E-2</v>
      </c>
      <c r="M153" s="466">
        <f>(M151-M150)/M151</f>
        <v>6.3671171171171131E-2</v>
      </c>
      <c r="O153" s="444"/>
      <c r="P153" s="340"/>
      <c r="Q153" s="341"/>
      <c r="R153" s="336">
        <f>(R151-R150)/R151</f>
        <v>0.10490226337448563</v>
      </c>
    </row>
    <row r="154" spans="1:18" ht="25.3" hidden="1" x14ac:dyDescent="0.2">
      <c r="A154" s="561"/>
      <c r="B154" s="415" t="s">
        <v>57</v>
      </c>
      <c r="C154" s="410">
        <f>(C151-C150)/C150</f>
        <v>2.4550092736893916E-2</v>
      </c>
      <c r="D154" s="336"/>
      <c r="E154" s="336">
        <f>(E151-E150)/E150</f>
        <v>6.7029378484700974E-2</v>
      </c>
      <c r="F154" s="336">
        <f>(F151-F150)/F150</f>
        <v>6.9578172600120128E-2</v>
      </c>
      <c r="G154" s="336">
        <f>(G151-G150)/G150</f>
        <v>0.17730634910305634</v>
      </c>
      <c r="H154" s="336"/>
      <c r="I154" s="336"/>
      <c r="J154" s="338"/>
      <c r="K154" s="433"/>
      <c r="L154" s="465">
        <f>(L151-L150)/L150</f>
        <v>7.7957707154822919E-2</v>
      </c>
      <c r="M154" s="466">
        <f>(M151-M150)/M150</f>
        <v>6.8000865946648018E-2</v>
      </c>
      <c r="O154" s="444"/>
      <c r="P154" s="340"/>
      <c r="Q154" s="341"/>
      <c r="R154" s="336">
        <f>(R151-R150)/R150</f>
        <v>0.11719643462619324</v>
      </c>
    </row>
    <row r="155" spans="1:18" ht="25.9" hidden="1" thickBot="1" x14ac:dyDescent="0.25">
      <c r="A155" s="562"/>
      <c r="B155" s="418" t="s">
        <v>58</v>
      </c>
      <c r="C155" s="411">
        <f>C152/C146-1</f>
        <v>-6.2111801242236142E-3</v>
      </c>
      <c r="D155" s="353"/>
      <c r="E155" s="353">
        <f>E152/E146-1</f>
        <v>-5.9171597633136397E-3</v>
      </c>
      <c r="F155" s="353">
        <f>F152/F146-1</f>
        <v>-5.5865921787709993E-3</v>
      </c>
      <c r="G155" s="353">
        <f>G152/G146-1</f>
        <v>-4.9751243781093191E-3</v>
      </c>
      <c r="H155" s="353"/>
      <c r="I155" s="353"/>
      <c r="J155" s="355"/>
      <c r="K155" s="434"/>
      <c r="L155" s="467">
        <f>L152/L146-1</f>
        <v>-5.5865921787709993E-3</v>
      </c>
      <c r="M155" s="292">
        <f>M152/M146-1</f>
        <v>-5.5865921787709993E-3</v>
      </c>
      <c r="O155" s="445"/>
      <c r="P155" s="357"/>
      <c r="Q155" s="358"/>
      <c r="R155" s="353">
        <f>R152/R146-1</f>
        <v>-5.12820512820511E-3</v>
      </c>
    </row>
  </sheetData>
  <autoFilter ref="A5:M155">
    <filterColumn colId="1">
      <filters>
        <filter val="маржа, %"/>
      </filters>
    </filterColumn>
  </autoFilter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Лист22</vt:lpstr>
      <vt:lpstr>Лист4</vt:lpstr>
      <vt:lpstr>Лист5</vt:lpstr>
      <vt:lpstr>Лист3</vt:lpstr>
    </vt:vector>
  </TitlesOfParts>
  <Company>WORD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a.fedortsov</dc:creator>
  <cp:lastModifiedBy>Екименко Алексей Николаевич</cp:lastModifiedBy>
  <cp:lastPrinted>2010-01-25T11:40:12Z</cp:lastPrinted>
  <dcterms:created xsi:type="dcterms:W3CDTF">2010-01-25T08:49:57Z</dcterms:created>
  <dcterms:modified xsi:type="dcterms:W3CDTF">2023-05-03T11:57:40Z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1772688813</vt:i4>
  </property>
  <property fmtid="{D5CDD505-2E9C-101B-9397-08002B2CF9AE}" pid="3" name="_NewReviewCycle">
    <vt:lpwstr/>
  </property>
  <property fmtid="{D5CDD505-2E9C-101B-9397-08002B2CF9AE}" pid="4" name="_EmailSubject">
    <vt:lpwstr>Копия Расчет надбавок.xls</vt:lpwstr>
  </property>
  <property fmtid="{D5CDD505-2E9C-101B-9397-08002B2CF9AE}" pid="5" name="_AuthorEmail">
    <vt:lpwstr>A.Potashenko@beloil.by</vt:lpwstr>
  </property>
  <property fmtid="{D5CDD505-2E9C-101B-9397-08002B2CF9AE}" pid="6" name="_AuthorEmailDisplayName">
    <vt:lpwstr>Поташенко Александр Михайлович</vt:lpwstr>
  </property>
  <property fmtid="{D5CDD505-2E9C-101B-9397-08002B2CF9AE}" pid="7" name="_ReviewingToolsShownOnce">
    <vt:lpwstr/>
  </property>
</Properties>
</file>