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АЗС Сервис\Подсистемы\BI\SAP BW for HANA\Бизнес процессы\ОСТ\Валовый доход по товарам общепита\"/>
    </mc:Choice>
  </mc:AlternateContent>
  <bookViews>
    <workbookView xWindow="0" yWindow="0" windowWidth="23091" windowHeight="11280" activeTab="1"/>
  </bookViews>
  <sheets>
    <sheet name="Общепит" sheetId="1" r:id="rId1"/>
    <sheet name="Сопутка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F12" i="2"/>
  <c r="G12" i="2"/>
  <c r="C12" i="2"/>
  <c r="D12" i="2"/>
  <c r="B12" i="2"/>
  <c r="H12" i="2" l="1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I12" i="2"/>
  <c r="J12" i="2"/>
  <c r="I3" i="2"/>
  <c r="J3" i="2"/>
  <c r="H3" i="2"/>
  <c r="H40" i="1"/>
  <c r="I40" i="1"/>
  <c r="J40" i="1"/>
  <c r="H41" i="1"/>
  <c r="I41" i="1"/>
  <c r="J41" i="1"/>
  <c r="H42" i="1"/>
  <c r="I42" i="1"/>
  <c r="J42" i="1"/>
  <c r="J38" i="1" l="1"/>
  <c r="I38" i="1"/>
  <c r="H38" i="1"/>
  <c r="J37" i="1"/>
  <c r="I37" i="1"/>
  <c r="H37" i="1"/>
  <c r="J36" i="1"/>
  <c r="I36" i="1"/>
  <c r="H36" i="1"/>
  <c r="J34" i="1"/>
  <c r="I34" i="1"/>
  <c r="H34" i="1"/>
  <c r="J33" i="1"/>
  <c r="I33" i="1"/>
  <c r="H33" i="1"/>
  <c r="J32" i="1"/>
  <c r="I32" i="1"/>
  <c r="H32" i="1"/>
  <c r="J30" i="1"/>
  <c r="I30" i="1"/>
  <c r="H30" i="1"/>
  <c r="J29" i="1"/>
  <c r="I29" i="1"/>
  <c r="H29" i="1"/>
  <c r="J28" i="1"/>
  <c r="I28" i="1"/>
  <c r="H28" i="1"/>
  <c r="J26" i="1"/>
  <c r="I26" i="1"/>
  <c r="H26" i="1"/>
  <c r="J25" i="1"/>
  <c r="I25" i="1"/>
  <c r="H25" i="1"/>
  <c r="J24" i="1"/>
  <c r="I24" i="1"/>
  <c r="H24" i="1"/>
  <c r="J22" i="1"/>
  <c r="I22" i="1"/>
  <c r="H22" i="1"/>
  <c r="J21" i="1"/>
  <c r="I21" i="1"/>
  <c r="H21" i="1"/>
  <c r="J20" i="1"/>
  <c r="I20" i="1"/>
  <c r="H20" i="1"/>
  <c r="J18" i="1"/>
  <c r="I18" i="1"/>
  <c r="H18" i="1"/>
  <c r="J17" i="1"/>
  <c r="I17" i="1"/>
  <c r="H17" i="1"/>
  <c r="J16" i="1"/>
  <c r="I16" i="1"/>
  <c r="H16" i="1"/>
  <c r="J14" i="1"/>
  <c r="I14" i="1"/>
  <c r="H14" i="1"/>
  <c r="J13" i="1"/>
  <c r="I13" i="1"/>
  <c r="H13" i="1"/>
  <c r="J12" i="1"/>
  <c r="I12" i="1"/>
  <c r="H12" i="1"/>
  <c r="J10" i="1"/>
  <c r="I10" i="1"/>
  <c r="H10" i="1"/>
  <c r="J9" i="1"/>
  <c r="I9" i="1"/>
  <c r="H9" i="1"/>
  <c r="J8" i="1"/>
  <c r="I8" i="1"/>
  <c r="H8" i="1"/>
  <c r="H5" i="1"/>
  <c r="I5" i="1"/>
  <c r="J5" i="1"/>
  <c r="H6" i="1"/>
  <c r="I6" i="1"/>
  <c r="J6" i="1"/>
  <c r="H4" i="1"/>
  <c r="J4" i="1"/>
  <c r="I4" i="1"/>
</calcChain>
</file>

<file path=xl/sharedStrings.xml><?xml version="1.0" encoding="utf-8"?>
<sst xmlns="http://schemas.openxmlformats.org/spreadsheetml/2006/main" count="77" uniqueCount="23">
  <si>
    <t>SAP</t>
  </si>
  <si>
    <t>КИС</t>
  </si>
  <si>
    <t>Отклонение</t>
  </si>
  <si>
    <t>Количество</t>
  </si>
  <si>
    <t>Сумма реализации</t>
  </si>
  <si>
    <t>Валовый</t>
  </si>
  <si>
    <t>Выручка</t>
  </si>
  <si>
    <t>БРЕСТ ОНП</t>
  </si>
  <si>
    <t>ВИТЕБСК ОНП</t>
  </si>
  <si>
    <t>ГОМЕЛЬ ОНП</t>
  </si>
  <si>
    <t>ГРОДНО ОНП</t>
  </si>
  <si>
    <t>ЛИДА НП</t>
  </si>
  <si>
    <t>МАЗ</t>
  </si>
  <si>
    <t>МИНСК ОНП</t>
  </si>
  <si>
    <t>МОГИЛЕВ ОНП</t>
  </si>
  <si>
    <t>ПУХОВИЧИ НП</t>
  </si>
  <si>
    <t>Организация/КТВ</t>
  </si>
  <si>
    <t>Хот-доги</t>
  </si>
  <si>
    <t>Горячие напитки</t>
  </si>
  <si>
    <t>Продукция фастфуда и общепита</t>
  </si>
  <si>
    <t>[период]</t>
  </si>
  <si>
    <t>Наценка со скидкой</t>
  </si>
  <si>
    <t>БЕЛОРУСНЕФТЬ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</si>
</sst>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rgb="FFFFFFFF"/>
      <name val="Arial"/>
      <family val="2"/>
      <charset val="204"/>
    </font>
    <font>
      <sz val="9"/>
      <color rgb="FF333333"/>
      <name val="Arial"/>
      <family val="2"/>
      <charset val="204"/>
    </font>
    <font>
      <b/>
      <sz val="9"/>
      <color rgb="FF333333"/>
      <name val="Arial"/>
      <family val="2"/>
      <charset val="204"/>
    </font>
    <font>
      <i/>
      <sz val="9"/>
      <color rgb="FF333333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49" fontId="3" fillId="6" borderId="2" xfId="0" applyNumberFormat="1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left"/>
    </xf>
    <xf numFmtId="0" fontId="3" fillId="6" borderId="2" xfId="0" applyNumberFormat="1" applyFont="1" applyFill="1" applyBorder="1" applyAlignment="1">
      <alignment horizontal="center" vertical="center" wrapText="1"/>
    </xf>
    <xf numFmtId="49" fontId="6" fillId="9" borderId="2" xfId="0" applyNumberFormat="1" applyFont="1" applyFill="1" applyBorder="1" applyAlignment="1">
      <alignment horizontal="right"/>
    </xf>
    <xf numFmtId="49" fontId="5" fillId="9" borderId="2" xfId="0" applyNumberFormat="1" applyFont="1" applyFill="1" applyBorder="1" applyAlignment="1">
      <alignment horizontal="left"/>
    </xf>
    <xf numFmtId="0" fontId="0" fillId="0" borderId="2" xfId="0" applyBorder="1"/>
    <xf numFmtId="164" fontId="4" fillId="10" borderId="2" xfId="1" applyNumberFormat="1" applyFont="1" applyFill="1" applyBorder="1" applyAlignment="1">
      <alignment horizontal="left"/>
    </xf>
    <xf numFmtId="0" fontId="5" fillId="7" borderId="2" xfId="0" applyNumberFormat="1" applyFont="1" applyFill="1" applyBorder="1" applyAlignment="1">
      <alignment horizontal="center" vertical="center" wrapText="1"/>
    </xf>
    <xf numFmtId="0" fontId="5" fillId="8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164" fontId="4" fillId="10" borderId="2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/>
    <xf numFmtId="17" fontId="7" fillId="2" borderId="0" xfId="0" applyNumberFormat="1" applyFont="1" applyFill="1"/>
    <xf numFmtId="0" fontId="8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H4" sqref="H4:J42"/>
    </sheetView>
  </sheetViews>
  <sheetFormatPr defaultRowHeight="14.55" x14ac:dyDescent="0.3"/>
  <cols>
    <col min="1" max="1" width="33.5546875" customWidth="1"/>
    <col min="2" max="10" width="10.88671875" customWidth="1"/>
  </cols>
  <sheetData>
    <row r="1" spans="1:10" x14ac:dyDescent="0.3">
      <c r="A1" s="10" t="s">
        <v>20</v>
      </c>
      <c r="B1" s="15" t="s">
        <v>0</v>
      </c>
      <c r="C1" s="16"/>
      <c r="D1" s="16"/>
      <c r="E1" s="17" t="s">
        <v>1</v>
      </c>
      <c r="F1" s="18"/>
      <c r="G1" s="18"/>
      <c r="H1" s="19" t="s">
        <v>2</v>
      </c>
      <c r="I1" s="20"/>
      <c r="J1" s="20"/>
    </row>
    <row r="2" spans="1:10" ht="25.6" customHeight="1" x14ac:dyDescent="0.3">
      <c r="A2" s="1" t="s">
        <v>16</v>
      </c>
      <c r="B2" s="3" t="s">
        <v>3</v>
      </c>
      <c r="C2" s="3" t="s">
        <v>21</v>
      </c>
      <c r="D2" s="3" t="s">
        <v>4</v>
      </c>
      <c r="E2" s="8" t="s">
        <v>3</v>
      </c>
      <c r="F2" s="8" t="s">
        <v>5</v>
      </c>
      <c r="G2" s="8" t="s">
        <v>6</v>
      </c>
      <c r="H2" s="9" t="s">
        <v>3</v>
      </c>
      <c r="I2" s="9" t="s">
        <v>5</v>
      </c>
      <c r="J2" s="9" t="s">
        <v>6</v>
      </c>
    </row>
    <row r="3" spans="1:10" x14ac:dyDescent="0.3">
      <c r="A3" s="5" t="s">
        <v>7</v>
      </c>
      <c r="B3" s="6"/>
      <c r="C3" s="6"/>
      <c r="D3" s="6"/>
      <c r="E3" s="6"/>
      <c r="F3" s="6"/>
      <c r="G3" s="6"/>
      <c r="H3" s="7"/>
      <c r="I3" s="7"/>
      <c r="J3" s="7"/>
    </row>
    <row r="4" spans="1:10" x14ac:dyDescent="0.3">
      <c r="A4" s="4" t="s">
        <v>17</v>
      </c>
      <c r="B4" s="6"/>
      <c r="C4" s="6"/>
      <c r="D4" s="6"/>
      <c r="E4" s="6"/>
      <c r="F4" s="6"/>
      <c r="G4" s="6"/>
      <c r="H4" s="11" t="e">
        <f>(E4-B4)/E4</f>
        <v>#DIV/0!</v>
      </c>
      <c r="I4" s="11" t="e">
        <f t="shared" ref="I4" si="0">(F4-C4)/F4</f>
        <v>#DIV/0!</v>
      </c>
      <c r="J4" s="11" t="e">
        <f t="shared" ref="J4" si="1">(G4-D4)/G4</f>
        <v>#DIV/0!</v>
      </c>
    </row>
    <row r="5" spans="1:10" x14ac:dyDescent="0.3">
      <c r="A5" s="4" t="s">
        <v>18</v>
      </c>
      <c r="B5" s="6"/>
      <c r="C5" s="6"/>
      <c r="D5" s="6"/>
      <c r="E5" s="6"/>
      <c r="F5" s="6"/>
      <c r="G5" s="6"/>
      <c r="H5" s="11" t="e">
        <f t="shared" ref="H5:H6" si="2">(E5-B5)/E5</f>
        <v>#DIV/0!</v>
      </c>
      <c r="I5" s="11" t="e">
        <f t="shared" ref="I5:I6" si="3">(F5-C5)/F5</f>
        <v>#DIV/0!</v>
      </c>
      <c r="J5" s="11" t="e">
        <f t="shared" ref="J5:J6" si="4">(G5-D5)/G5</f>
        <v>#DIV/0!</v>
      </c>
    </row>
    <row r="6" spans="1:10" x14ac:dyDescent="0.3">
      <c r="A6" s="4" t="s">
        <v>19</v>
      </c>
      <c r="B6" s="6"/>
      <c r="C6" s="6"/>
      <c r="D6" s="6"/>
      <c r="E6" s="6"/>
      <c r="F6" s="6"/>
      <c r="G6" s="6"/>
      <c r="H6" s="11" t="e">
        <f t="shared" si="2"/>
        <v>#DIV/0!</v>
      </c>
      <c r="I6" s="11" t="e">
        <f t="shared" si="3"/>
        <v>#DIV/0!</v>
      </c>
      <c r="J6" s="11" t="e">
        <f t="shared" si="4"/>
        <v>#DIV/0!</v>
      </c>
    </row>
    <row r="7" spans="1:10" x14ac:dyDescent="0.3">
      <c r="A7" s="5" t="s">
        <v>8</v>
      </c>
      <c r="B7" s="6"/>
      <c r="C7" s="6"/>
      <c r="D7" s="6"/>
      <c r="E7" s="6"/>
      <c r="F7" s="6"/>
      <c r="G7" s="6"/>
      <c r="H7" s="12"/>
      <c r="I7" s="12"/>
      <c r="J7" s="12"/>
    </row>
    <row r="8" spans="1:10" x14ac:dyDescent="0.3">
      <c r="A8" s="4" t="s">
        <v>17</v>
      </c>
      <c r="B8" s="6"/>
      <c r="C8" s="6"/>
      <c r="D8" s="6"/>
      <c r="E8" s="6"/>
      <c r="F8" s="6"/>
      <c r="G8" s="6"/>
      <c r="H8" s="11" t="e">
        <f>(E8-B8)/E8</f>
        <v>#DIV/0!</v>
      </c>
      <c r="I8" s="11" t="e">
        <f t="shared" ref="I8:I10" si="5">(F8-C8)/F8</f>
        <v>#DIV/0!</v>
      </c>
      <c r="J8" s="11" t="e">
        <f t="shared" ref="J8:J10" si="6">(G8-D8)/G8</f>
        <v>#DIV/0!</v>
      </c>
    </row>
    <row r="9" spans="1:10" x14ac:dyDescent="0.3">
      <c r="A9" s="4" t="s">
        <v>18</v>
      </c>
      <c r="B9" s="6"/>
      <c r="C9" s="6"/>
      <c r="D9" s="6"/>
      <c r="E9" s="6"/>
      <c r="F9" s="6"/>
      <c r="G9" s="6"/>
      <c r="H9" s="11" t="e">
        <f t="shared" ref="H9:H10" si="7">(E9-B9)/E9</f>
        <v>#DIV/0!</v>
      </c>
      <c r="I9" s="11" t="e">
        <f t="shared" si="5"/>
        <v>#DIV/0!</v>
      </c>
      <c r="J9" s="11" t="e">
        <f t="shared" si="6"/>
        <v>#DIV/0!</v>
      </c>
    </row>
    <row r="10" spans="1:10" x14ac:dyDescent="0.3">
      <c r="A10" s="4" t="s">
        <v>19</v>
      </c>
      <c r="B10" s="6"/>
      <c r="C10" s="6"/>
      <c r="D10" s="6"/>
      <c r="E10" s="6"/>
      <c r="F10" s="6"/>
      <c r="G10" s="6"/>
      <c r="H10" s="11" t="e">
        <f t="shared" si="7"/>
        <v>#DIV/0!</v>
      </c>
      <c r="I10" s="11" t="e">
        <f t="shared" si="5"/>
        <v>#DIV/0!</v>
      </c>
      <c r="J10" s="11" t="e">
        <f t="shared" si="6"/>
        <v>#DIV/0!</v>
      </c>
    </row>
    <row r="11" spans="1:10" x14ac:dyDescent="0.3">
      <c r="A11" s="5" t="s">
        <v>9</v>
      </c>
      <c r="B11" s="6"/>
      <c r="C11" s="6"/>
      <c r="D11" s="6"/>
      <c r="E11" s="6"/>
      <c r="F11" s="6"/>
      <c r="G11" s="6"/>
      <c r="H11" s="12"/>
      <c r="I11" s="12"/>
      <c r="J11" s="12"/>
    </row>
    <row r="12" spans="1:10" x14ac:dyDescent="0.3">
      <c r="A12" s="4" t="s">
        <v>17</v>
      </c>
      <c r="B12" s="6"/>
      <c r="C12" s="6"/>
      <c r="D12" s="6"/>
      <c r="E12" s="6"/>
      <c r="F12" s="6"/>
      <c r="G12" s="6"/>
      <c r="H12" s="11" t="e">
        <f>(E12-B12)/E12</f>
        <v>#DIV/0!</v>
      </c>
      <c r="I12" s="11" t="e">
        <f t="shared" ref="I12:I14" si="8">(F12-C12)/F12</f>
        <v>#DIV/0!</v>
      </c>
      <c r="J12" s="11" t="e">
        <f t="shared" ref="J12:J14" si="9">(G12-D12)/G12</f>
        <v>#DIV/0!</v>
      </c>
    </row>
    <row r="13" spans="1:10" x14ac:dyDescent="0.3">
      <c r="A13" s="4" t="s">
        <v>18</v>
      </c>
      <c r="B13" s="6"/>
      <c r="C13" s="6"/>
      <c r="D13" s="6"/>
      <c r="E13" s="6"/>
      <c r="F13" s="6"/>
      <c r="G13" s="6"/>
      <c r="H13" s="11" t="e">
        <f t="shared" ref="H13:H14" si="10">(E13-B13)/E13</f>
        <v>#DIV/0!</v>
      </c>
      <c r="I13" s="11" t="e">
        <f t="shared" si="8"/>
        <v>#DIV/0!</v>
      </c>
      <c r="J13" s="11" t="e">
        <f t="shared" si="9"/>
        <v>#DIV/0!</v>
      </c>
    </row>
    <row r="14" spans="1:10" x14ac:dyDescent="0.3">
      <c r="A14" s="4" t="s">
        <v>19</v>
      </c>
      <c r="B14" s="6"/>
      <c r="C14" s="6"/>
      <c r="D14" s="6"/>
      <c r="E14" s="6"/>
      <c r="F14" s="6"/>
      <c r="G14" s="6"/>
      <c r="H14" s="11" t="e">
        <f t="shared" si="10"/>
        <v>#DIV/0!</v>
      </c>
      <c r="I14" s="11" t="e">
        <f t="shared" si="8"/>
        <v>#DIV/0!</v>
      </c>
      <c r="J14" s="11" t="e">
        <f t="shared" si="9"/>
        <v>#DIV/0!</v>
      </c>
    </row>
    <row r="15" spans="1:10" x14ac:dyDescent="0.3">
      <c r="A15" s="5" t="s">
        <v>10</v>
      </c>
      <c r="B15" s="6"/>
      <c r="C15" s="6"/>
      <c r="D15" s="6"/>
      <c r="E15" s="6"/>
      <c r="F15" s="6"/>
      <c r="G15" s="6"/>
      <c r="H15" s="12"/>
      <c r="I15" s="12"/>
      <c r="J15" s="12"/>
    </row>
    <row r="16" spans="1:10" x14ac:dyDescent="0.3">
      <c r="A16" s="4" t="s">
        <v>17</v>
      </c>
      <c r="B16" s="6"/>
      <c r="C16" s="6"/>
      <c r="D16" s="6"/>
      <c r="E16" s="6"/>
      <c r="F16" s="6"/>
      <c r="G16" s="6"/>
      <c r="H16" s="11" t="e">
        <f>(E16-B16)/E16</f>
        <v>#DIV/0!</v>
      </c>
      <c r="I16" s="11" t="e">
        <f t="shared" ref="I16:I18" si="11">(F16-C16)/F16</f>
        <v>#DIV/0!</v>
      </c>
      <c r="J16" s="11" t="e">
        <f t="shared" ref="J16:J18" si="12">(G16-D16)/G16</f>
        <v>#DIV/0!</v>
      </c>
    </row>
    <row r="17" spans="1:10" x14ac:dyDescent="0.3">
      <c r="A17" s="4" t="s">
        <v>18</v>
      </c>
      <c r="B17" s="6"/>
      <c r="C17" s="6"/>
      <c r="D17" s="6"/>
      <c r="E17" s="6"/>
      <c r="F17" s="6"/>
      <c r="G17" s="6"/>
      <c r="H17" s="11" t="e">
        <f t="shared" ref="H17:H18" si="13">(E17-B17)/E17</f>
        <v>#DIV/0!</v>
      </c>
      <c r="I17" s="11" t="e">
        <f t="shared" si="11"/>
        <v>#DIV/0!</v>
      </c>
      <c r="J17" s="11" t="e">
        <f t="shared" si="12"/>
        <v>#DIV/0!</v>
      </c>
    </row>
    <row r="18" spans="1:10" x14ac:dyDescent="0.3">
      <c r="A18" s="4" t="s">
        <v>19</v>
      </c>
      <c r="B18" s="6"/>
      <c r="C18" s="6"/>
      <c r="D18" s="6"/>
      <c r="E18" s="6"/>
      <c r="F18" s="6"/>
      <c r="G18" s="6"/>
      <c r="H18" s="11" t="e">
        <f t="shared" si="13"/>
        <v>#DIV/0!</v>
      </c>
      <c r="I18" s="11" t="e">
        <f t="shared" si="11"/>
        <v>#DIV/0!</v>
      </c>
      <c r="J18" s="11" t="e">
        <f t="shared" si="12"/>
        <v>#DIV/0!</v>
      </c>
    </row>
    <row r="19" spans="1:10" x14ac:dyDescent="0.3">
      <c r="A19" s="2" t="s">
        <v>11</v>
      </c>
      <c r="B19" s="6"/>
      <c r="C19" s="6"/>
      <c r="D19" s="6"/>
      <c r="E19" s="6"/>
      <c r="F19" s="6"/>
      <c r="G19" s="6"/>
      <c r="H19" s="12"/>
      <c r="I19" s="12"/>
      <c r="J19" s="12"/>
    </row>
    <row r="20" spans="1:10" x14ac:dyDescent="0.3">
      <c r="A20" s="4" t="s">
        <v>17</v>
      </c>
      <c r="B20" s="6"/>
      <c r="C20" s="6"/>
      <c r="D20" s="6"/>
      <c r="E20" s="6"/>
      <c r="F20" s="6"/>
      <c r="G20" s="6"/>
      <c r="H20" s="11" t="e">
        <f>(E20-B20)/E20</f>
        <v>#DIV/0!</v>
      </c>
      <c r="I20" s="11" t="e">
        <f t="shared" ref="I20:I22" si="14">(F20-C20)/F20</f>
        <v>#DIV/0!</v>
      </c>
      <c r="J20" s="11" t="e">
        <f t="shared" ref="J20:J22" si="15">(G20-D20)/G20</f>
        <v>#DIV/0!</v>
      </c>
    </row>
    <row r="21" spans="1:10" x14ac:dyDescent="0.3">
      <c r="A21" s="4" t="s">
        <v>18</v>
      </c>
      <c r="B21" s="6"/>
      <c r="C21" s="6"/>
      <c r="D21" s="6"/>
      <c r="E21" s="6"/>
      <c r="F21" s="6"/>
      <c r="G21" s="6"/>
      <c r="H21" s="11" t="e">
        <f t="shared" ref="H21:H22" si="16">(E21-B21)/E21</f>
        <v>#DIV/0!</v>
      </c>
      <c r="I21" s="11" t="e">
        <f t="shared" si="14"/>
        <v>#DIV/0!</v>
      </c>
      <c r="J21" s="11" t="e">
        <f t="shared" si="15"/>
        <v>#DIV/0!</v>
      </c>
    </row>
    <row r="22" spans="1:10" x14ac:dyDescent="0.3">
      <c r="A22" s="4" t="s">
        <v>19</v>
      </c>
      <c r="B22" s="6"/>
      <c r="C22" s="6"/>
      <c r="D22" s="6"/>
      <c r="E22" s="6"/>
      <c r="F22" s="6"/>
      <c r="G22" s="6"/>
      <c r="H22" s="11" t="e">
        <f t="shared" si="16"/>
        <v>#DIV/0!</v>
      </c>
      <c r="I22" s="11" t="e">
        <f t="shared" si="14"/>
        <v>#DIV/0!</v>
      </c>
      <c r="J22" s="11" t="e">
        <f t="shared" si="15"/>
        <v>#DIV/0!</v>
      </c>
    </row>
    <row r="23" spans="1:10" x14ac:dyDescent="0.3">
      <c r="A23" s="2" t="s">
        <v>12</v>
      </c>
      <c r="B23" s="6"/>
      <c r="C23" s="6"/>
      <c r="D23" s="6"/>
      <c r="E23" s="6"/>
      <c r="F23" s="6"/>
      <c r="G23" s="6"/>
      <c r="H23" s="12"/>
      <c r="I23" s="12"/>
      <c r="J23" s="12"/>
    </row>
    <row r="24" spans="1:10" x14ac:dyDescent="0.3">
      <c r="A24" s="4" t="s">
        <v>17</v>
      </c>
      <c r="B24" s="6"/>
      <c r="C24" s="6"/>
      <c r="D24" s="6"/>
      <c r="E24" s="6"/>
      <c r="F24" s="6"/>
      <c r="G24" s="6"/>
      <c r="H24" s="11" t="e">
        <f>(E24-B24)/E24</f>
        <v>#DIV/0!</v>
      </c>
      <c r="I24" s="11" t="e">
        <f t="shared" ref="I24:I26" si="17">(F24-C24)/F24</f>
        <v>#DIV/0!</v>
      </c>
      <c r="J24" s="11" t="e">
        <f t="shared" ref="J24:J26" si="18">(G24-D24)/G24</f>
        <v>#DIV/0!</v>
      </c>
    </row>
    <row r="25" spans="1:10" x14ac:dyDescent="0.3">
      <c r="A25" s="4" t="s">
        <v>18</v>
      </c>
      <c r="B25" s="6"/>
      <c r="C25" s="6"/>
      <c r="D25" s="6"/>
      <c r="E25" s="6"/>
      <c r="F25" s="6"/>
      <c r="G25" s="6"/>
      <c r="H25" s="11" t="e">
        <f t="shared" ref="H25:H26" si="19">(E25-B25)/E25</f>
        <v>#DIV/0!</v>
      </c>
      <c r="I25" s="11" t="e">
        <f t="shared" si="17"/>
        <v>#DIV/0!</v>
      </c>
      <c r="J25" s="11" t="e">
        <f t="shared" si="18"/>
        <v>#DIV/0!</v>
      </c>
    </row>
    <row r="26" spans="1:10" x14ac:dyDescent="0.3">
      <c r="A26" s="4" t="s">
        <v>19</v>
      </c>
      <c r="B26" s="6"/>
      <c r="C26" s="6"/>
      <c r="D26" s="6"/>
      <c r="E26" s="6"/>
      <c r="F26" s="6"/>
      <c r="G26" s="6"/>
      <c r="H26" s="11" t="e">
        <f t="shared" si="19"/>
        <v>#DIV/0!</v>
      </c>
      <c r="I26" s="11" t="e">
        <f t="shared" si="17"/>
        <v>#DIV/0!</v>
      </c>
      <c r="J26" s="11" t="e">
        <f t="shared" si="18"/>
        <v>#DIV/0!</v>
      </c>
    </row>
    <row r="27" spans="1:10" x14ac:dyDescent="0.3">
      <c r="A27" s="2" t="s">
        <v>13</v>
      </c>
      <c r="B27" s="6"/>
      <c r="C27" s="6"/>
      <c r="D27" s="6"/>
      <c r="E27" s="6"/>
      <c r="F27" s="6"/>
      <c r="G27" s="6"/>
      <c r="H27" s="12"/>
      <c r="I27" s="12"/>
      <c r="J27" s="12"/>
    </row>
    <row r="28" spans="1:10" x14ac:dyDescent="0.3">
      <c r="A28" s="4" t="s">
        <v>17</v>
      </c>
      <c r="B28" s="6"/>
      <c r="C28" s="6"/>
      <c r="D28" s="6"/>
      <c r="E28" s="6"/>
      <c r="F28" s="6"/>
      <c r="G28" s="6"/>
      <c r="H28" s="11" t="e">
        <f>(E28-B28)/E28</f>
        <v>#DIV/0!</v>
      </c>
      <c r="I28" s="11" t="e">
        <f t="shared" ref="I28:I30" si="20">(F28-C28)/F28</f>
        <v>#DIV/0!</v>
      </c>
      <c r="J28" s="11" t="e">
        <f t="shared" ref="J28:J30" si="21">(G28-D28)/G28</f>
        <v>#DIV/0!</v>
      </c>
    </row>
    <row r="29" spans="1:10" x14ac:dyDescent="0.3">
      <c r="A29" s="4" t="s">
        <v>18</v>
      </c>
      <c r="B29" s="6"/>
      <c r="C29" s="6"/>
      <c r="D29" s="6"/>
      <c r="E29" s="6"/>
      <c r="F29" s="6"/>
      <c r="G29" s="6"/>
      <c r="H29" s="11" t="e">
        <f t="shared" ref="H29:H30" si="22">(E29-B29)/E29</f>
        <v>#DIV/0!</v>
      </c>
      <c r="I29" s="11" t="e">
        <f t="shared" si="20"/>
        <v>#DIV/0!</v>
      </c>
      <c r="J29" s="11" t="e">
        <f t="shared" si="21"/>
        <v>#DIV/0!</v>
      </c>
    </row>
    <row r="30" spans="1:10" x14ac:dyDescent="0.3">
      <c r="A30" s="4" t="s">
        <v>19</v>
      </c>
      <c r="B30" s="6"/>
      <c r="C30" s="6"/>
      <c r="D30" s="6"/>
      <c r="E30" s="6"/>
      <c r="F30" s="6"/>
      <c r="G30" s="6"/>
      <c r="H30" s="11" t="e">
        <f t="shared" si="22"/>
        <v>#DIV/0!</v>
      </c>
      <c r="I30" s="11" t="e">
        <f t="shared" si="20"/>
        <v>#DIV/0!</v>
      </c>
      <c r="J30" s="11" t="e">
        <f t="shared" si="21"/>
        <v>#DIV/0!</v>
      </c>
    </row>
    <row r="31" spans="1:10" x14ac:dyDescent="0.3">
      <c r="A31" s="5" t="s">
        <v>14</v>
      </c>
      <c r="B31" s="6"/>
      <c r="C31" s="6"/>
      <c r="D31" s="6"/>
      <c r="E31" s="6"/>
      <c r="F31" s="6"/>
      <c r="G31" s="6"/>
      <c r="H31" s="12"/>
      <c r="I31" s="12"/>
      <c r="J31" s="12"/>
    </row>
    <row r="32" spans="1:10" x14ac:dyDescent="0.3">
      <c r="A32" s="4" t="s">
        <v>17</v>
      </c>
      <c r="B32" s="6"/>
      <c r="C32" s="6"/>
      <c r="D32" s="6"/>
      <c r="E32" s="6"/>
      <c r="F32" s="6"/>
      <c r="G32" s="6"/>
      <c r="H32" s="11" t="e">
        <f>(E32-B32)/E32</f>
        <v>#DIV/0!</v>
      </c>
      <c r="I32" s="11" t="e">
        <f t="shared" ref="I32:I34" si="23">(F32-C32)/F32</f>
        <v>#DIV/0!</v>
      </c>
      <c r="J32" s="11" t="e">
        <f t="shared" ref="J32:J34" si="24">(G32-D32)/G32</f>
        <v>#DIV/0!</v>
      </c>
    </row>
    <row r="33" spans="1:10" x14ac:dyDescent="0.3">
      <c r="A33" s="4" t="s">
        <v>18</v>
      </c>
      <c r="B33" s="6"/>
      <c r="C33" s="6"/>
      <c r="D33" s="6"/>
      <c r="E33" s="6"/>
      <c r="F33" s="6"/>
      <c r="G33" s="6"/>
      <c r="H33" s="11" t="e">
        <f t="shared" ref="H33:H34" si="25">(E33-B33)/E33</f>
        <v>#DIV/0!</v>
      </c>
      <c r="I33" s="11" t="e">
        <f t="shared" si="23"/>
        <v>#DIV/0!</v>
      </c>
      <c r="J33" s="11" t="e">
        <f t="shared" si="24"/>
        <v>#DIV/0!</v>
      </c>
    </row>
    <row r="34" spans="1:10" x14ac:dyDescent="0.3">
      <c r="A34" s="4" t="s">
        <v>19</v>
      </c>
      <c r="B34" s="6"/>
      <c r="C34" s="6"/>
      <c r="D34" s="6"/>
      <c r="E34" s="6"/>
      <c r="F34" s="6"/>
      <c r="G34" s="6"/>
      <c r="H34" s="11" t="e">
        <f t="shared" si="25"/>
        <v>#DIV/0!</v>
      </c>
      <c r="I34" s="11" t="e">
        <f t="shared" si="23"/>
        <v>#DIV/0!</v>
      </c>
      <c r="J34" s="11" t="e">
        <f t="shared" si="24"/>
        <v>#DIV/0!</v>
      </c>
    </row>
    <row r="35" spans="1:10" x14ac:dyDescent="0.3">
      <c r="A35" s="2" t="s">
        <v>15</v>
      </c>
      <c r="B35" s="6"/>
      <c r="C35" s="6"/>
      <c r="D35" s="6"/>
      <c r="E35" s="6"/>
      <c r="F35" s="6"/>
      <c r="G35" s="6"/>
      <c r="H35" s="12"/>
      <c r="I35" s="12"/>
      <c r="J35" s="12"/>
    </row>
    <row r="36" spans="1:10" x14ac:dyDescent="0.3">
      <c r="A36" s="4" t="s">
        <v>17</v>
      </c>
      <c r="B36" s="6"/>
      <c r="C36" s="6"/>
      <c r="D36" s="6"/>
      <c r="E36" s="6"/>
      <c r="F36" s="6"/>
      <c r="G36" s="6"/>
      <c r="H36" s="11" t="e">
        <f>(E36-B36)/E36</f>
        <v>#DIV/0!</v>
      </c>
      <c r="I36" s="11" t="e">
        <f t="shared" ref="I36:I38" si="26">(F36-C36)/F36</f>
        <v>#DIV/0!</v>
      </c>
      <c r="J36" s="11" t="e">
        <f t="shared" ref="J36:J38" si="27">(G36-D36)/G36</f>
        <v>#DIV/0!</v>
      </c>
    </row>
    <row r="37" spans="1:10" x14ac:dyDescent="0.3">
      <c r="A37" s="4" t="s">
        <v>18</v>
      </c>
      <c r="B37" s="6"/>
      <c r="C37" s="6"/>
      <c r="D37" s="6"/>
      <c r="E37" s="6"/>
      <c r="F37" s="6"/>
      <c r="G37" s="6"/>
      <c r="H37" s="11" t="e">
        <f t="shared" ref="H37:H38" si="28">(E37-B37)/E37</f>
        <v>#DIV/0!</v>
      </c>
      <c r="I37" s="11" t="e">
        <f t="shared" si="26"/>
        <v>#DIV/0!</v>
      </c>
      <c r="J37" s="11" t="e">
        <f t="shared" si="27"/>
        <v>#DIV/0!</v>
      </c>
    </row>
    <row r="38" spans="1:10" x14ac:dyDescent="0.3">
      <c r="A38" s="4" t="s">
        <v>19</v>
      </c>
      <c r="B38" s="6"/>
      <c r="C38" s="6"/>
      <c r="D38" s="6"/>
      <c r="E38" s="6"/>
      <c r="F38" s="6"/>
      <c r="G38" s="6"/>
      <c r="H38" s="11" t="e">
        <f t="shared" si="28"/>
        <v>#DIV/0!</v>
      </c>
      <c r="I38" s="11" t="e">
        <f t="shared" si="26"/>
        <v>#DIV/0!</v>
      </c>
      <c r="J38" s="11" t="e">
        <f t="shared" si="27"/>
        <v>#DIV/0!</v>
      </c>
    </row>
    <row r="39" spans="1:10" x14ac:dyDescent="0.3">
      <c r="A39" s="2" t="s">
        <v>22</v>
      </c>
      <c r="B39" s="6"/>
      <c r="C39" s="6"/>
      <c r="D39" s="6"/>
      <c r="E39" s="6"/>
      <c r="F39" s="6"/>
      <c r="G39" s="6"/>
      <c r="H39" s="12"/>
      <c r="I39" s="12"/>
      <c r="J39" s="12"/>
    </row>
    <row r="40" spans="1:10" x14ac:dyDescent="0.3">
      <c r="A40" s="4" t="s">
        <v>17</v>
      </c>
      <c r="B40" s="6"/>
      <c r="C40" s="6"/>
      <c r="D40" s="6"/>
      <c r="E40" s="6"/>
      <c r="F40" s="6"/>
      <c r="G40" s="6"/>
      <c r="H40" s="11" t="e">
        <f>(E40-B40)/E40</f>
        <v>#DIV/0!</v>
      </c>
      <c r="I40" s="11" t="e">
        <f t="shared" ref="I40:I42" si="29">(F40-C40)/F40</f>
        <v>#DIV/0!</v>
      </c>
      <c r="J40" s="11" t="e">
        <f t="shared" ref="J40:J42" si="30">(G40-D40)/G40</f>
        <v>#DIV/0!</v>
      </c>
    </row>
    <row r="41" spans="1:10" x14ac:dyDescent="0.3">
      <c r="A41" s="4" t="s">
        <v>18</v>
      </c>
      <c r="B41" s="6"/>
      <c r="C41" s="6"/>
      <c r="D41" s="6"/>
      <c r="E41" s="6"/>
      <c r="F41" s="6"/>
      <c r="G41" s="6"/>
      <c r="H41" s="11" t="e">
        <f t="shared" ref="H41:H42" si="31">(E41-B41)/E41</f>
        <v>#DIV/0!</v>
      </c>
      <c r="I41" s="11" t="e">
        <f t="shared" si="29"/>
        <v>#DIV/0!</v>
      </c>
      <c r="J41" s="11" t="e">
        <f t="shared" si="30"/>
        <v>#DIV/0!</v>
      </c>
    </row>
    <row r="42" spans="1:10" x14ac:dyDescent="0.3">
      <c r="A42" s="4" t="s">
        <v>19</v>
      </c>
      <c r="B42" s="6"/>
      <c r="C42" s="6"/>
      <c r="D42" s="6"/>
      <c r="E42" s="6"/>
      <c r="F42" s="6"/>
      <c r="G42" s="6"/>
      <c r="H42" s="11" t="e">
        <f t="shared" si="31"/>
        <v>#DIV/0!</v>
      </c>
      <c r="I42" s="11" t="e">
        <f t="shared" si="29"/>
        <v>#DIV/0!</v>
      </c>
      <c r="J42" s="11" t="e">
        <f t="shared" si="30"/>
        <v>#DIV/0!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zoomScaleNormal="100" workbookViewId="0">
      <selection activeCell="H19" sqref="H19"/>
    </sheetView>
  </sheetViews>
  <sheetFormatPr defaultRowHeight="14.55" x14ac:dyDescent="0.3"/>
  <cols>
    <col min="1" max="1" width="33.5546875" customWidth="1"/>
    <col min="2" max="4" width="10.88671875" customWidth="1"/>
    <col min="5" max="5" width="13.5546875" bestFit="1" customWidth="1"/>
    <col min="6" max="10" width="10.88671875" customWidth="1"/>
  </cols>
  <sheetData>
    <row r="1" spans="1:10" x14ac:dyDescent="0.3">
      <c r="A1" s="14">
        <v>44866</v>
      </c>
      <c r="B1" s="15" t="s">
        <v>0</v>
      </c>
      <c r="C1" s="16"/>
      <c r="D1" s="16"/>
      <c r="E1" s="17" t="s">
        <v>1</v>
      </c>
      <c r="F1" s="18"/>
      <c r="G1" s="18"/>
      <c r="H1" s="19" t="s">
        <v>2</v>
      </c>
      <c r="I1" s="20"/>
      <c r="J1" s="20"/>
    </row>
    <row r="2" spans="1:10" ht="25.6" customHeight="1" x14ac:dyDescent="0.3">
      <c r="A2" s="1" t="s">
        <v>16</v>
      </c>
      <c r="B2" s="3" t="s">
        <v>3</v>
      </c>
      <c r="C2" s="3" t="s">
        <v>21</v>
      </c>
      <c r="D2" s="3" t="s">
        <v>4</v>
      </c>
      <c r="E2" s="8" t="s">
        <v>3</v>
      </c>
      <c r="F2" s="8" t="s">
        <v>5</v>
      </c>
      <c r="G2" s="8" t="s">
        <v>6</v>
      </c>
      <c r="H2" s="9" t="s">
        <v>3</v>
      </c>
      <c r="I2" s="9" t="s">
        <v>5</v>
      </c>
      <c r="J2" s="9" t="s">
        <v>6</v>
      </c>
    </row>
    <row r="3" spans="1:10" x14ac:dyDescent="0.3">
      <c r="A3" s="5" t="s">
        <v>7</v>
      </c>
      <c r="B3" s="13">
        <v>757751.48499999999</v>
      </c>
      <c r="C3" s="13">
        <v>720648.09</v>
      </c>
      <c r="D3" s="13">
        <v>3414612.81</v>
      </c>
      <c r="E3" s="13">
        <v>757716.99988500006</v>
      </c>
      <c r="F3" s="13">
        <v>709901.66</v>
      </c>
      <c r="G3" s="13">
        <v>3411334.06</v>
      </c>
      <c r="H3" s="11">
        <f>(E3-B3)/E3</f>
        <v>-4.5511866574412656E-5</v>
      </c>
      <c r="I3" s="11">
        <f t="shared" ref="I3:J3" si="0">(F3-C3)/F3</f>
        <v>-1.5137913609048237E-2</v>
      </c>
      <c r="J3" s="11">
        <f t="shared" si="0"/>
        <v>-9.6113424904507882E-4</v>
      </c>
    </row>
    <row r="4" spans="1:10" x14ac:dyDescent="0.3">
      <c r="A4" s="5" t="s">
        <v>8</v>
      </c>
      <c r="B4" s="13">
        <v>612399.42099999997</v>
      </c>
      <c r="C4" s="13">
        <v>739499.87</v>
      </c>
      <c r="D4" s="13">
        <v>3261179.11</v>
      </c>
      <c r="E4" s="13">
        <v>612424.02799900004</v>
      </c>
      <c r="F4" s="13">
        <v>732126.12</v>
      </c>
      <c r="G4" s="13">
        <v>3261203.21</v>
      </c>
      <c r="H4" s="11">
        <f t="shared" ref="H4:H11" si="1">(E4-B4)/E4</f>
        <v>4.017967596808421E-5</v>
      </c>
      <c r="I4" s="11">
        <f t="shared" ref="I4:I12" si="2">(F4-C4)/F4</f>
        <v>-1.0071693658464199E-2</v>
      </c>
      <c r="J4" s="11">
        <f t="shared" ref="J4:J12" si="3">(G4-D4)/G4</f>
        <v>7.3899105477984408E-6</v>
      </c>
    </row>
    <row r="5" spans="1:10" x14ac:dyDescent="0.3">
      <c r="A5" s="5" t="s">
        <v>9</v>
      </c>
      <c r="B5" s="13">
        <v>869208.13600000006</v>
      </c>
      <c r="C5" s="13">
        <v>887694.3</v>
      </c>
      <c r="D5" s="13">
        <v>4147018.77</v>
      </c>
      <c r="E5" s="13">
        <v>869368.15439499996</v>
      </c>
      <c r="F5" s="13">
        <v>883138.56000000006</v>
      </c>
      <c r="G5" s="13">
        <v>4148175.87</v>
      </c>
      <c r="H5" s="11">
        <f t="shared" si="1"/>
        <v>1.8406286702698767E-4</v>
      </c>
      <c r="I5" s="11">
        <f t="shared" si="2"/>
        <v>-5.1585789663628669E-3</v>
      </c>
      <c r="J5" s="11">
        <f t="shared" si="3"/>
        <v>2.7894188584634268E-4</v>
      </c>
    </row>
    <row r="6" spans="1:10" x14ac:dyDescent="0.3">
      <c r="A6" s="5" t="s">
        <v>10</v>
      </c>
      <c r="B6" s="13">
        <v>856327.63500000001</v>
      </c>
      <c r="C6" s="13">
        <v>766597.17</v>
      </c>
      <c r="D6" s="13">
        <v>4011487.49</v>
      </c>
      <c r="E6" s="13">
        <v>862175.17455700005</v>
      </c>
      <c r="F6" s="13">
        <v>815586.76</v>
      </c>
      <c r="G6" s="13">
        <v>4266928.12</v>
      </c>
      <c r="H6" s="11">
        <f t="shared" si="1"/>
        <v>6.7823102886308499E-3</v>
      </c>
      <c r="I6" s="11">
        <f t="shared" si="2"/>
        <v>6.0066681317877166E-2</v>
      </c>
      <c r="J6" s="11">
        <f t="shared" si="3"/>
        <v>5.9865229227250231E-2</v>
      </c>
    </row>
    <row r="7" spans="1:10" x14ac:dyDescent="0.3">
      <c r="A7" s="2" t="s">
        <v>11</v>
      </c>
      <c r="B7" s="13">
        <v>219041.65900000001</v>
      </c>
      <c r="C7" s="13">
        <v>202586.63</v>
      </c>
      <c r="D7" s="13">
        <v>1024085.54</v>
      </c>
      <c r="E7" s="13">
        <v>219108.965681</v>
      </c>
      <c r="F7" s="13">
        <v>202949.75</v>
      </c>
      <c r="G7" s="13">
        <v>1029619.99</v>
      </c>
      <c r="H7" s="11">
        <f t="shared" si="1"/>
        <v>3.0718360059249635E-4</v>
      </c>
      <c r="I7" s="11">
        <f t="shared" si="2"/>
        <v>1.7892113688240334E-3</v>
      </c>
      <c r="J7" s="11">
        <f t="shared" si="3"/>
        <v>5.3752355759914428E-3</v>
      </c>
    </row>
    <row r="8" spans="1:10" x14ac:dyDescent="0.3">
      <c r="A8" s="2" t="s">
        <v>12</v>
      </c>
      <c r="B8" s="13">
        <v>1251001.719</v>
      </c>
      <c r="C8" s="13">
        <v>1010200.52</v>
      </c>
      <c r="D8" s="13">
        <v>5549546.4100000001</v>
      </c>
      <c r="E8" s="13">
        <v>1251061.0453000001</v>
      </c>
      <c r="F8" s="13">
        <v>1006030.5</v>
      </c>
      <c r="G8" s="13">
        <v>5549717.5599999996</v>
      </c>
      <c r="H8" s="11">
        <f t="shared" si="1"/>
        <v>4.7420787517084865E-5</v>
      </c>
      <c r="I8" s="11">
        <f t="shared" si="2"/>
        <v>-4.145023436168206E-3</v>
      </c>
      <c r="J8" s="11">
        <f t="shared" si="3"/>
        <v>3.083940725795084E-5</v>
      </c>
    </row>
    <row r="9" spans="1:10" x14ac:dyDescent="0.3">
      <c r="A9" s="2" t="s">
        <v>13</v>
      </c>
      <c r="B9" s="13">
        <v>1424227.662</v>
      </c>
      <c r="C9" s="13">
        <v>1168708.1000000001</v>
      </c>
      <c r="D9" s="13">
        <v>5860758.6600000001</v>
      </c>
      <c r="E9" s="13">
        <v>1424380.4236290001</v>
      </c>
      <c r="F9" s="13">
        <v>1163287.57</v>
      </c>
      <c r="G9" s="13">
        <v>5860964.2000000002</v>
      </c>
      <c r="H9" s="11">
        <f t="shared" si="1"/>
        <v>1.0724777346410808E-4</v>
      </c>
      <c r="I9" s="11">
        <f t="shared" si="2"/>
        <v>-4.6596646777546397E-3</v>
      </c>
      <c r="J9" s="11">
        <f t="shared" si="3"/>
        <v>3.5069315045472768E-5</v>
      </c>
    </row>
    <row r="10" spans="1:10" x14ac:dyDescent="0.3">
      <c r="A10" s="5" t="s">
        <v>14</v>
      </c>
      <c r="B10" s="13">
        <v>721319.05</v>
      </c>
      <c r="C10" s="13">
        <v>693403</v>
      </c>
      <c r="D10" s="13">
        <v>3503277.61</v>
      </c>
      <c r="E10" s="13">
        <v>721263.781434</v>
      </c>
      <c r="F10" s="13">
        <v>687831.29</v>
      </c>
      <c r="G10" s="13">
        <v>3503613.61</v>
      </c>
      <c r="H10" s="11">
        <f t="shared" si="1"/>
        <v>-7.6627396831376715E-5</v>
      </c>
      <c r="I10" s="11">
        <f t="shared" si="2"/>
        <v>-8.1004020622556482E-3</v>
      </c>
      <c r="J10" s="11">
        <f t="shared" si="3"/>
        <v>9.5900986067924308E-5</v>
      </c>
    </row>
    <row r="11" spans="1:10" x14ac:dyDescent="0.3">
      <c r="A11" s="2" t="s">
        <v>15</v>
      </c>
      <c r="B11" s="13">
        <v>133854.36499999999</v>
      </c>
      <c r="C11" s="13">
        <v>118542.88</v>
      </c>
      <c r="D11" s="13">
        <v>565649.68000000005</v>
      </c>
      <c r="E11" s="13">
        <v>133853.32795899999</v>
      </c>
      <c r="F11" s="13">
        <v>117983.24</v>
      </c>
      <c r="G11" s="13">
        <v>565612.47</v>
      </c>
      <c r="H11" s="11">
        <f t="shared" si="1"/>
        <v>-7.7475922027196769E-6</v>
      </c>
      <c r="I11" s="11">
        <f t="shared" si="2"/>
        <v>-4.7433855859527118E-3</v>
      </c>
      <c r="J11" s="11">
        <f t="shared" si="3"/>
        <v>-6.5787092706918516E-5</v>
      </c>
    </row>
    <row r="12" spans="1:10" x14ac:dyDescent="0.3">
      <c r="A12" s="2" t="s">
        <v>22</v>
      </c>
      <c r="B12" s="13">
        <f>SUM(B3:B11)</f>
        <v>6845131.1320000002</v>
      </c>
      <c r="C12" s="13">
        <f t="shared" ref="C12:D12" si="4">SUM(C3:C11)</f>
        <v>6307880.5599999996</v>
      </c>
      <c r="D12" s="13">
        <f t="shared" si="4"/>
        <v>31337616.079999998</v>
      </c>
      <c r="E12" s="13">
        <f t="shared" ref="E12" si="5">SUM(E3:E11)</f>
        <v>6851351.900839</v>
      </c>
      <c r="F12" s="13">
        <f t="shared" ref="F12" si="6">SUM(F3:F11)</f>
        <v>6318835.4500000002</v>
      </c>
      <c r="G12" s="13">
        <f t="shared" ref="G12" si="7">SUM(G3:G11)</f>
        <v>31597169.09</v>
      </c>
      <c r="H12" s="11">
        <f>(E12-B12)/E12</f>
        <v>9.0796224293164865E-4</v>
      </c>
      <c r="I12" s="11">
        <f t="shared" si="2"/>
        <v>1.7336881276122796E-3</v>
      </c>
      <c r="J12" s="11">
        <f t="shared" si="3"/>
        <v>8.2144387448350887E-3</v>
      </c>
    </row>
  </sheetData>
  <mergeCells count="3">
    <mergeCell ref="B1:D1"/>
    <mergeCell ref="E1:G1"/>
    <mergeCell ref="H1:J1"/>
  </mergeCells>
  <conditionalFormatting sqref="H3:J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Общепит</vt:lpstr>
      <vt:lpstr>Сопутка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Вольская Евгения Анатольевна</dc:creator>
  <cp:lastModifiedBy>Екименко Алексей Николаевич</cp:lastModifiedBy>
  <dcterms:created xsi:type="dcterms:W3CDTF">2022-08-19T10:36:08Z</dcterms:created>
  <dcterms:modified xsi:type="dcterms:W3CDTF">2022-12-22T04:57:57Z</dcterms:modified>
</cp:coreProperties>
</file>